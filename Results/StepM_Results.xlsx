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ctsVSC\LSBAT_CS\CellScreening\Results\"/>
    </mc:Choice>
  </mc:AlternateContent>
  <xr:revisionPtr revIDLastSave="0" documentId="13_ncr:1_{59F7BA05-A4E4-4565-A49C-6FD810795D61}" xr6:coauthVersionLast="47" xr6:coauthVersionMax="47" xr10:uidLastSave="{00000000-0000-0000-0000-000000000000}"/>
  <bookViews>
    <workbookView xWindow="7800" yWindow="612" windowWidth="30696" windowHeight="21756" xr2:uid="{00000000-000D-0000-FFFF-FFFF00000000}"/>
  </bookViews>
  <sheets>
    <sheet name="Best_72cells_raw(2)_Grouped" sheetId="1" r:id="rId1"/>
    <sheet name="Best_72cells_raw(2)_Group01" sheetId="2" r:id="rId2"/>
    <sheet name="Best_72cells_raw(2)_Group02" sheetId="3" r:id="rId3"/>
    <sheet name="Best_72cells_raw(2)_Group03" sheetId="4" r:id="rId4"/>
    <sheet name="Best_72cells_raw(2)_Group04" sheetId="5" r:id="rId5"/>
    <sheet name="Best_72cells_raw(2)_Group05" sheetId="6" r:id="rId6"/>
    <sheet name="Best_72cells_raw(2)_Group06" sheetId="7" r:id="rId7"/>
    <sheet name="Best_72cells_raw(2)_Group07" sheetId="8" r:id="rId8"/>
    <sheet name="Best_72cells_raw(2)_Group08" sheetId="9" r:id="rId9"/>
  </sheets>
  <calcPr calcId="191029"/>
</workbook>
</file>

<file path=xl/calcChain.xml><?xml version="1.0" encoding="utf-8"?>
<calcChain xmlns="http://schemas.openxmlformats.org/spreadsheetml/2006/main">
  <c r="Y81" i="1" l="1"/>
  <c r="Y71" i="1"/>
  <c r="Y61" i="1"/>
  <c r="Y51" i="1"/>
  <c r="Y41" i="1"/>
  <c r="Y31" i="1"/>
  <c r="Y21" i="1"/>
  <c r="Y1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B8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B7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B6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B5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B4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B3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B2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B11" i="1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B11" i="2"/>
</calcChain>
</file>

<file path=xl/sharedStrings.xml><?xml version="1.0" encoding="utf-8"?>
<sst xmlns="http://schemas.openxmlformats.org/spreadsheetml/2006/main" count="378" uniqueCount="99">
  <si>
    <t>Lot Number</t>
  </si>
  <si>
    <t>Initial ACIR(mΩ)</t>
  </si>
  <si>
    <t>Capacity(Ah)</t>
  </si>
  <si>
    <t>Voltage3.6(V)</t>
  </si>
  <si>
    <t>OCV100(V)</t>
  </si>
  <si>
    <t>DCIR100_start(mΩ)</t>
  </si>
  <si>
    <t>DCIR100_1s(mΩ)</t>
  </si>
  <si>
    <t>DCIR100_10s(mΩ)</t>
  </si>
  <si>
    <t>OCV90(V)</t>
  </si>
  <si>
    <t>DCIR90_start(mΩ)</t>
  </si>
  <si>
    <t>DCIR90_1s(mΩ)</t>
  </si>
  <si>
    <t>DCIR90_10s(mΩ)</t>
  </si>
  <si>
    <t>OCV50(V)</t>
  </si>
  <si>
    <t>DCIR50_start(mΩ)</t>
  </si>
  <si>
    <t>DCIR50_1s(mΩ)</t>
  </si>
  <si>
    <t>DCIR50_10s(mΩ)</t>
  </si>
  <si>
    <t>OCV10(V)</t>
  </si>
  <si>
    <t>DCIR10_start(mΩ)</t>
  </si>
  <si>
    <t>DCIR10_1s(mΩ)</t>
  </si>
  <si>
    <t>DCIR10_10s(mΩ)</t>
  </si>
  <si>
    <t>OCV0(V)</t>
  </si>
  <si>
    <t>DCIR0_start(mΩ)</t>
  </si>
  <si>
    <t>DCIR0_1s(mΩ)</t>
  </si>
  <si>
    <t>DCIR0_10s(mΩ)</t>
  </si>
  <si>
    <t>Band</t>
  </si>
  <si>
    <t>Group</t>
  </si>
  <si>
    <t>BS-LSBAT-S240629-1003</t>
  </si>
  <si>
    <t>BS-LSBAT-S240629-1004</t>
  </si>
  <si>
    <t>BS-LSBAT-S240629-0957</t>
  </si>
  <si>
    <t>BS-LSBAT-S240629-0266</t>
  </si>
  <si>
    <t>BS-LSBAT-S240629-0348</t>
  </si>
  <si>
    <t>BS-LSBAT-S240629-1018</t>
  </si>
  <si>
    <t>BS-LSBAT-S240629-1006</t>
  </si>
  <si>
    <t>BS-LSBAT-S240629-0967</t>
  </si>
  <si>
    <t>BS-LSBAT-S240629-1012</t>
  </si>
  <si>
    <t>BS-LSBAT-S240629-0262</t>
  </si>
  <si>
    <t>BS-LSBAT-S240629-0238</t>
  </si>
  <si>
    <t>BS-LSBAT-S240629-0991</t>
  </si>
  <si>
    <t>BS-LSBAT-S240629-0921</t>
  </si>
  <si>
    <t>BS-LSBAT-S240629-0358</t>
  </si>
  <si>
    <t>BS-LSBAT-S240629-0245</t>
  </si>
  <si>
    <t>BS-LSBAT-S240629-0203</t>
  </si>
  <si>
    <t>BS-LSBAT-S240629-1008</t>
  </si>
  <si>
    <t>BS-LSBAT-S240629-0431</t>
  </si>
  <si>
    <t>BS-LSBAT-S240629-0420</t>
  </si>
  <si>
    <t>BS-LSBAT-S240629-0528</t>
  </si>
  <si>
    <t>BS-LSBAT-S240629-1001</t>
  </si>
  <si>
    <t>BS-LSBAT-S240629-0349</t>
  </si>
  <si>
    <t>BS-LSBAT-S240629-0970</t>
  </si>
  <si>
    <t>BS-LSBAT-S240629-0960</t>
  </si>
  <si>
    <t>BS-LSBAT-S240629-0962</t>
  </si>
  <si>
    <t>BS-LSBAT-S240629-0972</t>
  </si>
  <si>
    <t>BS-LSBAT-S240629-0272</t>
  </si>
  <si>
    <t>BS-LSBAT-S240629-0256</t>
  </si>
  <si>
    <t>BS-LSBAT-S240629-0249</t>
  </si>
  <si>
    <t>BS-LSBAT-S240629-0235</t>
  </si>
  <si>
    <t>BS-LSBAT-S240629-0407</t>
  </si>
  <si>
    <t>BS-LSBAT-S240629-0264</t>
  </si>
  <si>
    <t>BS-LSBAT-S240629-0986</t>
  </si>
  <si>
    <t>BS-LSBAT-S240629-0640</t>
  </si>
  <si>
    <t>BS-LSBAT-S240629-0432</t>
  </si>
  <si>
    <t>BS-LSBAT-S240629-0983</t>
  </si>
  <si>
    <t>BS-LSBAT-S240629-0646</t>
  </si>
  <si>
    <t>BS-LSBAT-S240629-0989</t>
  </si>
  <si>
    <t>BS-LSBAT-S240629-0998</t>
  </si>
  <si>
    <t>BS-LSBAT-S240629-0992</t>
  </si>
  <si>
    <t>BS-LSBAT-S240629-0364</t>
  </si>
  <si>
    <t>BS-LSBAT-S240629-0436</t>
  </si>
  <si>
    <t>BS-LSBAT-S240629-0363</t>
  </si>
  <si>
    <t>BS-LSBAT-S240629-1013</t>
  </si>
  <si>
    <t>BS-LSBAT-S240629-1014</t>
  </si>
  <si>
    <t>BS-LSBAT-S240629-0225</t>
  </si>
  <si>
    <t>BS-LSBAT-S240629-0334</t>
  </si>
  <si>
    <t>BS-LSBAT-S240629-0647</t>
  </si>
  <si>
    <t>BS-LSBAT-S240629-0368</t>
  </si>
  <si>
    <t>BS-LSBAT-S240629-0252</t>
  </si>
  <si>
    <t>BS-LSBAT-S240629-1000</t>
  </si>
  <si>
    <t>BS-LSBAT-S240629-0977</t>
  </si>
  <si>
    <t>BS-LSBAT-S240629-0276</t>
  </si>
  <si>
    <t>BS-LSBAT-S240629-0979</t>
  </si>
  <si>
    <t>BS-LSBAT-S240629-0883</t>
  </si>
  <si>
    <t>BS-LSBAT-S240629-0353</t>
  </si>
  <si>
    <t>BS-LSBAT-S240629-0650</t>
  </si>
  <si>
    <t>BS-LSBAT-S240629-0995</t>
  </si>
  <si>
    <t>BS-LSBAT-S240629-0631</t>
  </si>
  <si>
    <t>BS-LSBAT-S240629-0344</t>
  </si>
  <si>
    <t>BS-LSBAT-S240629-0968</t>
  </si>
  <si>
    <t>BS-LSBAT-S240629-0629</t>
  </si>
  <si>
    <t>BS-LSBAT-S240629-0367</t>
  </si>
  <si>
    <t>BS-LSBAT-S240629-0257</t>
  </si>
  <si>
    <t>BS-LSBAT-S240629-0211</t>
  </si>
  <si>
    <t>BS-LSBAT-S240629-0338</t>
  </si>
  <si>
    <t>BS-LSBAT-S240629-0999</t>
  </si>
  <si>
    <t>BS-LSBAT-S240629-0347</t>
  </si>
  <si>
    <t>BS-LSBAT-S240629-0366</t>
  </si>
  <si>
    <t>BS-LSBAT-S240629-0996</t>
  </si>
  <si>
    <t>BS-LSBAT-S240629-0871</t>
  </si>
  <si>
    <t>BS-LSBAT-S240629-0997</t>
  </si>
  <si>
    <t>Lot Number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</si>
</sst>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0" borderId="0" xfId="0" applyFont="1"/>
    <xf numFmtId="0" fontId="1" fillId="2" borderId="1" xfId="0" applyFont="1" applyFill="1" applyBorder="1" applyAlignment="1">
      <alignment horizontal="center" vertical="top"/>
    </xf>
    <xf numFmtId="0" fontId="0" fillId="0" borderId="0" xfId="0" applyFill="1"/>
    <xf numFmtId="0" fontId="3" fillId="0" borderId="0" xfId="0" applyFont="1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1"/>
  <sheetViews>
    <sheetView tabSelected="1" workbookViewId="0">
      <pane xSplit="1" ySplit="1" topLeftCell="B30" activePane="bottomRight" state="frozen"/>
      <selection pane="topRight" activeCell="B1" sqref="B1"/>
      <selection pane="bottomLeft" activeCell="A2" sqref="A2"/>
      <selection pane="bottomRight" activeCell="A30" sqref="A30"/>
    </sheetView>
  </sheetViews>
  <sheetFormatPr defaultRowHeight="17.399999999999999" x14ac:dyDescent="0.4"/>
  <cols>
    <col min="1" max="1" width="22.796875" bestFit="1" customWidth="1"/>
    <col min="3" max="3" width="8.796875" style="2"/>
    <col min="20" max="20" width="8.796875" style="2"/>
  </cols>
  <sheetData>
    <row r="1" spans="1:26" x14ac:dyDescent="0.4">
      <c r="A1" s="1" t="s">
        <v>98</v>
      </c>
      <c r="B1" s="1" t="s">
        <v>1</v>
      </c>
      <c r="C1" s="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26</v>
      </c>
      <c r="B2">
        <v>11</v>
      </c>
      <c r="C2" s="2">
        <v>4.9778000000000002</v>
      </c>
      <c r="D2">
        <v>3.585</v>
      </c>
      <c r="E2">
        <v>4.1686957166666661</v>
      </c>
      <c r="F2">
        <v>15.360000000000079</v>
      </c>
      <c r="G2">
        <v>17.600000000000019</v>
      </c>
      <c r="H2">
        <v>24.54000000000001</v>
      </c>
      <c r="I2">
        <v>4.0808526499999997</v>
      </c>
      <c r="J2">
        <v>14.759999999999881</v>
      </c>
      <c r="K2">
        <v>16.479999999999961</v>
      </c>
      <c r="L2">
        <v>21.839999999999989</v>
      </c>
      <c r="M2">
        <v>3.7439870833333329</v>
      </c>
      <c r="N2">
        <v>14.32000000000002</v>
      </c>
      <c r="O2">
        <v>16.000000000000011</v>
      </c>
      <c r="P2">
        <v>21.820000000000039</v>
      </c>
      <c r="Q2">
        <v>3.1965471166666668</v>
      </c>
      <c r="R2">
        <v>18.04000000000006</v>
      </c>
      <c r="S2">
        <v>20.560000000000041</v>
      </c>
      <c r="T2" s="2">
        <v>32.340000000000032</v>
      </c>
      <c r="U2">
        <v>2.9297580499999998</v>
      </c>
      <c r="V2">
        <v>23.320000000000011</v>
      </c>
      <c r="W2">
        <v>31.49999999999995</v>
      </c>
      <c r="X2">
        <v>67.479999999999947</v>
      </c>
      <c r="Y2">
        <v>1</v>
      </c>
      <c r="Z2">
        <v>1</v>
      </c>
    </row>
    <row r="3" spans="1:26" x14ac:dyDescent="0.4">
      <c r="A3" t="s">
        <v>27</v>
      </c>
      <c r="B3">
        <v>10.86</v>
      </c>
      <c r="C3" s="2">
        <v>4.9781000000000004</v>
      </c>
      <c r="D3">
        <v>3.585</v>
      </c>
      <c r="E3">
        <v>4.1685416833333333</v>
      </c>
      <c r="F3">
        <v>15.279999999999919</v>
      </c>
      <c r="G3">
        <v>17.520000000000021</v>
      </c>
      <c r="H3">
        <v>24.43999999999988</v>
      </c>
      <c r="I3">
        <v>4.0811844833333337</v>
      </c>
      <c r="J3">
        <v>14.739999999999929</v>
      </c>
      <c r="K3">
        <v>16.439999999999969</v>
      </c>
      <c r="L3">
        <v>21.819999999999951</v>
      </c>
      <c r="M3">
        <v>3.744598266666666</v>
      </c>
      <c r="N3">
        <v>14.299999999999979</v>
      </c>
      <c r="O3">
        <v>15.97999999999997</v>
      </c>
      <c r="P3">
        <v>21.819999999999951</v>
      </c>
      <c r="Q3">
        <v>3.1989250666666669</v>
      </c>
      <c r="R3">
        <v>17.999999999999972</v>
      </c>
      <c r="S3">
        <v>20.54</v>
      </c>
      <c r="T3" s="2">
        <v>32.319999999999993</v>
      </c>
      <c r="U3">
        <v>2.9340944166666669</v>
      </c>
      <c r="V3">
        <v>23.260000000000058</v>
      </c>
      <c r="W3">
        <v>31.400000000000009</v>
      </c>
      <c r="X3">
        <v>67.020000000000039</v>
      </c>
      <c r="Y3">
        <v>1</v>
      </c>
      <c r="Z3">
        <v>1</v>
      </c>
    </row>
    <row r="4" spans="1:26" x14ac:dyDescent="0.4">
      <c r="A4" t="s">
        <v>28</v>
      </c>
      <c r="B4">
        <v>11.21</v>
      </c>
      <c r="C4" s="2">
        <v>4.9782000000000002</v>
      </c>
      <c r="D4">
        <v>3.585</v>
      </c>
      <c r="E4">
        <v>4.1692878333333327</v>
      </c>
      <c r="F4">
        <v>15.41999999999994</v>
      </c>
      <c r="G4">
        <v>17.66000000000005</v>
      </c>
      <c r="H4">
        <v>24.55999999999996</v>
      </c>
      <c r="I4">
        <v>4.081020650000001</v>
      </c>
      <c r="J4">
        <v>14.74000000000011</v>
      </c>
      <c r="K4">
        <v>16.460000000000012</v>
      </c>
      <c r="L4">
        <v>21.8</v>
      </c>
      <c r="M4">
        <v>3.7438808333333329</v>
      </c>
      <c r="N4">
        <v>14.32000000000002</v>
      </c>
      <c r="O4">
        <v>15.980000000000061</v>
      </c>
      <c r="P4">
        <v>21.80000000000009</v>
      </c>
      <c r="Q4">
        <v>3.1955931</v>
      </c>
      <c r="R4">
        <v>18.00000000000006</v>
      </c>
      <c r="S4">
        <v>20.520000000000049</v>
      </c>
      <c r="T4" s="2">
        <v>32.319999999999993</v>
      </c>
      <c r="U4">
        <v>2.93087505</v>
      </c>
      <c r="V4">
        <v>23.15999999999994</v>
      </c>
      <c r="W4">
        <v>31.25999999999998</v>
      </c>
      <c r="X4">
        <v>66.819999999999965</v>
      </c>
      <c r="Y4">
        <v>1</v>
      </c>
      <c r="Z4">
        <v>1</v>
      </c>
    </row>
    <row r="5" spans="1:26" x14ac:dyDescent="0.4">
      <c r="A5" t="s">
        <v>29</v>
      </c>
      <c r="B5">
        <v>11.49</v>
      </c>
      <c r="C5" s="2">
        <v>4.9800000000000004</v>
      </c>
      <c r="D5">
        <v>3.5790000000000002</v>
      </c>
      <c r="E5">
        <v>4.1684305666666663</v>
      </c>
      <c r="F5">
        <v>15.49999999999994</v>
      </c>
      <c r="G5">
        <v>17.760000000000002</v>
      </c>
      <c r="H5">
        <v>24.77999999999998</v>
      </c>
      <c r="I5">
        <v>4.0806851000000002</v>
      </c>
      <c r="J5">
        <v>14.780000000000021</v>
      </c>
      <c r="K5">
        <v>16.5</v>
      </c>
      <c r="L5">
        <v>21.920000000000069</v>
      </c>
      <c r="M5">
        <v>3.743521100000001</v>
      </c>
      <c r="N5">
        <v>14.299999999999979</v>
      </c>
      <c r="O5">
        <v>15.95999999999993</v>
      </c>
      <c r="P5">
        <v>21.8</v>
      </c>
      <c r="Q5">
        <v>3.193286266666667</v>
      </c>
      <c r="R5">
        <v>17.940000000000019</v>
      </c>
      <c r="S5">
        <v>20.48000000000005</v>
      </c>
      <c r="T5" s="2">
        <v>32.30000000000004</v>
      </c>
      <c r="U5">
        <v>2.9247044999999998</v>
      </c>
      <c r="V5">
        <v>23.119999999999941</v>
      </c>
      <c r="W5">
        <v>31.47999999999999</v>
      </c>
      <c r="X5">
        <v>68.259999999999991</v>
      </c>
      <c r="Y5">
        <v>1</v>
      </c>
      <c r="Z5">
        <v>1</v>
      </c>
    </row>
    <row r="6" spans="1:26" x14ac:dyDescent="0.4">
      <c r="A6" t="s">
        <v>30</v>
      </c>
      <c r="B6">
        <v>11.67</v>
      </c>
      <c r="C6" s="2">
        <v>4.9800000000000004</v>
      </c>
      <c r="D6">
        <v>3.581</v>
      </c>
      <c r="E6">
        <v>4.1687450833333326</v>
      </c>
      <c r="F6">
        <v>15.420000000000121</v>
      </c>
      <c r="G6">
        <v>17.6400000000001</v>
      </c>
      <c r="H6">
        <v>24.520000000000049</v>
      </c>
      <c r="I6">
        <v>4.0796599166666656</v>
      </c>
      <c r="J6">
        <v>14.76000000000006</v>
      </c>
      <c r="K6">
        <v>16.460000000000012</v>
      </c>
      <c r="L6">
        <v>21.839999999999989</v>
      </c>
      <c r="M6">
        <v>3.7429222333333332</v>
      </c>
      <c r="N6">
        <v>14.21999999999999</v>
      </c>
      <c r="O6">
        <v>15.899999999999981</v>
      </c>
      <c r="P6">
        <v>21.68000000000001</v>
      </c>
      <c r="Q6">
        <v>3.1954967500000002</v>
      </c>
      <c r="R6">
        <v>17.839999999999989</v>
      </c>
      <c r="S6">
        <v>20.340000000000021</v>
      </c>
      <c r="T6" s="2">
        <v>32.139999999999972</v>
      </c>
      <c r="U6">
        <v>2.930349666666666</v>
      </c>
      <c r="V6">
        <v>23.079999999999949</v>
      </c>
      <c r="W6">
        <v>31.099999999999991</v>
      </c>
      <c r="X6">
        <v>66.379999999999924</v>
      </c>
      <c r="Y6">
        <v>1</v>
      </c>
      <c r="Z6">
        <v>1</v>
      </c>
    </row>
    <row r="7" spans="1:26" x14ac:dyDescent="0.4">
      <c r="A7" t="s">
        <v>31</v>
      </c>
      <c r="B7">
        <v>11.05</v>
      </c>
      <c r="C7" s="2">
        <v>4.9802</v>
      </c>
      <c r="D7">
        <v>3.585</v>
      </c>
      <c r="E7">
        <v>4.1681850000000003</v>
      </c>
      <c r="F7">
        <v>15.54000000000002</v>
      </c>
      <c r="G7">
        <v>17.819999999999862</v>
      </c>
      <c r="H7">
        <v>24.79999999999993</v>
      </c>
      <c r="I7">
        <v>4.0796145666666668</v>
      </c>
      <c r="J7">
        <v>14.719999999999979</v>
      </c>
      <c r="K7">
        <v>16.420000000000009</v>
      </c>
      <c r="L7">
        <v>21.8</v>
      </c>
      <c r="M7">
        <v>3.7428849833333331</v>
      </c>
      <c r="N7">
        <v>14.25999999999998</v>
      </c>
      <c r="O7">
        <v>15.919999999999931</v>
      </c>
      <c r="P7">
        <v>21.739999999999959</v>
      </c>
      <c r="Q7">
        <v>3.1959899666666671</v>
      </c>
      <c r="R7">
        <v>18.00000000000006</v>
      </c>
      <c r="S7">
        <v>20.520000000000049</v>
      </c>
      <c r="T7" s="2">
        <v>32.319999999999993</v>
      </c>
      <c r="U7">
        <v>2.9369317833333328</v>
      </c>
      <c r="V7">
        <v>23.25999999999997</v>
      </c>
      <c r="W7">
        <v>31.86</v>
      </c>
      <c r="X7">
        <v>68.159999999999954</v>
      </c>
      <c r="Y7">
        <v>1</v>
      </c>
      <c r="Z7">
        <v>1</v>
      </c>
    </row>
    <row r="8" spans="1:26" x14ac:dyDescent="0.4">
      <c r="A8" t="s">
        <v>32</v>
      </c>
      <c r="B8">
        <v>11.35</v>
      </c>
      <c r="C8" s="2">
        <v>4.9804000000000004</v>
      </c>
      <c r="D8">
        <v>3.5859999999999999</v>
      </c>
      <c r="E8">
        <v>4.1686789000000006</v>
      </c>
      <c r="F8">
        <v>15.240000000000011</v>
      </c>
      <c r="G8">
        <v>17.480000000000121</v>
      </c>
      <c r="H8">
        <v>24.460000000000019</v>
      </c>
      <c r="I8">
        <v>4.081397850000001</v>
      </c>
      <c r="J8">
        <v>14.76000000000006</v>
      </c>
      <c r="K8">
        <v>16.5</v>
      </c>
      <c r="L8">
        <v>21.839999999999989</v>
      </c>
      <c r="M8">
        <v>3.7453311166666672</v>
      </c>
      <c r="N8">
        <v>14.32000000000002</v>
      </c>
      <c r="O8">
        <v>15.97999999999997</v>
      </c>
      <c r="P8">
        <v>21.8</v>
      </c>
      <c r="Q8">
        <v>3.199201</v>
      </c>
      <c r="R8">
        <v>18.079999999999959</v>
      </c>
      <c r="S8">
        <v>20.600000000000041</v>
      </c>
      <c r="T8" s="2">
        <v>32.399999999999977</v>
      </c>
      <c r="U8">
        <v>2.9426655166666671</v>
      </c>
      <c r="V8">
        <v>23.179999999999978</v>
      </c>
      <c r="W8">
        <v>31.519999999999989</v>
      </c>
      <c r="X8">
        <v>66.900000000000048</v>
      </c>
      <c r="Y8">
        <v>1</v>
      </c>
      <c r="Z8">
        <v>1</v>
      </c>
    </row>
    <row r="9" spans="1:26" x14ac:dyDescent="0.4">
      <c r="A9" t="s">
        <v>33</v>
      </c>
      <c r="B9">
        <v>11.36</v>
      </c>
      <c r="C9" s="2">
        <v>4.9805000000000001</v>
      </c>
      <c r="D9">
        <v>3.5859999999999999</v>
      </c>
      <c r="E9">
        <v>4.1686860499999998</v>
      </c>
      <c r="F9">
        <v>15.39999999999999</v>
      </c>
      <c r="G9">
        <v>17.62000000000015</v>
      </c>
      <c r="H9">
        <v>24.54000000000001</v>
      </c>
      <c r="I9">
        <v>4.0804136833333322</v>
      </c>
      <c r="J9">
        <v>14.700000000000021</v>
      </c>
      <c r="K9">
        <v>16.39999999999997</v>
      </c>
      <c r="L9">
        <v>21.739999999999959</v>
      </c>
      <c r="M9">
        <v>3.742944383333334</v>
      </c>
      <c r="N9">
        <v>14.23999999999994</v>
      </c>
      <c r="O9">
        <v>15.899999999999981</v>
      </c>
      <c r="P9">
        <v>21.69999999999996</v>
      </c>
      <c r="Q9">
        <v>3.1939040333333342</v>
      </c>
      <c r="R9">
        <v>17.940000000000019</v>
      </c>
      <c r="S9">
        <v>20.440000000000062</v>
      </c>
      <c r="T9" s="2">
        <v>32.260000000000048</v>
      </c>
      <c r="U9">
        <v>2.9288173500000001</v>
      </c>
      <c r="V9">
        <v>23.120000000000029</v>
      </c>
      <c r="W9">
        <v>31.25999999999998</v>
      </c>
      <c r="X9">
        <v>67.060000000000031</v>
      </c>
      <c r="Y9">
        <v>1</v>
      </c>
      <c r="Z9">
        <v>1</v>
      </c>
    </row>
    <row r="10" spans="1:26" x14ac:dyDescent="0.4">
      <c r="A10" t="s">
        <v>34</v>
      </c>
      <c r="B10">
        <v>11.26</v>
      </c>
      <c r="C10" s="2">
        <v>4.9805999999999999</v>
      </c>
      <c r="D10">
        <v>3.585</v>
      </c>
      <c r="E10">
        <v>4.1681872999999996</v>
      </c>
      <c r="F10">
        <v>15.16000000000002</v>
      </c>
      <c r="G10">
        <v>17.399999999999949</v>
      </c>
      <c r="H10">
        <v>24.359999999999889</v>
      </c>
      <c r="I10">
        <v>4.0820635833333334</v>
      </c>
      <c r="J10">
        <v>14.779999999999839</v>
      </c>
      <c r="K10">
        <v>16.499999999999911</v>
      </c>
      <c r="L10">
        <v>21.8399999999999</v>
      </c>
      <c r="M10">
        <v>3.7457267500000002</v>
      </c>
      <c r="N10">
        <v>14.28000000000003</v>
      </c>
      <c r="O10">
        <v>15.96000000000002</v>
      </c>
      <c r="P10">
        <v>21.739999999999959</v>
      </c>
      <c r="Q10">
        <v>3.1982591</v>
      </c>
      <c r="R10">
        <v>17.980000000000022</v>
      </c>
      <c r="S10">
        <v>20.48000000000005</v>
      </c>
      <c r="T10" s="2">
        <v>32.24</v>
      </c>
      <c r="U10">
        <v>2.9415046833333331</v>
      </c>
      <c r="V10">
        <v>23.10000000000008</v>
      </c>
      <c r="W10">
        <v>31.46000000000004</v>
      </c>
      <c r="X10">
        <v>67.060000000000031</v>
      </c>
      <c r="Y10">
        <v>1</v>
      </c>
      <c r="Z10">
        <v>1</v>
      </c>
    </row>
    <row r="11" spans="1:26" s="5" customFormat="1" x14ac:dyDescent="0.4">
      <c r="B11" s="6">
        <f>_xlfn.STDEV.P((B2:B10))</f>
        <v>0.23860706890897707</v>
      </c>
      <c r="C11" s="6">
        <f t="shared" ref="C11:X11" si="0">_xlfn.STDEV.P((C2:C10))</f>
        <v>1.0821788720498141E-3</v>
      </c>
      <c r="D11" s="6">
        <f t="shared" si="0"/>
        <v>2.2825153982414972E-3</v>
      </c>
      <c r="E11" s="6">
        <f t="shared" si="0"/>
        <v>3.1472184659939547E-4</v>
      </c>
      <c r="F11" s="6">
        <f t="shared" si="0"/>
        <v>0.1158969316480464</v>
      </c>
      <c r="G11" s="6">
        <f t="shared" si="0"/>
        <v>0.12440475557578197</v>
      </c>
      <c r="H11" s="6">
        <f t="shared" si="0"/>
        <v>0.13849276845230007</v>
      </c>
      <c r="I11" s="6">
        <f t="shared" si="0"/>
        <v>7.461256018884727E-4</v>
      </c>
      <c r="J11" s="6">
        <f t="shared" si="0"/>
        <v>2.5141574442165821E-2</v>
      </c>
      <c r="K11" s="6">
        <f t="shared" si="0"/>
        <v>3.4569664858002801E-2</v>
      </c>
      <c r="L11" s="6">
        <f t="shared" si="0"/>
        <v>4.5215533220856037E-2</v>
      </c>
      <c r="M11" s="6">
        <f t="shared" si="0"/>
        <v>9.9273765870562655E-4</v>
      </c>
      <c r="N11" s="6">
        <f t="shared" si="0"/>
        <v>3.4995590551179942E-2</v>
      </c>
      <c r="O11" s="6">
        <f t="shared" si="0"/>
        <v>3.5276684147542231E-2</v>
      </c>
      <c r="P11" s="6">
        <f t="shared" si="0"/>
        <v>4.9888765157000171E-2</v>
      </c>
      <c r="Q11" s="6">
        <f t="shared" si="0"/>
        <v>1.9788367539608936E-3</v>
      </c>
      <c r="R11" s="6">
        <f t="shared" si="0"/>
        <v>6.4635731432220012E-2</v>
      </c>
      <c r="S11" s="6">
        <f t="shared" si="0"/>
        <v>7.1457489736949292E-2</v>
      </c>
      <c r="T11" s="6">
        <f t="shared" si="0"/>
        <v>6.9282032302757257E-2</v>
      </c>
      <c r="U11" s="6">
        <f t="shared" si="0"/>
        <v>5.6760482075989566E-3</v>
      </c>
      <c r="V11" s="6">
        <f t="shared" si="0"/>
        <v>7.9131083621184803E-2</v>
      </c>
      <c r="W11" s="6">
        <f t="shared" si="0"/>
        <v>0.2024296860091892</v>
      </c>
      <c r="X11" s="6">
        <f t="shared" si="0"/>
        <v>0.58586645762736311</v>
      </c>
      <c r="Y11" s="5">
        <f>SUM(B11:X11)</f>
        <v>1.9283649820305608</v>
      </c>
    </row>
    <row r="12" spans="1:26" x14ac:dyDescent="0.4">
      <c r="A12" t="s">
        <v>35</v>
      </c>
      <c r="B12">
        <v>11.68</v>
      </c>
      <c r="C12" s="2">
        <v>4.9808000000000003</v>
      </c>
      <c r="D12">
        <v>3.5779999999999998</v>
      </c>
      <c r="E12">
        <v>4.1681235666666669</v>
      </c>
      <c r="F12">
        <v>15.67999999999987</v>
      </c>
      <c r="G12">
        <v>17.959999999999891</v>
      </c>
      <c r="H12">
        <v>25</v>
      </c>
      <c r="I12">
        <v>4.0801282499999996</v>
      </c>
      <c r="J12">
        <v>14.81999999999992</v>
      </c>
      <c r="K12">
        <v>16.53999999999991</v>
      </c>
      <c r="L12">
        <v>21.979999999999929</v>
      </c>
      <c r="M12">
        <v>3.7429086666666662</v>
      </c>
      <c r="N12">
        <v>14.299999999999979</v>
      </c>
      <c r="O12">
        <v>15.97999999999997</v>
      </c>
      <c r="P12">
        <v>21.819999999999951</v>
      </c>
      <c r="Q12">
        <v>3.1929817666666671</v>
      </c>
      <c r="R12">
        <v>17.91999999999998</v>
      </c>
      <c r="S12">
        <v>20.460000000000012</v>
      </c>
      <c r="T12" s="2">
        <v>32.359999999999992</v>
      </c>
      <c r="U12">
        <v>2.9284892166666658</v>
      </c>
      <c r="V12">
        <v>22.99999999999995</v>
      </c>
      <c r="W12">
        <v>31.37999999999996</v>
      </c>
      <c r="X12">
        <v>67.8</v>
      </c>
      <c r="Y12">
        <v>2</v>
      </c>
      <c r="Z12">
        <v>2</v>
      </c>
    </row>
    <row r="13" spans="1:26" x14ac:dyDescent="0.4">
      <c r="A13" t="s">
        <v>36</v>
      </c>
      <c r="B13">
        <v>10.97</v>
      </c>
      <c r="C13" s="2">
        <v>4.9808000000000003</v>
      </c>
      <c r="D13">
        <v>3.5779999999999998</v>
      </c>
      <c r="E13">
        <v>4.1679818833333329</v>
      </c>
      <c r="F13">
        <v>15.460000000000029</v>
      </c>
      <c r="G13">
        <v>17.68000000000001</v>
      </c>
      <c r="H13">
        <v>24.699999999999989</v>
      </c>
      <c r="I13">
        <v>4.0815456166666664</v>
      </c>
      <c r="J13">
        <v>14.87999999999996</v>
      </c>
      <c r="K13">
        <v>16.599999999999952</v>
      </c>
      <c r="L13">
        <v>22.020000000000021</v>
      </c>
      <c r="M13">
        <v>3.7446881833333339</v>
      </c>
      <c r="N13">
        <v>14.380000000000059</v>
      </c>
      <c r="O13">
        <v>16.04000000000001</v>
      </c>
      <c r="P13">
        <v>21.94000000000003</v>
      </c>
      <c r="Q13">
        <v>3.1956820499999998</v>
      </c>
      <c r="R13">
        <v>18.100000000000001</v>
      </c>
      <c r="S13">
        <v>20.61999999999999</v>
      </c>
      <c r="T13" s="2">
        <v>32.439999999999984</v>
      </c>
      <c r="U13">
        <v>2.9282724</v>
      </c>
      <c r="V13">
        <v>23.339999999999961</v>
      </c>
      <c r="W13">
        <v>31.44</v>
      </c>
      <c r="X13">
        <v>67.419999999999987</v>
      </c>
      <c r="Y13">
        <v>2</v>
      </c>
      <c r="Z13">
        <v>2</v>
      </c>
    </row>
    <row r="14" spans="1:26" x14ac:dyDescent="0.4">
      <c r="A14" t="s">
        <v>37</v>
      </c>
      <c r="B14">
        <v>11.43</v>
      </c>
      <c r="C14" s="2">
        <v>4.9809000000000001</v>
      </c>
      <c r="D14">
        <v>3.5859999999999999</v>
      </c>
      <c r="E14">
        <v>4.168748383333333</v>
      </c>
      <c r="F14">
        <v>15.32</v>
      </c>
      <c r="G14">
        <v>17.560000000000109</v>
      </c>
      <c r="H14">
        <v>24.460000000000019</v>
      </c>
      <c r="I14">
        <v>4.0811124166666666</v>
      </c>
      <c r="J14">
        <v>14.780000000000021</v>
      </c>
      <c r="K14">
        <v>16.479999999999961</v>
      </c>
      <c r="L14">
        <v>21.8</v>
      </c>
      <c r="M14">
        <v>3.7440603166666668</v>
      </c>
      <c r="N14">
        <v>14.34000000000006</v>
      </c>
      <c r="O14">
        <v>16.000000000000011</v>
      </c>
      <c r="P14">
        <v>21.8</v>
      </c>
      <c r="Q14">
        <v>3.1967534999999998</v>
      </c>
      <c r="R14">
        <v>17.91999999999998</v>
      </c>
      <c r="S14">
        <v>20.420000000000019</v>
      </c>
      <c r="T14" s="2">
        <v>32.160000000000011</v>
      </c>
      <c r="U14">
        <v>2.9348799166666661</v>
      </c>
      <c r="V14">
        <v>23.000000000000039</v>
      </c>
      <c r="W14">
        <v>31.040000000000049</v>
      </c>
      <c r="X14">
        <v>66.099999999999966</v>
      </c>
      <c r="Y14">
        <v>2</v>
      </c>
      <c r="Z14">
        <v>2</v>
      </c>
    </row>
    <row r="15" spans="1:26" x14ac:dyDescent="0.4">
      <c r="A15" t="s">
        <v>38</v>
      </c>
      <c r="B15">
        <v>11.07</v>
      </c>
      <c r="C15" s="2">
        <v>4.9809999999999999</v>
      </c>
      <c r="D15">
        <v>3.5830000000000002</v>
      </c>
      <c r="E15">
        <v>4.1678364666666674</v>
      </c>
      <c r="F15">
        <v>15.73999999999991</v>
      </c>
      <c r="G15">
        <v>17.980000000000022</v>
      </c>
      <c r="H15">
        <v>25</v>
      </c>
      <c r="I15">
        <v>4.0795611000000003</v>
      </c>
      <c r="J15">
        <v>14.86000000000001</v>
      </c>
      <c r="K15">
        <v>16.560000000000041</v>
      </c>
      <c r="L15">
        <v>22.00000000000006</v>
      </c>
      <c r="M15">
        <v>3.7417027833333329</v>
      </c>
      <c r="N15">
        <v>14.45999999999996</v>
      </c>
      <c r="O15">
        <v>16.12</v>
      </c>
      <c r="P15">
        <v>22.020000000000021</v>
      </c>
      <c r="Q15">
        <v>3.1925013166666658</v>
      </c>
      <c r="R15">
        <v>17.93999999999993</v>
      </c>
      <c r="S15">
        <v>20.479999999999961</v>
      </c>
      <c r="T15" s="2">
        <v>32.339999999999947</v>
      </c>
      <c r="U15">
        <v>2.9337278000000002</v>
      </c>
      <c r="V15">
        <v>23.08000000000003</v>
      </c>
      <c r="W15">
        <v>31.36000000000001</v>
      </c>
      <c r="X15">
        <v>66.980000000000047</v>
      </c>
      <c r="Y15">
        <v>2</v>
      </c>
      <c r="Z15">
        <v>2</v>
      </c>
    </row>
    <row r="16" spans="1:26" x14ac:dyDescent="0.4">
      <c r="A16" t="s">
        <v>39</v>
      </c>
      <c r="B16">
        <v>11.74</v>
      </c>
      <c r="C16" s="2">
        <v>4.9810999999999996</v>
      </c>
      <c r="D16">
        <v>3.58</v>
      </c>
      <c r="E16">
        <v>4.1685069499999994</v>
      </c>
      <c r="F16">
        <v>15.240000000000011</v>
      </c>
      <c r="G16">
        <v>17.47999999999994</v>
      </c>
      <c r="H16">
        <v>24.36000000000007</v>
      </c>
      <c r="I16">
        <v>4.0816425666666669</v>
      </c>
      <c r="J16">
        <v>14.81999999999992</v>
      </c>
      <c r="K16">
        <v>16.559999999999949</v>
      </c>
      <c r="L16">
        <v>21.919999999999899</v>
      </c>
      <c r="M16">
        <v>3.7445343666666671</v>
      </c>
      <c r="N16">
        <v>14.34000000000006</v>
      </c>
      <c r="O16">
        <v>16.000000000000011</v>
      </c>
      <c r="P16">
        <v>21.8</v>
      </c>
      <c r="Q16">
        <v>3.19701375</v>
      </c>
      <c r="R16">
        <v>18.019999999999921</v>
      </c>
      <c r="S16">
        <v>20.53999999999991</v>
      </c>
      <c r="T16" s="2">
        <v>32.339999999999947</v>
      </c>
      <c r="U16">
        <v>2.9342394000000001</v>
      </c>
      <c r="V16">
        <v>23.299999999999969</v>
      </c>
      <c r="W16">
        <v>31.320000000000011</v>
      </c>
      <c r="X16">
        <v>66.719999999999928</v>
      </c>
      <c r="Y16">
        <v>2</v>
      </c>
      <c r="Z16">
        <v>2</v>
      </c>
    </row>
    <row r="17" spans="1:26" x14ac:dyDescent="0.4">
      <c r="A17" t="s">
        <v>40</v>
      </c>
      <c r="B17">
        <v>11.16</v>
      </c>
      <c r="C17" s="2">
        <v>4.9813000000000001</v>
      </c>
      <c r="D17">
        <v>3.5779999999999998</v>
      </c>
      <c r="E17">
        <v>4.1682310666666664</v>
      </c>
      <c r="F17">
        <v>15.60000000000006</v>
      </c>
      <c r="G17">
        <v>17.88000000000007</v>
      </c>
      <c r="H17">
        <v>24.920000000000009</v>
      </c>
      <c r="I17">
        <v>4.0806646666666664</v>
      </c>
      <c r="J17">
        <v>14.84000000000005</v>
      </c>
      <c r="K17">
        <v>16.58000000000008</v>
      </c>
      <c r="L17">
        <v>22.020000000000021</v>
      </c>
      <c r="M17">
        <v>3.7438579499999989</v>
      </c>
      <c r="N17">
        <v>14.33999999999997</v>
      </c>
      <c r="O17">
        <v>16.019999999999971</v>
      </c>
      <c r="P17">
        <v>21.900000000000031</v>
      </c>
      <c r="Q17">
        <v>3.194072433333333</v>
      </c>
      <c r="R17">
        <v>17.980000000000022</v>
      </c>
      <c r="S17">
        <v>20.500000000000011</v>
      </c>
      <c r="T17" s="2">
        <v>32.319999999999993</v>
      </c>
      <c r="U17">
        <v>2.9254334833333342</v>
      </c>
      <c r="V17">
        <v>23.200000000000021</v>
      </c>
      <c r="W17">
        <v>31.339999999999961</v>
      </c>
      <c r="X17">
        <v>67.69999999999996</v>
      </c>
      <c r="Y17">
        <v>2</v>
      </c>
      <c r="Z17">
        <v>2</v>
      </c>
    </row>
    <row r="18" spans="1:26" x14ac:dyDescent="0.4">
      <c r="A18" t="s">
        <v>41</v>
      </c>
      <c r="B18">
        <v>11.18</v>
      </c>
      <c r="C18" s="2">
        <v>4.9813999999999998</v>
      </c>
      <c r="D18">
        <v>3.58</v>
      </c>
      <c r="E18">
        <v>4.1687405000000002</v>
      </c>
      <c r="F18">
        <v>15.640000000000139</v>
      </c>
      <c r="G18">
        <v>17.88000000000007</v>
      </c>
      <c r="H18">
        <v>24.820000000000061</v>
      </c>
      <c r="I18">
        <v>4.079725166666667</v>
      </c>
      <c r="J18">
        <v>14.63999999999999</v>
      </c>
      <c r="K18">
        <v>16.339999999999929</v>
      </c>
      <c r="L18">
        <v>21.59999999999993</v>
      </c>
      <c r="M18">
        <v>3.743303116666667</v>
      </c>
      <c r="N18">
        <v>14.21999999999999</v>
      </c>
      <c r="O18">
        <v>15.899999999999981</v>
      </c>
      <c r="P18">
        <v>21.63999999999993</v>
      </c>
      <c r="Q18">
        <v>3.1943259333333329</v>
      </c>
      <c r="R18">
        <v>17.999999999999972</v>
      </c>
      <c r="S18">
        <v>20.500000000000011</v>
      </c>
      <c r="T18" s="2">
        <v>32.279999999999987</v>
      </c>
      <c r="U18">
        <v>2.9299199833333329</v>
      </c>
      <c r="V18">
        <v>22.86000000000001</v>
      </c>
      <c r="W18">
        <v>30.820000000000029</v>
      </c>
      <c r="X18">
        <v>65.779999999999987</v>
      </c>
      <c r="Y18">
        <v>2</v>
      </c>
      <c r="Z18">
        <v>2</v>
      </c>
    </row>
    <row r="19" spans="1:26" x14ac:dyDescent="0.4">
      <c r="A19" t="s">
        <v>42</v>
      </c>
      <c r="B19">
        <v>11.24</v>
      </c>
      <c r="C19" s="2">
        <v>4.9814999999999996</v>
      </c>
      <c r="D19">
        <v>3.585</v>
      </c>
      <c r="E19">
        <v>4.1686282666666674</v>
      </c>
      <c r="F19">
        <v>15.30000000000005</v>
      </c>
      <c r="G19">
        <v>17.560000000000109</v>
      </c>
      <c r="H19">
        <v>24.520000000000049</v>
      </c>
      <c r="I19">
        <v>4.0816556499999992</v>
      </c>
      <c r="J19">
        <v>14.839999999999881</v>
      </c>
      <c r="K19">
        <v>16.53999999999991</v>
      </c>
      <c r="L19">
        <v>21.899999999999942</v>
      </c>
      <c r="M19">
        <v>3.7450924666666658</v>
      </c>
      <c r="N19">
        <v>14.380000000000059</v>
      </c>
      <c r="O19">
        <v>16.04000000000001</v>
      </c>
      <c r="P19">
        <v>21.839999999999989</v>
      </c>
      <c r="Q19">
        <v>3.1976591666666669</v>
      </c>
      <c r="R19">
        <v>18.080000000000052</v>
      </c>
      <c r="S19">
        <v>20.58</v>
      </c>
      <c r="T19" s="2">
        <v>32.400000000000077</v>
      </c>
      <c r="U19">
        <v>2.9413691499999999</v>
      </c>
      <c r="V19">
        <v>23.200000000000021</v>
      </c>
      <c r="W19">
        <v>31.59999999999998</v>
      </c>
      <c r="X19">
        <v>67.3</v>
      </c>
      <c r="Y19">
        <v>2</v>
      </c>
      <c r="Z19">
        <v>2</v>
      </c>
    </row>
    <row r="20" spans="1:26" x14ac:dyDescent="0.4">
      <c r="A20" t="s">
        <v>43</v>
      </c>
      <c r="B20">
        <v>11.61</v>
      </c>
      <c r="C20" s="2">
        <v>4.9814999999999996</v>
      </c>
      <c r="D20">
        <v>3.5790000000000002</v>
      </c>
      <c r="E20">
        <v>4.1683583000000004</v>
      </c>
      <c r="F20">
        <v>15.479999999999981</v>
      </c>
      <c r="G20">
        <v>17.69999999999996</v>
      </c>
      <c r="H20">
        <v>24.639999999999951</v>
      </c>
      <c r="I20">
        <v>4.0805295499999996</v>
      </c>
      <c r="J20">
        <v>14.759999999999881</v>
      </c>
      <c r="K20">
        <v>16.43999999999988</v>
      </c>
      <c r="L20">
        <v>21.85999999999995</v>
      </c>
      <c r="M20">
        <v>3.7406622833333318</v>
      </c>
      <c r="N20">
        <v>14.24000000000003</v>
      </c>
      <c r="O20">
        <v>15.880000000000029</v>
      </c>
      <c r="P20">
        <v>21.76</v>
      </c>
      <c r="Q20">
        <v>3.1892711666666669</v>
      </c>
      <c r="R20">
        <v>17.980000000000022</v>
      </c>
      <c r="S20">
        <v>20.500000000000011</v>
      </c>
      <c r="T20" s="2">
        <v>32.400000000000077</v>
      </c>
      <c r="U20">
        <v>2.9263613999999998</v>
      </c>
      <c r="V20">
        <v>22.94</v>
      </c>
      <c r="W20">
        <v>31.200000000000031</v>
      </c>
      <c r="X20">
        <v>67.079999999999984</v>
      </c>
      <c r="Y20">
        <v>2</v>
      </c>
      <c r="Z20">
        <v>2</v>
      </c>
    </row>
    <row r="21" spans="1:26" s="5" customFormat="1" x14ac:dyDescent="0.4">
      <c r="B21" s="6">
        <f>_xlfn.STDEV.P(B12:B20)</f>
        <v>0.265488136490661</v>
      </c>
      <c r="C21" s="6">
        <f t="shared" ref="C21:X21" si="1">_xlfn.STDEV.P(C12:C20)</f>
        <v>2.7125679146052504E-4</v>
      </c>
      <c r="D21" s="6">
        <f t="shared" si="1"/>
        <v>2.9355210696939919E-3</v>
      </c>
      <c r="E21" s="6">
        <f t="shared" si="1"/>
        <v>3.1233429339388888E-4</v>
      </c>
      <c r="F21" s="6">
        <f t="shared" si="1"/>
        <v>0.17043155101165849</v>
      </c>
      <c r="G21" s="6">
        <f t="shared" si="1"/>
        <v>0.1772492142454018</v>
      </c>
      <c r="H21" s="6">
        <f t="shared" si="1"/>
        <v>0.22370615647415346</v>
      </c>
      <c r="I21" s="6">
        <f t="shared" si="1"/>
        <v>7.6620602454148209E-4</v>
      </c>
      <c r="J21" s="6">
        <f t="shared" si="1"/>
        <v>6.7841500099881741E-2</v>
      </c>
      <c r="K21" s="6">
        <f t="shared" si="1"/>
        <v>7.7618885318129563E-2</v>
      </c>
      <c r="L21" s="6">
        <f t="shared" si="1"/>
        <v>0.12788884062169531</v>
      </c>
      <c r="M21" s="6">
        <f t="shared" si="1"/>
        <v>1.3775142393442968E-3</v>
      </c>
      <c r="N21" s="6">
        <f t="shared" si="1"/>
        <v>6.9282032302755189E-2</v>
      </c>
      <c r="O21" s="6">
        <f t="shared" si="1"/>
        <v>6.8924721863424784E-2</v>
      </c>
      <c r="P21" s="6">
        <f t="shared" si="1"/>
        <v>0.10318388236663749</v>
      </c>
      <c r="Q21" s="6">
        <f t="shared" si="1"/>
        <v>2.5082533364477288E-3</v>
      </c>
      <c r="R21" s="6">
        <f t="shared" si="1"/>
        <v>6.1101009266093055E-2</v>
      </c>
      <c r="S21" s="6">
        <f t="shared" si="1"/>
        <v>5.7434879925856837E-2</v>
      </c>
      <c r="T21" s="6">
        <f t="shared" si="1"/>
        <v>7.7427783956384083E-2</v>
      </c>
      <c r="U21" s="6">
        <f t="shared" si="1"/>
        <v>4.7889393732965932E-3</v>
      </c>
      <c r="V21" s="6">
        <f t="shared" si="1"/>
        <v>0.15675726300930937</v>
      </c>
      <c r="W21" s="6">
        <f t="shared" si="1"/>
        <v>0.21734651175675887</v>
      </c>
      <c r="X21" s="6">
        <f t="shared" si="1"/>
        <v>0.64793689679028788</v>
      </c>
      <c r="Y21" s="5">
        <f>SUM(B21:X21)</f>
        <v>2.5825792906272675</v>
      </c>
    </row>
    <row r="22" spans="1:26" x14ac:dyDescent="0.4">
      <c r="A22" t="s">
        <v>44</v>
      </c>
      <c r="B22">
        <v>11.64</v>
      </c>
      <c r="C22" s="2">
        <v>4.9817999999999998</v>
      </c>
      <c r="D22">
        <v>3.58</v>
      </c>
      <c r="E22">
        <v>4.1675949000000001</v>
      </c>
      <c r="F22">
        <v>15.54000000000002</v>
      </c>
      <c r="G22">
        <v>17.760000000000002</v>
      </c>
      <c r="H22">
        <v>24.699999999999989</v>
      </c>
      <c r="I22">
        <v>4.0795887333333329</v>
      </c>
      <c r="J22">
        <v>14.63999999999999</v>
      </c>
      <c r="K22">
        <v>16.38000000000002</v>
      </c>
      <c r="L22">
        <v>21.76</v>
      </c>
      <c r="M22">
        <v>3.7413405000000002</v>
      </c>
      <c r="N22">
        <v>14.200000000000029</v>
      </c>
      <c r="O22">
        <v>15.880000000000029</v>
      </c>
      <c r="P22">
        <v>21.700000000000049</v>
      </c>
      <c r="Q22">
        <v>3.1943135666666662</v>
      </c>
      <c r="R22">
        <v>18.279999999999941</v>
      </c>
      <c r="S22">
        <v>20.77999999999998</v>
      </c>
      <c r="T22" s="2">
        <v>32.619999999999997</v>
      </c>
      <c r="U22">
        <v>2.9188187000000001</v>
      </c>
      <c r="V22">
        <v>23.279999999999919</v>
      </c>
      <c r="W22">
        <v>31.299999999999969</v>
      </c>
      <c r="X22">
        <v>67.299999999999912</v>
      </c>
      <c r="Y22">
        <v>3</v>
      </c>
      <c r="Z22">
        <v>3</v>
      </c>
    </row>
    <row r="23" spans="1:26" x14ac:dyDescent="0.4">
      <c r="A23" t="s">
        <v>45</v>
      </c>
      <c r="B23">
        <v>10.95</v>
      </c>
      <c r="C23" s="2">
        <v>4.9820000000000002</v>
      </c>
      <c r="D23">
        <v>3.58</v>
      </c>
      <c r="E23">
        <v>4.1681928500000014</v>
      </c>
      <c r="F23">
        <v>15.84000000000003</v>
      </c>
      <c r="G23">
        <v>18.11999999999987</v>
      </c>
      <c r="H23">
        <v>25.159999999999979</v>
      </c>
      <c r="I23">
        <v>4.0787984833333333</v>
      </c>
      <c r="J23">
        <v>14.799999999999971</v>
      </c>
      <c r="K23">
        <v>16.5</v>
      </c>
      <c r="L23">
        <v>21.960000000000068</v>
      </c>
      <c r="M23">
        <v>3.7404688333333338</v>
      </c>
      <c r="N23">
        <v>14.32000000000002</v>
      </c>
      <c r="O23">
        <v>15.96000000000002</v>
      </c>
      <c r="P23">
        <v>21.879999999999988</v>
      </c>
      <c r="Q23">
        <v>3.1903290833333342</v>
      </c>
      <c r="R23">
        <v>18.120000000000051</v>
      </c>
      <c r="S23">
        <v>20.61999999999999</v>
      </c>
      <c r="T23" s="2">
        <v>32.500000000000007</v>
      </c>
      <c r="U23">
        <v>2.9307263166666671</v>
      </c>
      <c r="V23">
        <v>23.059999999999992</v>
      </c>
      <c r="W23">
        <v>31.13999999999999</v>
      </c>
      <c r="X23">
        <v>66.180000000000049</v>
      </c>
      <c r="Y23">
        <v>3</v>
      </c>
      <c r="Z23">
        <v>3</v>
      </c>
    </row>
    <row r="24" spans="1:26" x14ac:dyDescent="0.4">
      <c r="A24" t="s">
        <v>46</v>
      </c>
      <c r="B24">
        <v>11.19</v>
      </c>
      <c r="C24" s="2">
        <v>4.9821</v>
      </c>
      <c r="D24">
        <v>3.585</v>
      </c>
      <c r="E24">
        <v>4.1686868833333328</v>
      </c>
      <c r="F24">
        <v>15.220000000000059</v>
      </c>
      <c r="G24">
        <v>17.44000000000003</v>
      </c>
      <c r="H24">
        <v>24.36000000000007</v>
      </c>
      <c r="I24">
        <v>4.0818244000000004</v>
      </c>
      <c r="J24">
        <v>14.76000000000006</v>
      </c>
      <c r="K24">
        <v>16.4600000000001</v>
      </c>
      <c r="L24">
        <v>21.80000000000009</v>
      </c>
      <c r="M24">
        <v>3.744586766666667</v>
      </c>
      <c r="N24">
        <v>14.299999999999979</v>
      </c>
      <c r="O24">
        <v>15.97999999999997</v>
      </c>
      <c r="P24">
        <v>21.8</v>
      </c>
      <c r="Q24">
        <v>3.1964438166666671</v>
      </c>
      <c r="R24">
        <v>18.15999999999995</v>
      </c>
      <c r="S24">
        <v>20.679999999999939</v>
      </c>
      <c r="T24" s="2">
        <v>32.499999999999929</v>
      </c>
      <c r="U24">
        <v>2.9316615833333328</v>
      </c>
      <c r="V24">
        <v>23.439999999999991</v>
      </c>
      <c r="W24">
        <v>31.620000000000019</v>
      </c>
      <c r="X24">
        <v>67.539999999999978</v>
      </c>
      <c r="Y24">
        <v>3</v>
      </c>
      <c r="Z24">
        <v>3</v>
      </c>
    </row>
    <row r="25" spans="1:26" x14ac:dyDescent="0.4">
      <c r="A25" t="s">
        <v>47</v>
      </c>
      <c r="B25">
        <v>11.75</v>
      </c>
      <c r="C25" s="2">
        <v>4.9823000000000004</v>
      </c>
      <c r="D25">
        <v>3.581</v>
      </c>
      <c r="E25">
        <v>4.1687591333333334</v>
      </c>
      <c r="F25">
        <v>15.11999999999993</v>
      </c>
      <c r="G25">
        <v>17.360000000000039</v>
      </c>
      <c r="H25">
        <v>24.239999999999991</v>
      </c>
      <c r="I25">
        <v>4.0813172333333334</v>
      </c>
      <c r="J25">
        <v>14.76000000000006</v>
      </c>
      <c r="K25">
        <v>16.440000000000051</v>
      </c>
      <c r="L25">
        <v>21.80000000000009</v>
      </c>
      <c r="M25">
        <v>3.7443952999999999</v>
      </c>
      <c r="N25">
        <v>14.179999999999991</v>
      </c>
      <c r="O25">
        <v>15.859999999999991</v>
      </c>
      <c r="P25">
        <v>21.640000000000011</v>
      </c>
      <c r="Q25">
        <v>3.19538945</v>
      </c>
      <c r="R25">
        <v>17.900000000000031</v>
      </c>
      <c r="S25">
        <v>20.400000000000059</v>
      </c>
      <c r="T25" s="2">
        <v>32.180000000000057</v>
      </c>
      <c r="U25">
        <v>2.9287096166666671</v>
      </c>
      <c r="V25">
        <v>23.119999999999941</v>
      </c>
      <c r="W25">
        <v>31.199999999999939</v>
      </c>
      <c r="X25">
        <v>67.019999999999939</v>
      </c>
      <c r="Y25">
        <v>3</v>
      </c>
      <c r="Z25">
        <v>3</v>
      </c>
    </row>
    <row r="26" spans="1:26" x14ac:dyDescent="0.4">
      <c r="A26" t="s">
        <v>48</v>
      </c>
      <c r="B26">
        <v>11.22</v>
      </c>
      <c r="C26" s="2">
        <v>4.9824000000000002</v>
      </c>
      <c r="D26">
        <v>3.585</v>
      </c>
      <c r="E26">
        <v>4.1686043333333327</v>
      </c>
      <c r="F26">
        <v>15.299999999999869</v>
      </c>
      <c r="G26">
        <v>17.520000000000021</v>
      </c>
      <c r="H26">
        <v>24.43999999999988</v>
      </c>
      <c r="I26">
        <v>4.0812484166666669</v>
      </c>
      <c r="J26">
        <v>14.739999999999929</v>
      </c>
      <c r="K26">
        <v>16.459999999999919</v>
      </c>
      <c r="L26">
        <v>21.799999999999908</v>
      </c>
      <c r="M26">
        <v>3.7440334499999999</v>
      </c>
      <c r="N26">
        <v>14.32000000000002</v>
      </c>
      <c r="O26">
        <v>16.000000000000011</v>
      </c>
      <c r="P26">
        <v>21.8</v>
      </c>
      <c r="Q26">
        <v>3.195909250000001</v>
      </c>
      <c r="R26">
        <v>18.060000000000009</v>
      </c>
      <c r="S26">
        <v>20.55999999999996</v>
      </c>
      <c r="T26" s="2">
        <v>32.399999999999977</v>
      </c>
      <c r="U26">
        <v>2.9316248666666662</v>
      </c>
      <c r="V26">
        <v>23.260000000000058</v>
      </c>
      <c r="W26">
        <v>31.47999999999999</v>
      </c>
      <c r="X26">
        <v>67.400000000000048</v>
      </c>
      <c r="Y26">
        <v>3</v>
      </c>
      <c r="Z26">
        <v>3</v>
      </c>
    </row>
    <row r="27" spans="1:26" x14ac:dyDescent="0.4">
      <c r="A27" t="s">
        <v>49</v>
      </c>
      <c r="B27">
        <v>11.13</v>
      </c>
      <c r="C27" s="2">
        <v>4.9825999999999997</v>
      </c>
      <c r="D27">
        <v>3.5859999999999999</v>
      </c>
      <c r="E27">
        <v>4.1692044333333333</v>
      </c>
      <c r="F27">
        <v>15.28000000000009</v>
      </c>
      <c r="G27">
        <v>17.500000000000071</v>
      </c>
      <c r="H27">
        <v>24.399999999999981</v>
      </c>
      <c r="I27">
        <v>4.0809862000000008</v>
      </c>
      <c r="J27">
        <v>14.64000000000016</v>
      </c>
      <c r="K27">
        <v>16.34000000000011</v>
      </c>
      <c r="L27">
        <v>21.6400000000001</v>
      </c>
      <c r="M27">
        <v>3.7436809833333329</v>
      </c>
      <c r="N27">
        <v>14.21999999999999</v>
      </c>
      <c r="O27">
        <v>15.859999999999991</v>
      </c>
      <c r="P27">
        <v>21.659999999999972</v>
      </c>
      <c r="Q27">
        <v>3.1959307166666671</v>
      </c>
      <c r="R27">
        <v>17.879999999999981</v>
      </c>
      <c r="S27">
        <v>20.38000000000002</v>
      </c>
      <c r="T27" s="2">
        <v>32.160000000000011</v>
      </c>
      <c r="U27">
        <v>2.9316507499999989</v>
      </c>
      <c r="V27">
        <v>23.02</v>
      </c>
      <c r="W27">
        <v>31.13999999999999</v>
      </c>
      <c r="X27">
        <v>66.680000000000035</v>
      </c>
      <c r="Y27">
        <v>3</v>
      </c>
      <c r="Z27">
        <v>3</v>
      </c>
    </row>
    <row r="28" spans="1:26" x14ac:dyDescent="0.4">
      <c r="A28" t="s">
        <v>50</v>
      </c>
      <c r="B28">
        <v>11.28</v>
      </c>
      <c r="C28" s="2">
        <v>4.9828999999999999</v>
      </c>
      <c r="D28">
        <v>3.5859999999999999</v>
      </c>
      <c r="E28">
        <v>4.1692312166666667</v>
      </c>
      <c r="F28">
        <v>15.17999999999997</v>
      </c>
      <c r="G28">
        <v>17.399999999999949</v>
      </c>
      <c r="H28">
        <v>24.31999999999999</v>
      </c>
      <c r="I28">
        <v>4.0818188000000006</v>
      </c>
      <c r="J28">
        <v>14.76000000000006</v>
      </c>
      <c r="K28">
        <v>16.460000000000012</v>
      </c>
      <c r="L28">
        <v>21.76</v>
      </c>
      <c r="M28">
        <v>3.7447625499999999</v>
      </c>
      <c r="N28">
        <v>14.30000000000007</v>
      </c>
      <c r="O28">
        <v>15.96000000000002</v>
      </c>
      <c r="P28">
        <v>21.76</v>
      </c>
      <c r="Q28">
        <v>3.1965357499999998</v>
      </c>
      <c r="R28">
        <v>17.999999999999972</v>
      </c>
      <c r="S28">
        <v>20.520000000000049</v>
      </c>
      <c r="T28" s="2">
        <v>32.30000000000004</v>
      </c>
      <c r="U28">
        <v>2.9312016333333339</v>
      </c>
      <c r="V28">
        <v>23.10000000000008</v>
      </c>
      <c r="W28">
        <v>31.34000000000006</v>
      </c>
      <c r="X28">
        <v>67.140000000000015</v>
      </c>
      <c r="Y28">
        <v>3</v>
      </c>
      <c r="Z28">
        <v>3</v>
      </c>
    </row>
    <row r="29" spans="1:26" x14ac:dyDescent="0.4">
      <c r="A29" t="s">
        <v>51</v>
      </c>
      <c r="B29">
        <v>11.05</v>
      </c>
      <c r="C29" s="2">
        <v>4.9829999999999997</v>
      </c>
      <c r="D29">
        <v>3.585</v>
      </c>
      <c r="E29">
        <v>4.1685336499999996</v>
      </c>
      <c r="F29">
        <v>15.039999999999941</v>
      </c>
      <c r="G29">
        <v>17.25999999999992</v>
      </c>
      <c r="H29">
        <v>24.16</v>
      </c>
      <c r="I29">
        <v>4.0823008666666674</v>
      </c>
      <c r="J29">
        <v>14.719999999999979</v>
      </c>
      <c r="K29">
        <v>16.41999999999992</v>
      </c>
      <c r="L29">
        <v>21.740000000000052</v>
      </c>
      <c r="M29">
        <v>3.7451289166666659</v>
      </c>
      <c r="N29">
        <v>14.299999999999979</v>
      </c>
      <c r="O29">
        <v>15.96000000000002</v>
      </c>
      <c r="P29">
        <v>21.76</v>
      </c>
      <c r="Q29">
        <v>3.1977191166666672</v>
      </c>
      <c r="R29">
        <v>18.039999999999971</v>
      </c>
      <c r="S29">
        <v>20.58</v>
      </c>
      <c r="T29" s="2">
        <v>32.379999999999953</v>
      </c>
      <c r="U29">
        <v>2.9340567833333342</v>
      </c>
      <c r="V29">
        <v>23.24000000000002</v>
      </c>
      <c r="W29">
        <v>31.500000000000039</v>
      </c>
      <c r="X29">
        <v>67.280000000000044</v>
      </c>
      <c r="Y29">
        <v>3</v>
      </c>
      <c r="Z29">
        <v>3</v>
      </c>
    </row>
    <row r="30" spans="1:26" x14ac:dyDescent="0.4">
      <c r="A30" t="s">
        <v>52</v>
      </c>
      <c r="B30">
        <v>11.63</v>
      </c>
      <c r="C30" s="2">
        <v>4.9832999999999998</v>
      </c>
      <c r="D30">
        <v>3.5779999999999998</v>
      </c>
      <c r="E30">
        <v>4.1680793500000002</v>
      </c>
      <c r="F30">
        <v>15.460000000000029</v>
      </c>
      <c r="G30">
        <v>17.740000000000041</v>
      </c>
      <c r="H30">
        <v>24.79999999999993</v>
      </c>
      <c r="I30">
        <v>4.0815218999999994</v>
      </c>
      <c r="J30">
        <v>14.94</v>
      </c>
      <c r="K30">
        <v>16.63999999999994</v>
      </c>
      <c r="L30">
        <v>22.100000000000009</v>
      </c>
      <c r="M30">
        <v>3.7444759833333339</v>
      </c>
      <c r="N30">
        <v>14.400000000000009</v>
      </c>
      <c r="O30">
        <v>16.080000000000009</v>
      </c>
      <c r="P30">
        <v>21.94000000000003</v>
      </c>
      <c r="Q30">
        <v>3.1948373499999998</v>
      </c>
      <c r="R30">
        <v>18.02000000000001</v>
      </c>
      <c r="S30">
        <v>20.58</v>
      </c>
      <c r="T30" s="2">
        <v>32.479999999999983</v>
      </c>
      <c r="U30">
        <v>2.9336884333333328</v>
      </c>
      <c r="V30">
        <v>23.220000000000059</v>
      </c>
      <c r="W30">
        <v>31.46000000000004</v>
      </c>
      <c r="X30">
        <v>67.459999999999994</v>
      </c>
      <c r="Y30">
        <v>3</v>
      </c>
      <c r="Z30">
        <v>3</v>
      </c>
    </row>
    <row r="31" spans="1:26" s="5" customFormat="1" x14ac:dyDescent="0.4">
      <c r="B31" s="6">
        <f>_xlfn.STDEV.P(B22:B30)</f>
        <v>0.27031303298670084</v>
      </c>
      <c r="C31" s="6">
        <f t="shared" ref="C31:X31" si="2">_xlfn.STDEV.P(C22:C30)</f>
        <v>4.7245092501033045E-4</v>
      </c>
      <c r="D31" s="6">
        <f t="shared" si="2"/>
        <v>2.9228769862146183E-3</v>
      </c>
      <c r="E31" s="6">
        <f t="shared" si="2"/>
        <v>4.9652922197132229E-4</v>
      </c>
      <c r="F31" s="6">
        <f t="shared" si="2"/>
        <v>0.23268693533706394</v>
      </c>
      <c r="G31" s="6">
        <f t="shared" si="2"/>
        <v>0.24962193635796553</v>
      </c>
      <c r="H31" s="6">
        <f t="shared" si="2"/>
        <v>0.30068235156590534</v>
      </c>
      <c r="I31" s="6">
        <f t="shared" si="2"/>
        <v>1.0696500985751378E-3</v>
      </c>
      <c r="J31" s="6">
        <f t="shared" si="2"/>
        <v>8.43859446490801E-2</v>
      </c>
      <c r="K31" s="6">
        <f t="shared" si="2"/>
        <v>7.9318081322522077E-2</v>
      </c>
      <c r="L31" s="6">
        <f t="shared" si="2"/>
        <v>0.12699761833091933</v>
      </c>
      <c r="M31" s="6">
        <f t="shared" si="2"/>
        <v>1.5326723067850248E-3</v>
      </c>
      <c r="N31" s="6">
        <f t="shared" si="2"/>
        <v>6.5621435823263338E-2</v>
      </c>
      <c r="O31" s="6">
        <f t="shared" si="2"/>
        <v>6.8059523693839885E-2</v>
      </c>
      <c r="P31" s="6">
        <f t="shared" si="2"/>
        <v>9.2429485969270878E-2</v>
      </c>
      <c r="Q31" s="6">
        <f t="shared" si="2"/>
        <v>1.9819225070497391E-3</v>
      </c>
      <c r="R31" s="6">
        <f t="shared" si="2"/>
        <v>0.11779874027286172</v>
      </c>
      <c r="S31" s="6">
        <f t="shared" si="2"/>
        <v>0.1185092588975155</v>
      </c>
      <c r="T31" s="6">
        <f t="shared" si="2"/>
        <v>0.14548344269627203</v>
      </c>
      <c r="U31" s="6">
        <f t="shared" si="2"/>
        <v>4.2990678163306092E-3</v>
      </c>
      <c r="V31" s="6">
        <f t="shared" si="2"/>
        <v>0.12364824660660509</v>
      </c>
      <c r="W31" s="6">
        <f t="shared" si="2"/>
        <v>0.16248076809273851</v>
      </c>
      <c r="X31" s="6">
        <f t="shared" si="2"/>
        <v>0.41032357000147041</v>
      </c>
      <c r="Y31" s="5">
        <f>SUM(B31:X31)</f>
        <v>2.6611355424659315</v>
      </c>
    </row>
    <row r="32" spans="1:26" x14ac:dyDescent="0.4">
      <c r="A32" t="s">
        <v>53</v>
      </c>
      <c r="B32">
        <v>10.96</v>
      </c>
      <c r="C32" s="2">
        <v>4.9833999999999996</v>
      </c>
      <c r="D32">
        <v>3.5790000000000002</v>
      </c>
      <c r="E32">
        <v>4.1685346333333344</v>
      </c>
      <c r="F32">
        <v>14.99999999999986</v>
      </c>
      <c r="G32">
        <v>17.27999999999987</v>
      </c>
      <c r="H32">
        <v>24.31999999999999</v>
      </c>
      <c r="I32">
        <v>4.0830478333333344</v>
      </c>
      <c r="J32">
        <v>14.700000000000021</v>
      </c>
      <c r="K32">
        <v>16.440000000000051</v>
      </c>
      <c r="L32">
        <v>21.900000000000031</v>
      </c>
      <c r="M32">
        <v>3.7463856666666659</v>
      </c>
      <c r="N32">
        <v>14.220000000000081</v>
      </c>
      <c r="O32">
        <v>15.90000000000007</v>
      </c>
      <c r="P32">
        <v>21.78000000000004</v>
      </c>
      <c r="Q32">
        <v>3.1950179333333342</v>
      </c>
      <c r="R32">
        <v>17.859999999999939</v>
      </c>
      <c r="S32">
        <v>20.379999999999932</v>
      </c>
      <c r="T32" s="2">
        <v>32.24</v>
      </c>
      <c r="U32">
        <v>2.9246672500000011</v>
      </c>
      <c r="V32">
        <v>23.079999999999949</v>
      </c>
      <c r="W32">
        <v>31.519999999999989</v>
      </c>
      <c r="X32">
        <v>68.999999999999943</v>
      </c>
      <c r="Y32">
        <v>4</v>
      </c>
      <c r="Z32">
        <v>4</v>
      </c>
    </row>
    <row r="33" spans="1:26" x14ac:dyDescent="0.4">
      <c r="A33" t="s">
        <v>54</v>
      </c>
      <c r="B33">
        <v>10.93</v>
      </c>
      <c r="C33" s="2">
        <v>4.9833999999999996</v>
      </c>
      <c r="D33">
        <v>3.5779999999999998</v>
      </c>
      <c r="E33">
        <v>4.1686416333333334</v>
      </c>
      <c r="F33">
        <v>15.240000000000011</v>
      </c>
      <c r="G33">
        <v>17.540000000000159</v>
      </c>
      <c r="H33">
        <v>24.62</v>
      </c>
      <c r="I33">
        <v>4.0822437166666674</v>
      </c>
      <c r="J33">
        <v>14.739999999999929</v>
      </c>
      <c r="K33">
        <v>16.48000000000005</v>
      </c>
      <c r="L33">
        <v>21.94000000000003</v>
      </c>
      <c r="M33">
        <v>3.7452297666666658</v>
      </c>
      <c r="N33">
        <v>14.21999999999999</v>
      </c>
      <c r="O33">
        <v>15.899999999999981</v>
      </c>
      <c r="P33">
        <v>21.779999999999951</v>
      </c>
      <c r="Q33">
        <v>3.193301850000001</v>
      </c>
      <c r="R33">
        <v>17.860000000000031</v>
      </c>
      <c r="S33">
        <v>20.420000000000019</v>
      </c>
      <c r="T33" s="2">
        <v>32.320000000000093</v>
      </c>
      <c r="U33">
        <v>2.9212590333333339</v>
      </c>
      <c r="V33">
        <v>23.179999999999978</v>
      </c>
      <c r="W33">
        <v>31.75999999999997</v>
      </c>
      <c r="X33">
        <v>69.960000000000022</v>
      </c>
      <c r="Y33">
        <v>4</v>
      </c>
      <c r="Z33">
        <v>4</v>
      </c>
    </row>
    <row r="34" spans="1:26" x14ac:dyDescent="0.4">
      <c r="A34" t="s">
        <v>55</v>
      </c>
      <c r="B34">
        <v>11.22</v>
      </c>
      <c r="C34" s="2">
        <v>4.984</v>
      </c>
      <c r="D34">
        <v>3.5790000000000002</v>
      </c>
      <c r="E34">
        <v>4.1682964</v>
      </c>
      <c r="F34">
        <v>15.760000000000041</v>
      </c>
      <c r="G34">
        <v>17.999999999999972</v>
      </c>
      <c r="H34">
        <v>25.01999999999995</v>
      </c>
      <c r="I34">
        <v>4.0803160666666667</v>
      </c>
      <c r="J34">
        <v>14.959999999999949</v>
      </c>
      <c r="K34">
        <v>16.659999999999989</v>
      </c>
      <c r="L34">
        <v>22.060000000000009</v>
      </c>
      <c r="M34">
        <v>3.7431461499999998</v>
      </c>
      <c r="N34">
        <v>14.41999999999997</v>
      </c>
      <c r="O34">
        <v>16.099999999999959</v>
      </c>
      <c r="P34">
        <v>21.939999999999941</v>
      </c>
      <c r="Q34">
        <v>3.1941459833333332</v>
      </c>
      <c r="R34">
        <v>18.100000000000001</v>
      </c>
      <c r="S34">
        <v>20.599999999999952</v>
      </c>
      <c r="T34" s="2">
        <v>32.399999999999977</v>
      </c>
      <c r="U34">
        <v>2.9284422166666659</v>
      </c>
      <c r="V34">
        <v>23.299999999999969</v>
      </c>
      <c r="W34">
        <v>31.419999999999959</v>
      </c>
      <c r="X34">
        <v>67.179999999999936</v>
      </c>
      <c r="Y34">
        <v>4</v>
      </c>
      <c r="Z34">
        <v>4</v>
      </c>
    </row>
    <row r="35" spans="1:26" x14ac:dyDescent="0.4">
      <c r="A35" t="s">
        <v>56</v>
      </c>
      <c r="B35">
        <v>11.77</v>
      </c>
      <c r="C35" s="2">
        <v>4.984</v>
      </c>
      <c r="D35">
        <v>3.58</v>
      </c>
      <c r="E35">
        <v>4.1677552833333333</v>
      </c>
      <c r="F35">
        <v>15.279999999999919</v>
      </c>
      <c r="G35">
        <v>17.500000000000071</v>
      </c>
      <c r="H35">
        <v>24.36000000000007</v>
      </c>
      <c r="I35">
        <v>4.0805129833333336</v>
      </c>
      <c r="J35">
        <v>14.620000000000029</v>
      </c>
      <c r="K35">
        <v>16.29999999999994</v>
      </c>
      <c r="L35">
        <v>21.659999999999972</v>
      </c>
      <c r="M35">
        <v>3.7418517000000011</v>
      </c>
      <c r="N35">
        <v>14.19999999999995</v>
      </c>
      <c r="O35">
        <v>15.859999999999991</v>
      </c>
      <c r="P35">
        <v>21.679999999999922</v>
      </c>
      <c r="Q35">
        <v>3.196218383333334</v>
      </c>
      <c r="R35">
        <v>18.24000000000003</v>
      </c>
      <c r="S35">
        <v>20.760000000000019</v>
      </c>
      <c r="T35" s="2">
        <v>32.600000000000051</v>
      </c>
      <c r="U35">
        <v>2.9237852000000002</v>
      </c>
      <c r="V35">
        <v>23.36</v>
      </c>
      <c r="W35">
        <v>31.280000000000019</v>
      </c>
      <c r="X35">
        <v>66.58</v>
      </c>
      <c r="Y35">
        <v>4</v>
      </c>
      <c r="Z35">
        <v>4</v>
      </c>
    </row>
    <row r="36" spans="1:26" x14ac:dyDescent="0.4">
      <c r="A36" t="s">
        <v>57</v>
      </c>
      <c r="B36">
        <v>11.52</v>
      </c>
      <c r="C36" s="2">
        <v>4.9840999999999998</v>
      </c>
      <c r="D36">
        <v>3.5779999999999998</v>
      </c>
      <c r="E36">
        <v>4.1681184666666669</v>
      </c>
      <c r="F36">
        <v>15.299999999999869</v>
      </c>
      <c r="G36">
        <v>17.579999999999881</v>
      </c>
      <c r="H36">
        <v>24.62</v>
      </c>
      <c r="I36">
        <v>4.0815907666666664</v>
      </c>
      <c r="J36">
        <v>14.719999999999979</v>
      </c>
      <c r="K36">
        <v>16.459999999999919</v>
      </c>
      <c r="L36">
        <v>21.899999999999942</v>
      </c>
      <c r="M36">
        <v>3.7443324499999999</v>
      </c>
      <c r="N36">
        <v>14.200000000000029</v>
      </c>
      <c r="O36">
        <v>15.90000000000007</v>
      </c>
      <c r="P36">
        <v>21.76</v>
      </c>
      <c r="Q36">
        <v>3.194091616666666</v>
      </c>
      <c r="R36">
        <v>17.940000000000019</v>
      </c>
      <c r="S36">
        <v>20.48000000000005</v>
      </c>
      <c r="T36" s="2">
        <v>32.359999999999992</v>
      </c>
      <c r="U36">
        <v>2.9294430999999999</v>
      </c>
      <c r="V36">
        <v>23.08000000000003</v>
      </c>
      <c r="W36">
        <v>31.339999999999961</v>
      </c>
      <c r="X36">
        <v>67.57999999999997</v>
      </c>
      <c r="Y36">
        <v>4</v>
      </c>
      <c r="Z36">
        <v>4</v>
      </c>
    </row>
    <row r="37" spans="1:26" x14ac:dyDescent="0.4">
      <c r="A37" t="s">
        <v>58</v>
      </c>
      <c r="B37">
        <v>11.36</v>
      </c>
      <c r="C37" s="2">
        <v>4.9842000000000004</v>
      </c>
      <c r="D37">
        <v>3.585</v>
      </c>
      <c r="E37">
        <v>4.1691077666666656</v>
      </c>
      <c r="F37">
        <v>15.32</v>
      </c>
      <c r="G37">
        <v>17.539999999999981</v>
      </c>
      <c r="H37">
        <v>24.440000000000062</v>
      </c>
      <c r="I37">
        <v>4.0822006000000002</v>
      </c>
      <c r="J37">
        <v>14.8200000000001</v>
      </c>
      <c r="K37">
        <v>16.540000000000092</v>
      </c>
      <c r="L37">
        <v>21.880000000000081</v>
      </c>
      <c r="M37">
        <v>3.7450066333333329</v>
      </c>
      <c r="N37">
        <v>14.400000000000009</v>
      </c>
      <c r="O37">
        <v>16.080000000000009</v>
      </c>
      <c r="P37">
        <v>21.879999999999988</v>
      </c>
      <c r="Q37">
        <v>3.1972537833333341</v>
      </c>
      <c r="R37">
        <v>18.14</v>
      </c>
      <c r="S37">
        <v>20.64000000000004</v>
      </c>
      <c r="T37" s="2">
        <v>32.440000000000069</v>
      </c>
      <c r="U37">
        <v>2.9312646999999998</v>
      </c>
      <c r="V37">
        <v>23.339999999999961</v>
      </c>
      <c r="W37">
        <v>31.519999999999989</v>
      </c>
      <c r="X37">
        <v>67.459999999999994</v>
      </c>
      <c r="Y37">
        <v>4</v>
      </c>
      <c r="Z37">
        <v>4</v>
      </c>
    </row>
    <row r="38" spans="1:26" x14ac:dyDescent="0.4">
      <c r="A38" t="s">
        <v>59</v>
      </c>
      <c r="B38">
        <v>11.13</v>
      </c>
      <c r="C38" s="2">
        <v>4.9842000000000004</v>
      </c>
      <c r="D38">
        <v>3.5790000000000002</v>
      </c>
      <c r="E38">
        <v>4.1695357333333334</v>
      </c>
      <c r="F38">
        <v>15.28000000000009</v>
      </c>
      <c r="G38">
        <v>17.500000000000071</v>
      </c>
      <c r="H38">
        <v>24.420000000000108</v>
      </c>
      <c r="I38">
        <v>4.0802466666666657</v>
      </c>
      <c r="J38">
        <v>14.63999999999999</v>
      </c>
      <c r="K38">
        <v>16.340000000000021</v>
      </c>
      <c r="L38">
        <v>21.700000000000049</v>
      </c>
      <c r="M38">
        <v>3.7417075666666668</v>
      </c>
      <c r="N38">
        <v>14.200000000000029</v>
      </c>
      <c r="O38">
        <v>15.859999999999991</v>
      </c>
      <c r="P38">
        <v>21.68000000000001</v>
      </c>
      <c r="Q38">
        <v>3.1892608</v>
      </c>
      <c r="R38">
        <v>18.04000000000006</v>
      </c>
      <c r="S38">
        <v>20.58</v>
      </c>
      <c r="T38" s="2">
        <v>32.460000000000022</v>
      </c>
      <c r="U38">
        <v>2.9260200666666671</v>
      </c>
      <c r="V38">
        <v>23.25999999999997</v>
      </c>
      <c r="W38">
        <v>31.400000000000009</v>
      </c>
      <c r="X38">
        <v>67.319999999999965</v>
      </c>
      <c r="Y38">
        <v>4</v>
      </c>
      <c r="Z38">
        <v>4</v>
      </c>
    </row>
    <row r="39" spans="1:26" x14ac:dyDescent="0.4">
      <c r="A39" t="s">
        <v>60</v>
      </c>
      <c r="B39">
        <v>11.61</v>
      </c>
      <c r="C39" s="2">
        <v>4.9843999999999999</v>
      </c>
      <c r="D39">
        <v>3.58</v>
      </c>
      <c r="E39">
        <v>4.1686180833333344</v>
      </c>
      <c r="F39">
        <v>15.32</v>
      </c>
      <c r="G39">
        <v>17.49999999999989</v>
      </c>
      <c r="H39">
        <v>24.43999999999988</v>
      </c>
      <c r="I39">
        <v>4.0805660833333324</v>
      </c>
      <c r="J39">
        <v>14.67999999999989</v>
      </c>
      <c r="K39">
        <v>16.359999999999889</v>
      </c>
      <c r="L39">
        <v>21.759999999999909</v>
      </c>
      <c r="M39">
        <v>3.740924783333333</v>
      </c>
      <c r="N39">
        <v>14.179999999999991</v>
      </c>
      <c r="O39">
        <v>15.81999999999999</v>
      </c>
      <c r="P39">
        <v>21.68000000000001</v>
      </c>
      <c r="Q39">
        <v>3.1901643833333329</v>
      </c>
      <c r="R39">
        <v>17.95999999999998</v>
      </c>
      <c r="S39">
        <v>20.51999999999996</v>
      </c>
      <c r="T39" s="2">
        <v>32.419999999999938</v>
      </c>
      <c r="U39">
        <v>2.9277732666666672</v>
      </c>
      <c r="V39">
        <v>22.959999999999962</v>
      </c>
      <c r="W39">
        <v>31.36000000000001</v>
      </c>
      <c r="X39">
        <v>67.459999999999994</v>
      </c>
      <c r="Y39">
        <v>4</v>
      </c>
      <c r="Z39">
        <v>4</v>
      </c>
    </row>
    <row r="40" spans="1:26" x14ac:dyDescent="0.4">
      <c r="A40" t="s">
        <v>61</v>
      </c>
      <c r="B40">
        <v>11.2</v>
      </c>
      <c r="C40" s="2">
        <v>4.9843999999999999</v>
      </c>
      <c r="D40">
        <v>3.5859999999999999</v>
      </c>
      <c r="E40">
        <v>4.1692315500000001</v>
      </c>
      <c r="F40">
        <v>15.259999999999961</v>
      </c>
      <c r="G40">
        <v>17.47999999999994</v>
      </c>
      <c r="H40">
        <v>24.399999999999981</v>
      </c>
      <c r="I40">
        <v>4.081197050000001</v>
      </c>
      <c r="J40">
        <v>14.620000000000029</v>
      </c>
      <c r="K40">
        <v>16.340000000000021</v>
      </c>
      <c r="L40">
        <v>21.659999999999972</v>
      </c>
      <c r="M40">
        <v>3.743948333333333</v>
      </c>
      <c r="N40">
        <v>14.220000000000081</v>
      </c>
      <c r="O40">
        <v>15.860000000000079</v>
      </c>
      <c r="P40">
        <v>21.660000000000061</v>
      </c>
      <c r="Q40">
        <v>3.1963480166666671</v>
      </c>
      <c r="R40">
        <v>18.120000000000051</v>
      </c>
      <c r="S40">
        <v>20.64000000000004</v>
      </c>
      <c r="T40" s="2">
        <v>32.460000000000022</v>
      </c>
      <c r="U40">
        <v>2.930207583333333</v>
      </c>
      <c r="V40">
        <v>23.339999999999961</v>
      </c>
      <c r="W40">
        <v>31.559999999999992</v>
      </c>
      <c r="X40">
        <v>67.439999999999941</v>
      </c>
      <c r="Y40">
        <v>4</v>
      </c>
      <c r="Z40">
        <v>4</v>
      </c>
    </row>
    <row r="41" spans="1:26" s="5" customFormat="1" x14ac:dyDescent="0.4">
      <c r="B41" s="6">
        <f>_xlfn.STDEV.P(B32:B40)</f>
        <v>0.27219274216791434</v>
      </c>
      <c r="C41" s="6">
        <f t="shared" ref="C41:X41" si="3">_xlfn.STDEV.P(C32:C40)</f>
        <v>3.5416394334482722E-4</v>
      </c>
      <c r="D41" s="6">
        <f t="shared" si="3"/>
        <v>2.7932900199947428E-3</v>
      </c>
      <c r="E41" s="6">
        <f t="shared" si="3"/>
        <v>5.327850127534305E-4</v>
      </c>
      <c r="F41" s="6">
        <f t="shared" si="3"/>
        <v>0.18499249234019274</v>
      </c>
      <c r="G41" s="6">
        <f t="shared" si="3"/>
        <v>0.17913371790060412</v>
      </c>
      <c r="H41" s="6">
        <f t="shared" si="3"/>
        <v>0.20347596697348333</v>
      </c>
      <c r="I41" s="6">
        <f t="shared" si="3"/>
        <v>9.4762552102304275E-4</v>
      </c>
      <c r="J41" s="6">
        <f t="shared" si="3"/>
        <v>0.10347063757175354</v>
      </c>
      <c r="K41" s="6">
        <f t="shared" si="3"/>
        <v>0.10863916943629003</v>
      </c>
      <c r="L41" s="6">
        <f t="shared" si="3"/>
        <v>0.13203067357790726</v>
      </c>
      <c r="M41" s="6">
        <f t="shared" si="3"/>
        <v>1.7336912623494901E-3</v>
      </c>
      <c r="N41" s="6">
        <f t="shared" si="3"/>
        <v>8.5951464914717002E-2</v>
      </c>
      <c r="O41" s="6">
        <f t="shared" si="3"/>
        <v>9.4280904158193388E-2</v>
      </c>
      <c r="P41" s="6">
        <f t="shared" si="3"/>
        <v>9.237604307032371E-2</v>
      </c>
      <c r="Q41" s="6">
        <f t="shared" si="3"/>
        <v>2.576441734313077E-3</v>
      </c>
      <c r="R41" s="6">
        <f t="shared" si="3"/>
        <v>0.12476150086773208</v>
      </c>
      <c r="S41" s="6">
        <f t="shared" si="3"/>
        <v>0.11291863125257075</v>
      </c>
      <c r="T41" s="6">
        <f t="shared" si="3"/>
        <v>9.5270893823232713E-2</v>
      </c>
      <c r="U41" s="6">
        <f t="shared" si="3"/>
        <v>3.1058448619442651E-3</v>
      </c>
      <c r="V41" s="6">
        <f t="shared" si="3"/>
        <v>0.13502628916411716</v>
      </c>
      <c r="W41" s="6">
        <f t="shared" si="3"/>
        <v>0.13709508280165597</v>
      </c>
      <c r="X41" s="6">
        <f t="shared" si="3"/>
        <v>0.97824231389332794</v>
      </c>
      <c r="Y41" s="5">
        <f>SUM(B41:X41)</f>
        <v>3.0519023662697395</v>
      </c>
    </row>
    <row r="42" spans="1:26" x14ac:dyDescent="0.4">
      <c r="A42" t="s">
        <v>62</v>
      </c>
      <c r="B42">
        <v>11.17</v>
      </c>
      <c r="C42" s="2">
        <v>4.9843999999999999</v>
      </c>
      <c r="D42">
        <v>3.5790000000000002</v>
      </c>
      <c r="E42">
        <v>4.1696143499999998</v>
      </c>
      <c r="F42">
        <v>15.240000000000011</v>
      </c>
      <c r="G42">
        <v>17.44000000000003</v>
      </c>
      <c r="H42">
        <v>24.38000000000002</v>
      </c>
      <c r="I42">
        <v>4.0806066666666654</v>
      </c>
      <c r="J42">
        <v>14.57999999999995</v>
      </c>
      <c r="K42">
        <v>16.279999999999891</v>
      </c>
      <c r="L42">
        <v>21.63999999999993</v>
      </c>
      <c r="M42">
        <v>3.742120966666667</v>
      </c>
      <c r="N42">
        <v>14.14</v>
      </c>
      <c r="O42">
        <v>15.80000000000004</v>
      </c>
      <c r="P42">
        <v>21.619999999999969</v>
      </c>
      <c r="Q42">
        <v>3.189087133333333</v>
      </c>
      <c r="R42">
        <v>17.91999999999998</v>
      </c>
      <c r="S42">
        <v>20.460000000000012</v>
      </c>
      <c r="T42" s="2">
        <v>32.399999999999977</v>
      </c>
      <c r="U42">
        <v>2.9261313000000002</v>
      </c>
      <c r="V42">
        <v>23.120000000000029</v>
      </c>
      <c r="W42">
        <v>31.34000000000006</v>
      </c>
      <c r="X42">
        <v>67.419999999999987</v>
      </c>
      <c r="Y42">
        <v>5</v>
      </c>
      <c r="Z42">
        <v>5</v>
      </c>
    </row>
    <row r="43" spans="1:26" x14ac:dyDescent="0.4">
      <c r="A43" t="s">
        <v>63</v>
      </c>
      <c r="B43">
        <v>11.16</v>
      </c>
      <c r="C43" s="2">
        <v>4.9847999999999999</v>
      </c>
      <c r="D43">
        <v>3.5859999999999999</v>
      </c>
      <c r="E43">
        <v>4.1687781999999993</v>
      </c>
      <c r="F43">
        <v>15.38000000000004</v>
      </c>
      <c r="G43">
        <v>17.600000000000019</v>
      </c>
      <c r="H43">
        <v>24.500000000000099</v>
      </c>
      <c r="I43">
        <v>4.0808596000000001</v>
      </c>
      <c r="J43">
        <v>14.759999999999881</v>
      </c>
      <c r="K43">
        <v>16.459999999999919</v>
      </c>
      <c r="L43">
        <v>21.779999999999951</v>
      </c>
      <c r="M43">
        <v>3.7436890833333329</v>
      </c>
      <c r="N43">
        <v>14.319999999999929</v>
      </c>
      <c r="O43">
        <v>15.97999999999997</v>
      </c>
      <c r="P43">
        <v>21.779999999999951</v>
      </c>
      <c r="Q43">
        <v>3.1959259666666671</v>
      </c>
      <c r="R43">
        <v>18.02000000000001</v>
      </c>
      <c r="S43">
        <v>20.520000000000049</v>
      </c>
      <c r="T43" s="2">
        <v>32.30000000000004</v>
      </c>
      <c r="U43">
        <v>2.9315954333333329</v>
      </c>
      <c r="V43">
        <v>23.140000000000072</v>
      </c>
      <c r="W43">
        <v>31.22000000000007</v>
      </c>
      <c r="X43">
        <v>66.560000000000031</v>
      </c>
      <c r="Y43">
        <v>5</v>
      </c>
      <c r="Z43">
        <v>5</v>
      </c>
    </row>
    <row r="44" spans="1:26" x14ac:dyDescent="0.4">
      <c r="A44" t="s">
        <v>64</v>
      </c>
      <c r="B44">
        <v>11.1</v>
      </c>
      <c r="C44" s="2">
        <v>4.9847999999999999</v>
      </c>
      <c r="D44">
        <v>3.585</v>
      </c>
      <c r="E44">
        <v>4.1684984500000004</v>
      </c>
      <c r="F44">
        <v>15.4399999999999</v>
      </c>
      <c r="G44">
        <v>17.66000000000005</v>
      </c>
      <c r="H44">
        <v>24.579999999999909</v>
      </c>
      <c r="I44">
        <v>4.080693666666666</v>
      </c>
      <c r="J44">
        <v>14.74000000000011</v>
      </c>
      <c r="K44">
        <v>16.440000000000051</v>
      </c>
      <c r="L44">
        <v>21.80000000000009</v>
      </c>
      <c r="M44">
        <v>3.7435051499999998</v>
      </c>
      <c r="N44">
        <v>14.319999999999929</v>
      </c>
      <c r="O44">
        <v>15.97999999999997</v>
      </c>
      <c r="P44">
        <v>21.779999999999951</v>
      </c>
      <c r="Q44">
        <v>3.1965713</v>
      </c>
      <c r="R44">
        <v>18.200000000000038</v>
      </c>
      <c r="S44">
        <v>20.680000000000032</v>
      </c>
      <c r="T44" s="2">
        <v>32.479999999999983</v>
      </c>
      <c r="U44">
        <v>2.9338450333333341</v>
      </c>
      <c r="V44">
        <v>23.380000000000049</v>
      </c>
      <c r="W44">
        <v>31.58000000000003</v>
      </c>
      <c r="X44">
        <v>67.039999999999992</v>
      </c>
      <c r="Y44">
        <v>5</v>
      </c>
      <c r="Z44">
        <v>5</v>
      </c>
    </row>
    <row r="45" spans="1:26" x14ac:dyDescent="0.4">
      <c r="A45" t="s">
        <v>65</v>
      </c>
      <c r="B45">
        <v>11.19</v>
      </c>
      <c r="C45" s="2">
        <v>4.9851000000000001</v>
      </c>
      <c r="D45">
        <v>3.585</v>
      </c>
      <c r="E45">
        <v>4.1688264500000001</v>
      </c>
      <c r="F45">
        <v>15.140000000000059</v>
      </c>
      <c r="G45">
        <v>17.399999999999949</v>
      </c>
      <c r="H45">
        <v>24.300000000000029</v>
      </c>
      <c r="I45">
        <v>4.0824309666666663</v>
      </c>
      <c r="J45">
        <v>14.81999999999992</v>
      </c>
      <c r="K45">
        <v>16.499999999999911</v>
      </c>
      <c r="L45">
        <v>21.819999999999951</v>
      </c>
      <c r="M45">
        <v>3.7451638333333328</v>
      </c>
      <c r="N45">
        <v>14.35999999999993</v>
      </c>
      <c r="O45">
        <v>16.019999999999971</v>
      </c>
      <c r="P45">
        <v>21.819999999999951</v>
      </c>
      <c r="Q45">
        <v>3.1970588499999999</v>
      </c>
      <c r="R45">
        <v>17.91999999999998</v>
      </c>
      <c r="S45">
        <v>20.439999999999969</v>
      </c>
      <c r="T45" s="2">
        <v>32.239999999999917</v>
      </c>
      <c r="U45">
        <v>2.933563083333333</v>
      </c>
      <c r="V45">
        <v>23.059999999999992</v>
      </c>
      <c r="W45">
        <v>31.24000000000002</v>
      </c>
      <c r="X45">
        <v>66.92</v>
      </c>
      <c r="Y45">
        <v>5</v>
      </c>
      <c r="Z45">
        <v>5</v>
      </c>
    </row>
    <row r="46" spans="1:26" x14ac:dyDescent="0.4">
      <c r="A46" t="s">
        <v>66</v>
      </c>
      <c r="B46">
        <v>11.55</v>
      </c>
      <c r="C46" s="2">
        <v>4.9851000000000001</v>
      </c>
      <c r="D46">
        <v>3.58</v>
      </c>
      <c r="E46">
        <v>4.1684311333333337</v>
      </c>
      <c r="F46">
        <v>15.16000000000002</v>
      </c>
      <c r="G46">
        <v>17.419999999999899</v>
      </c>
      <c r="H46">
        <v>24.31999999999999</v>
      </c>
      <c r="I46">
        <v>4.0818121333333339</v>
      </c>
      <c r="J46">
        <v>14.80000000000015</v>
      </c>
      <c r="K46">
        <v>16.520000000000049</v>
      </c>
      <c r="L46">
        <v>21.880000000000081</v>
      </c>
      <c r="M46">
        <v>3.7445928999999998</v>
      </c>
      <c r="N46">
        <v>14.299999999999979</v>
      </c>
      <c r="O46">
        <v>15.97999999999997</v>
      </c>
      <c r="P46">
        <v>21.819999999999951</v>
      </c>
      <c r="Q46">
        <v>3.196312633333334</v>
      </c>
      <c r="R46">
        <v>18.02000000000001</v>
      </c>
      <c r="S46">
        <v>20.54</v>
      </c>
      <c r="T46" s="2">
        <v>32.379999999999953</v>
      </c>
      <c r="U46">
        <v>2.933225016666666</v>
      </c>
      <c r="V46">
        <v>23.120000000000029</v>
      </c>
      <c r="W46">
        <v>31.37999999999996</v>
      </c>
      <c r="X46">
        <v>67.079999999999984</v>
      </c>
      <c r="Y46">
        <v>5</v>
      </c>
      <c r="Z46">
        <v>5</v>
      </c>
    </row>
    <row r="47" spans="1:26" x14ac:dyDescent="0.4">
      <c r="A47" t="s">
        <v>67</v>
      </c>
      <c r="B47">
        <v>11.53</v>
      </c>
      <c r="C47" s="2">
        <v>4.9851999999999999</v>
      </c>
      <c r="D47">
        <v>3.5790000000000002</v>
      </c>
      <c r="E47">
        <v>4.1678083499999996</v>
      </c>
      <c r="F47">
        <v>15.38000000000004</v>
      </c>
      <c r="G47">
        <v>17.600000000000019</v>
      </c>
      <c r="H47">
        <v>24.55999999999996</v>
      </c>
      <c r="I47">
        <v>4.0806241333333322</v>
      </c>
      <c r="J47">
        <v>14.719999999999979</v>
      </c>
      <c r="K47">
        <v>16.420000000000009</v>
      </c>
      <c r="L47">
        <v>21.860000000000031</v>
      </c>
      <c r="M47">
        <v>3.74139825</v>
      </c>
      <c r="N47">
        <v>14.19999999999995</v>
      </c>
      <c r="O47">
        <v>15.859999999999991</v>
      </c>
      <c r="P47">
        <v>21.69999999999996</v>
      </c>
      <c r="Q47">
        <v>3.191124016666667</v>
      </c>
      <c r="R47">
        <v>18.060000000000009</v>
      </c>
      <c r="S47">
        <v>20.58</v>
      </c>
      <c r="T47" s="2">
        <v>32.479999999999983</v>
      </c>
      <c r="U47">
        <v>2.925383000000001</v>
      </c>
      <c r="V47">
        <v>23.10000000000008</v>
      </c>
      <c r="W47">
        <v>31.44</v>
      </c>
      <c r="X47">
        <v>67.820000000000036</v>
      </c>
      <c r="Y47">
        <v>5</v>
      </c>
      <c r="Z47">
        <v>5</v>
      </c>
    </row>
    <row r="48" spans="1:26" x14ac:dyDescent="0.4">
      <c r="A48" t="s">
        <v>68</v>
      </c>
      <c r="B48">
        <v>11.53</v>
      </c>
      <c r="C48" s="2">
        <v>4.9851999999999999</v>
      </c>
      <c r="D48">
        <v>3.58</v>
      </c>
      <c r="E48">
        <v>4.1688519500000014</v>
      </c>
      <c r="F48">
        <v>15.259999999999961</v>
      </c>
      <c r="G48">
        <v>17.49999999999989</v>
      </c>
      <c r="H48">
        <v>24.419999999999931</v>
      </c>
      <c r="I48">
        <v>4.0812755833333334</v>
      </c>
      <c r="J48">
        <v>14.799999999999971</v>
      </c>
      <c r="K48">
        <v>16.51999999999996</v>
      </c>
      <c r="L48">
        <v>21.8399999999999</v>
      </c>
      <c r="M48">
        <v>3.7439472833333332</v>
      </c>
      <c r="N48">
        <v>14.30000000000007</v>
      </c>
      <c r="O48">
        <v>15.980000000000061</v>
      </c>
      <c r="P48">
        <v>21.80000000000009</v>
      </c>
      <c r="Q48">
        <v>3.195485866666667</v>
      </c>
      <c r="R48">
        <v>18.18</v>
      </c>
      <c r="S48">
        <v>20.680000000000032</v>
      </c>
      <c r="T48" s="2">
        <v>32.540000000000013</v>
      </c>
      <c r="U48">
        <v>2.9312305666666671</v>
      </c>
      <c r="V48">
        <v>23.320000000000011</v>
      </c>
      <c r="W48">
        <v>31.600000000000069</v>
      </c>
      <c r="X48">
        <v>67.440000000000026</v>
      </c>
      <c r="Y48">
        <v>5</v>
      </c>
      <c r="Z48">
        <v>5</v>
      </c>
    </row>
    <row r="49" spans="1:26" x14ac:dyDescent="0.4">
      <c r="A49" t="s">
        <v>69</v>
      </c>
      <c r="B49">
        <v>10.95</v>
      </c>
      <c r="C49" s="2">
        <v>4.9852999999999996</v>
      </c>
      <c r="D49">
        <v>3.5859999999999999</v>
      </c>
      <c r="E49">
        <v>4.16796335</v>
      </c>
      <c r="F49">
        <v>15.50000000000011</v>
      </c>
      <c r="G49">
        <v>17.740000000000041</v>
      </c>
      <c r="H49">
        <v>24.740000000000069</v>
      </c>
      <c r="I49">
        <v>4.0795461166666671</v>
      </c>
      <c r="J49">
        <v>14.719999999999979</v>
      </c>
      <c r="K49">
        <v>16.420000000000009</v>
      </c>
      <c r="L49">
        <v>21.820000000000039</v>
      </c>
      <c r="M49">
        <v>3.7428918833333329</v>
      </c>
      <c r="N49">
        <v>14.21999999999999</v>
      </c>
      <c r="O49">
        <v>15.880000000000029</v>
      </c>
      <c r="P49">
        <v>21.72000000000001</v>
      </c>
      <c r="Q49">
        <v>3.1962806166666669</v>
      </c>
      <c r="R49">
        <v>17.91999999999998</v>
      </c>
      <c r="S49">
        <v>20.420000000000019</v>
      </c>
      <c r="T49" s="2">
        <v>32.200000000000003</v>
      </c>
      <c r="U49">
        <v>2.9425603666666671</v>
      </c>
      <c r="V49">
        <v>23.059999999999992</v>
      </c>
      <c r="W49">
        <v>31.44</v>
      </c>
      <c r="X49">
        <v>66.719999999999928</v>
      </c>
      <c r="Y49">
        <v>5</v>
      </c>
      <c r="Z49">
        <v>5</v>
      </c>
    </row>
    <row r="50" spans="1:26" x14ac:dyDescent="0.4">
      <c r="A50" t="s">
        <v>70</v>
      </c>
      <c r="B50">
        <v>11.22</v>
      </c>
      <c r="C50" s="2">
        <v>4.9855</v>
      </c>
      <c r="D50">
        <v>3.585</v>
      </c>
      <c r="E50">
        <v>4.1679198666666668</v>
      </c>
      <c r="F50">
        <v>15.32</v>
      </c>
      <c r="G50">
        <v>17.560000000000109</v>
      </c>
      <c r="H50">
        <v>24.54000000000001</v>
      </c>
      <c r="I50">
        <v>4.0811607666666676</v>
      </c>
      <c r="J50">
        <v>14.81999999999992</v>
      </c>
      <c r="K50">
        <v>16.5</v>
      </c>
      <c r="L50">
        <v>21.879999999999988</v>
      </c>
      <c r="M50">
        <v>3.7442656666666672</v>
      </c>
      <c r="N50">
        <v>14.360000000000021</v>
      </c>
      <c r="O50">
        <v>16.000000000000011</v>
      </c>
      <c r="P50">
        <v>21.820000000000039</v>
      </c>
      <c r="Q50">
        <v>3.1964827000000011</v>
      </c>
      <c r="R50">
        <v>18.079999999999959</v>
      </c>
      <c r="S50">
        <v>20.639999999999951</v>
      </c>
      <c r="T50" s="2">
        <v>32.459999999999937</v>
      </c>
      <c r="U50">
        <v>2.9433711333333328</v>
      </c>
      <c r="V50">
        <v>23.30000000000005</v>
      </c>
      <c r="W50">
        <v>31.720000000000059</v>
      </c>
      <c r="X50">
        <v>67.260000000000019</v>
      </c>
      <c r="Y50">
        <v>5</v>
      </c>
      <c r="Z50">
        <v>5</v>
      </c>
    </row>
    <row r="51" spans="1:26" x14ac:dyDescent="0.4">
      <c r="B51" s="3">
        <f>_xlfn.STDEV.P(B42:B50)</f>
        <v>0.20434176165325477</v>
      </c>
      <c r="C51" s="3">
        <f t="shared" ref="C51:X51" si="4">_xlfn.STDEV.P(C42:C50)</f>
        <v>3.0951973949297116E-4</v>
      </c>
      <c r="D51" s="3">
        <f t="shared" si="4"/>
        <v>2.9731307022798129E-3</v>
      </c>
      <c r="E51" s="3">
        <f t="shared" si="4"/>
        <v>5.4295303147029034E-4</v>
      </c>
      <c r="F51" s="3">
        <f t="shared" si="4"/>
        <v>0.11623730516108581</v>
      </c>
      <c r="G51" s="3">
        <f t="shared" si="4"/>
        <v>0.10913803695833944</v>
      </c>
      <c r="H51" s="3">
        <f t="shared" si="4"/>
        <v>0.13314801936840789</v>
      </c>
      <c r="I51" s="3">
        <f t="shared" si="4"/>
        <v>7.6972749983273542E-4</v>
      </c>
      <c r="J51" s="3">
        <f t="shared" si="4"/>
        <v>7.1249864630587759E-2</v>
      </c>
      <c r="K51" s="3">
        <f t="shared" si="4"/>
        <v>7.1249864630604495E-2</v>
      </c>
      <c r="L51" s="3">
        <f t="shared" si="4"/>
        <v>6.9282032302780738E-2</v>
      </c>
      <c r="M51" s="3">
        <f t="shared" si="4"/>
        <v>1.1290667348000741E-3</v>
      </c>
      <c r="N51" s="3">
        <f t="shared" si="4"/>
        <v>7.1802197428453798E-2</v>
      </c>
      <c r="O51" s="3">
        <f t="shared" si="4"/>
        <v>7.1457489736934388E-2</v>
      </c>
      <c r="P51" s="3">
        <f t="shared" si="4"/>
        <v>6.4940618649796736E-2</v>
      </c>
      <c r="Q51" s="3">
        <f t="shared" si="4"/>
        <v>2.6520000202827497E-3</v>
      </c>
      <c r="R51" s="3">
        <f t="shared" si="4"/>
        <v>0.10056629776876576</v>
      </c>
      <c r="S51" s="3">
        <f t="shared" si="4"/>
        <v>9.4803240034231448E-2</v>
      </c>
      <c r="T51" s="3">
        <f t="shared" si="4"/>
        <v>0.11075498483891011</v>
      </c>
      <c r="U51" s="3">
        <f t="shared" si="4"/>
        <v>5.8561453606573409E-3</v>
      </c>
      <c r="V51" s="3">
        <f t="shared" si="4"/>
        <v>0.11448219442126266</v>
      </c>
      <c r="W51" s="3">
        <f t="shared" si="4"/>
        <v>0.1583245611605118</v>
      </c>
      <c r="X51" s="3">
        <f t="shared" si="4"/>
        <v>0.36817870057292224</v>
      </c>
      <c r="Y51" s="5">
        <f>SUM(B51:X51)</f>
        <v>1.9441897124056655</v>
      </c>
    </row>
    <row r="52" spans="1:26" x14ac:dyDescent="0.4">
      <c r="A52" t="s">
        <v>71</v>
      </c>
      <c r="B52">
        <v>11.29</v>
      </c>
      <c r="C52" s="2">
        <v>4.9855999999999998</v>
      </c>
      <c r="D52">
        <v>3.5779999999999998</v>
      </c>
      <c r="E52">
        <v>4.16869025</v>
      </c>
      <c r="F52">
        <v>15.5800000000001</v>
      </c>
      <c r="G52">
        <v>17.839999999999989</v>
      </c>
      <c r="H52">
        <v>24.880000000000098</v>
      </c>
      <c r="I52">
        <v>4.0809428666666667</v>
      </c>
      <c r="J52">
        <v>14.780000000000021</v>
      </c>
      <c r="K52">
        <v>16.479999999999961</v>
      </c>
      <c r="L52">
        <v>21.899999999999942</v>
      </c>
      <c r="M52">
        <v>3.743938683333333</v>
      </c>
      <c r="N52">
        <v>14.28000000000003</v>
      </c>
      <c r="O52">
        <v>15.940000000000071</v>
      </c>
      <c r="P52">
        <v>21.820000000000039</v>
      </c>
      <c r="Q52">
        <v>3.1954981666666669</v>
      </c>
      <c r="R52">
        <v>18.160000000000039</v>
      </c>
      <c r="S52">
        <v>20.680000000000032</v>
      </c>
      <c r="T52" s="2">
        <v>32.500000000000007</v>
      </c>
      <c r="U52">
        <v>2.9323331833333341</v>
      </c>
      <c r="V52">
        <v>23.280000000000008</v>
      </c>
      <c r="W52">
        <v>31.37999999999996</v>
      </c>
      <c r="X52">
        <v>66.639999999999944</v>
      </c>
      <c r="Y52">
        <v>6</v>
      </c>
      <c r="Z52">
        <v>6</v>
      </c>
    </row>
    <row r="53" spans="1:26" x14ac:dyDescent="0.4">
      <c r="A53" t="s">
        <v>72</v>
      </c>
      <c r="B53">
        <v>11.73</v>
      </c>
      <c r="C53" s="2">
        <v>4.9856999999999996</v>
      </c>
      <c r="D53">
        <v>3.58</v>
      </c>
      <c r="E53">
        <v>4.1689061000000001</v>
      </c>
      <c r="F53">
        <v>15.479999999999981</v>
      </c>
      <c r="G53">
        <v>17.71999999999991</v>
      </c>
      <c r="H53">
        <v>24.600000000000041</v>
      </c>
      <c r="I53">
        <v>4.0801173833333344</v>
      </c>
      <c r="J53">
        <v>14.81999999999992</v>
      </c>
      <c r="K53">
        <v>16.51999999999996</v>
      </c>
      <c r="L53">
        <v>21.819999999999951</v>
      </c>
      <c r="M53">
        <v>3.7431319833333339</v>
      </c>
      <c r="N53">
        <v>14.25999999999998</v>
      </c>
      <c r="O53">
        <v>15.939999999999969</v>
      </c>
      <c r="P53">
        <v>21.640000000000011</v>
      </c>
      <c r="Q53">
        <v>3.1944576333333332</v>
      </c>
      <c r="R53">
        <v>18.060000000000009</v>
      </c>
      <c r="S53">
        <v>20.560000000000041</v>
      </c>
      <c r="T53" s="2">
        <v>32.359999999999992</v>
      </c>
      <c r="U53">
        <v>2.9300407000000002</v>
      </c>
      <c r="V53">
        <v>23.059999999999992</v>
      </c>
      <c r="W53">
        <v>31.200000000000031</v>
      </c>
      <c r="X53">
        <v>66.540000000000006</v>
      </c>
      <c r="Y53">
        <v>6</v>
      </c>
      <c r="Z53">
        <v>6</v>
      </c>
    </row>
    <row r="54" spans="1:26" x14ac:dyDescent="0.4">
      <c r="A54" t="s">
        <v>73</v>
      </c>
      <c r="B54">
        <v>11.16</v>
      </c>
      <c r="C54" s="2">
        <v>4.9863</v>
      </c>
      <c r="D54">
        <v>3.5790000000000002</v>
      </c>
      <c r="E54">
        <v>4.1700994666666666</v>
      </c>
      <c r="F54">
        <v>15.279999999999919</v>
      </c>
      <c r="G54">
        <v>17.49999999999989</v>
      </c>
      <c r="H54">
        <v>24.399999999999981</v>
      </c>
      <c r="I54">
        <v>4.0807860499999986</v>
      </c>
      <c r="J54">
        <v>14.65999999999994</v>
      </c>
      <c r="K54">
        <v>16.340000000000021</v>
      </c>
      <c r="L54">
        <v>21.68000000000001</v>
      </c>
      <c r="M54">
        <v>3.7422989000000002</v>
      </c>
      <c r="N54">
        <v>14.19999999999995</v>
      </c>
      <c r="O54">
        <v>15.880000000000029</v>
      </c>
      <c r="P54">
        <v>21.659999999999972</v>
      </c>
      <c r="Q54">
        <v>3.18983405</v>
      </c>
      <c r="R54">
        <v>17.91999999999998</v>
      </c>
      <c r="S54">
        <v>20.439999999999969</v>
      </c>
      <c r="T54" s="2">
        <v>32.319999999999993</v>
      </c>
      <c r="U54">
        <v>2.929116033333333</v>
      </c>
      <c r="V54">
        <v>23.120000000000029</v>
      </c>
      <c r="W54">
        <v>31.260000000000069</v>
      </c>
      <c r="X54">
        <v>66.980000000000047</v>
      </c>
      <c r="Y54">
        <v>6</v>
      </c>
      <c r="Z54">
        <v>6</v>
      </c>
    </row>
    <row r="55" spans="1:26" x14ac:dyDescent="0.4">
      <c r="A55" t="s">
        <v>74</v>
      </c>
      <c r="B55">
        <v>11.72</v>
      </c>
      <c r="C55" s="2">
        <v>4.9863999999999997</v>
      </c>
      <c r="D55">
        <v>3.58</v>
      </c>
      <c r="E55">
        <v>4.1686749999999986</v>
      </c>
      <c r="F55">
        <v>15.08000000000003</v>
      </c>
      <c r="G55">
        <v>17.320000000000139</v>
      </c>
      <c r="H55">
        <v>24.239999999999991</v>
      </c>
      <c r="I55">
        <v>4.0824355666666658</v>
      </c>
      <c r="J55">
        <v>14.779999999999839</v>
      </c>
      <c r="K55">
        <v>16.479999999999961</v>
      </c>
      <c r="L55">
        <v>21.85999999999995</v>
      </c>
      <c r="M55">
        <v>3.7451557833333329</v>
      </c>
      <c r="N55">
        <v>14.279999999999941</v>
      </c>
      <c r="O55">
        <v>15.939999999999969</v>
      </c>
      <c r="P55">
        <v>21.779999999999951</v>
      </c>
      <c r="Q55">
        <v>3.196575716666668</v>
      </c>
      <c r="R55">
        <v>17.95999999999998</v>
      </c>
      <c r="S55">
        <v>20.500000000000011</v>
      </c>
      <c r="T55" s="2">
        <v>32.359999999999992</v>
      </c>
      <c r="U55">
        <v>2.9342185333333339</v>
      </c>
      <c r="V55">
        <v>23.079999999999949</v>
      </c>
      <c r="W55">
        <v>31.339999999999961</v>
      </c>
      <c r="X55">
        <v>66.959999999999994</v>
      </c>
      <c r="Y55">
        <v>6</v>
      </c>
      <c r="Z55">
        <v>6</v>
      </c>
    </row>
    <row r="56" spans="1:26" x14ac:dyDescent="0.4">
      <c r="A56" t="s">
        <v>75</v>
      </c>
      <c r="B56">
        <v>11.28</v>
      </c>
      <c r="C56" s="2">
        <v>4.9866999999999999</v>
      </c>
      <c r="D56">
        <v>3.5779999999999998</v>
      </c>
      <c r="E56">
        <v>4.1683548166666684</v>
      </c>
      <c r="F56">
        <v>15.240000000000011</v>
      </c>
      <c r="G56">
        <v>17.500000000000071</v>
      </c>
      <c r="H56">
        <v>24.54000000000001</v>
      </c>
      <c r="I56">
        <v>4.0823928</v>
      </c>
      <c r="J56">
        <v>14.81999999999992</v>
      </c>
      <c r="K56">
        <v>16.559999999999949</v>
      </c>
      <c r="L56">
        <v>21.99999999999989</v>
      </c>
      <c r="M56">
        <v>3.7456639000000012</v>
      </c>
      <c r="N56">
        <v>14.32000000000002</v>
      </c>
      <c r="O56">
        <v>16.000000000000011</v>
      </c>
      <c r="P56">
        <v>21.879999999999988</v>
      </c>
      <c r="Q56">
        <v>3.1960495</v>
      </c>
      <c r="R56">
        <v>17.980000000000022</v>
      </c>
      <c r="S56">
        <v>20.51999999999996</v>
      </c>
      <c r="T56" s="2">
        <v>32.399999999999977</v>
      </c>
      <c r="U56">
        <v>2.9268933499999998</v>
      </c>
      <c r="V56">
        <v>23.25999999999997</v>
      </c>
      <c r="W56">
        <v>31.44</v>
      </c>
      <c r="X56">
        <v>67.980000000000018</v>
      </c>
      <c r="Y56">
        <v>6</v>
      </c>
      <c r="Z56">
        <v>6</v>
      </c>
    </row>
    <row r="57" spans="1:26" x14ac:dyDescent="0.4">
      <c r="A57" t="s">
        <v>76</v>
      </c>
      <c r="B57">
        <v>11.08</v>
      </c>
      <c r="C57" s="2">
        <v>4.9869000000000003</v>
      </c>
      <c r="D57">
        <v>3.585</v>
      </c>
      <c r="E57">
        <v>4.1685405499999986</v>
      </c>
      <c r="F57">
        <v>15.460000000000029</v>
      </c>
      <c r="G57">
        <v>17.68000000000001</v>
      </c>
      <c r="H57">
        <v>24.579999999999909</v>
      </c>
      <c r="I57">
        <v>4.0802666333333333</v>
      </c>
      <c r="J57">
        <v>14.719999999999979</v>
      </c>
      <c r="K57">
        <v>16.420000000000009</v>
      </c>
      <c r="L57">
        <v>21.76000000000009</v>
      </c>
      <c r="M57">
        <v>3.7430263999999989</v>
      </c>
      <c r="N57">
        <v>14.28000000000003</v>
      </c>
      <c r="O57">
        <v>15.920000000000019</v>
      </c>
      <c r="P57">
        <v>21.740000000000052</v>
      </c>
      <c r="Q57">
        <v>3.196175133333333</v>
      </c>
      <c r="R57">
        <v>17.940000000000019</v>
      </c>
      <c r="S57">
        <v>20.440000000000062</v>
      </c>
      <c r="T57" s="2">
        <v>32.200000000000003</v>
      </c>
      <c r="U57">
        <v>2.934165066666667</v>
      </c>
      <c r="V57">
        <v>23.119999999999941</v>
      </c>
      <c r="W57">
        <v>31.339999999999961</v>
      </c>
      <c r="X57">
        <v>66.739999999999981</v>
      </c>
      <c r="Y57">
        <v>6</v>
      </c>
      <c r="Z57">
        <v>6</v>
      </c>
    </row>
    <row r="58" spans="1:26" x14ac:dyDescent="0.4">
      <c r="A58" t="s">
        <v>77</v>
      </c>
      <c r="B58">
        <v>11.34</v>
      </c>
      <c r="C58" s="2">
        <v>4.9870999999999999</v>
      </c>
      <c r="D58">
        <v>3.585</v>
      </c>
      <c r="E58">
        <v>4.1683580166666667</v>
      </c>
      <c r="F58">
        <v>15.220000000000059</v>
      </c>
      <c r="G58">
        <v>17.44000000000003</v>
      </c>
      <c r="H58">
        <v>24.340000000000121</v>
      </c>
      <c r="I58">
        <v>4.0817695833333332</v>
      </c>
      <c r="J58">
        <v>14.74000000000011</v>
      </c>
      <c r="K58">
        <v>16.4600000000001</v>
      </c>
      <c r="L58">
        <v>21.80000000000009</v>
      </c>
      <c r="M58">
        <v>3.7446438166666671</v>
      </c>
      <c r="N58">
        <v>14.32000000000002</v>
      </c>
      <c r="O58">
        <v>15.97999999999997</v>
      </c>
      <c r="P58">
        <v>21.8</v>
      </c>
      <c r="Q58">
        <v>3.1979238333333342</v>
      </c>
      <c r="R58">
        <v>18.18</v>
      </c>
      <c r="S58">
        <v>20.699999999999989</v>
      </c>
      <c r="T58" s="2">
        <v>32.500000000000007</v>
      </c>
      <c r="U58">
        <v>2.9350785666666659</v>
      </c>
      <c r="V58">
        <v>23.439999999999991</v>
      </c>
      <c r="W58">
        <v>31.540000000000031</v>
      </c>
      <c r="X58">
        <v>67.060000000000031</v>
      </c>
      <c r="Y58">
        <v>6</v>
      </c>
      <c r="Z58">
        <v>6</v>
      </c>
    </row>
    <row r="59" spans="1:26" x14ac:dyDescent="0.4">
      <c r="A59" t="s">
        <v>78</v>
      </c>
      <c r="B59">
        <v>11.59</v>
      </c>
      <c r="C59" s="2">
        <v>4.9874999999999998</v>
      </c>
      <c r="D59">
        <v>3.5779999999999998</v>
      </c>
      <c r="E59">
        <v>4.1677188333333337</v>
      </c>
      <c r="F59">
        <v>15.17999999999997</v>
      </c>
      <c r="G59">
        <v>17.44000000000003</v>
      </c>
      <c r="H59">
        <v>24.43999999999988</v>
      </c>
      <c r="I59">
        <v>4.0820241499999996</v>
      </c>
      <c r="J59">
        <v>14.719999999999979</v>
      </c>
      <c r="K59">
        <v>16.459999999999919</v>
      </c>
      <c r="L59">
        <v>21.899999999999942</v>
      </c>
      <c r="M59">
        <v>3.7448528000000012</v>
      </c>
      <c r="N59">
        <v>14.21999999999999</v>
      </c>
      <c r="O59">
        <v>15.920000000000019</v>
      </c>
      <c r="P59">
        <v>21.78000000000004</v>
      </c>
      <c r="Q59">
        <v>3.195642016666667</v>
      </c>
      <c r="R59">
        <v>17.95999999999998</v>
      </c>
      <c r="S59">
        <v>20.479999999999961</v>
      </c>
      <c r="T59" s="2">
        <v>32.339999999999947</v>
      </c>
      <c r="U59">
        <v>2.9312748499999999</v>
      </c>
      <c r="V59">
        <v>22.960000000000051</v>
      </c>
      <c r="W59">
        <v>31.400000000000009</v>
      </c>
      <c r="X59">
        <v>67.700000000000045</v>
      </c>
      <c r="Y59">
        <v>6</v>
      </c>
      <c r="Z59">
        <v>6</v>
      </c>
    </row>
    <row r="60" spans="1:26" x14ac:dyDescent="0.4">
      <c r="A60" t="s">
        <v>79</v>
      </c>
      <c r="B60">
        <v>11.41</v>
      </c>
      <c r="C60" s="2">
        <v>4.9884000000000004</v>
      </c>
      <c r="D60">
        <v>3.5859999999999999</v>
      </c>
      <c r="E60">
        <v>4.1688954000000003</v>
      </c>
      <c r="F60">
        <v>15.240000000000011</v>
      </c>
      <c r="G60">
        <v>17.45999999999999</v>
      </c>
      <c r="H60">
        <v>24.359999999999889</v>
      </c>
      <c r="I60">
        <v>4.0807615833333326</v>
      </c>
      <c r="J60">
        <v>14.60000000000008</v>
      </c>
      <c r="K60">
        <v>16.319999999999979</v>
      </c>
      <c r="L60">
        <v>21.600000000000019</v>
      </c>
      <c r="M60">
        <v>3.7435689499999998</v>
      </c>
      <c r="N60">
        <v>14.19999999999995</v>
      </c>
      <c r="O60">
        <v>15.839999999999939</v>
      </c>
      <c r="P60">
        <v>21.619999999999969</v>
      </c>
      <c r="Q60">
        <v>3.19595735</v>
      </c>
      <c r="R60">
        <v>17.980000000000022</v>
      </c>
      <c r="S60">
        <v>20.520000000000049</v>
      </c>
      <c r="T60" s="2">
        <v>32.319999999999993</v>
      </c>
      <c r="U60">
        <v>2.9327409333333332</v>
      </c>
      <c r="V60">
        <v>23.320000000000011</v>
      </c>
      <c r="W60">
        <v>31.44</v>
      </c>
      <c r="X60">
        <v>67.039999999999992</v>
      </c>
      <c r="Y60">
        <v>6</v>
      </c>
      <c r="Z60">
        <v>6</v>
      </c>
    </row>
    <row r="61" spans="1:26" x14ac:dyDescent="0.4">
      <c r="B61" s="3">
        <f>_xlfn.STDEV.P(B52:B60)</f>
        <v>0.22050447211388324</v>
      </c>
      <c r="C61" s="3">
        <f t="shared" ref="C61:X61" si="5">_xlfn.STDEV.P(C52:C60)</f>
        <v>8.2865352631057623E-4</v>
      </c>
      <c r="D61" s="3">
        <f t="shared" si="5"/>
        <v>3.1622776601683742E-3</v>
      </c>
      <c r="E61" s="3">
        <f t="shared" si="5"/>
        <v>6.0218866425098324E-4</v>
      </c>
      <c r="F61" s="3">
        <f t="shared" si="5"/>
        <v>0.15376750126229241</v>
      </c>
      <c r="G61" s="3">
        <f t="shared" si="5"/>
        <v>0.15628400864456046</v>
      </c>
      <c r="H61" s="3">
        <f t="shared" si="5"/>
        <v>0.17863681342634907</v>
      </c>
      <c r="I61" s="3">
        <f t="shared" si="5"/>
        <v>8.414299543347707E-4</v>
      </c>
      <c r="J61" s="3">
        <f t="shared" si="5"/>
        <v>6.8924721863386704E-2</v>
      </c>
      <c r="K61" s="3">
        <f t="shared" si="5"/>
        <v>7.3702773118993037E-2</v>
      </c>
      <c r="L61" s="3">
        <f t="shared" si="5"/>
        <v>0.11469767022719159</v>
      </c>
      <c r="M61" s="3">
        <f t="shared" si="5"/>
        <v>1.0552532094413884E-3</v>
      </c>
      <c r="N61" s="3">
        <f t="shared" si="5"/>
        <v>4.3659739343108545E-2</v>
      </c>
      <c r="O61" s="3">
        <f t="shared" si="5"/>
        <v>4.5324617898609747E-2</v>
      </c>
      <c r="P61" s="3">
        <f t="shared" si="5"/>
        <v>8.3798700599851422E-2</v>
      </c>
      <c r="Q61" s="3">
        <f t="shared" si="5"/>
        <v>2.1342477100324245E-3</v>
      </c>
      <c r="R61" s="3">
        <f t="shared" si="5"/>
        <v>9.0321784146238079E-2</v>
      </c>
      <c r="S61" s="3">
        <f t="shared" si="5"/>
        <v>8.9166233989953339E-2</v>
      </c>
      <c r="T61" s="3">
        <f t="shared" si="5"/>
        <v>8.7939373055156367E-2</v>
      </c>
      <c r="U61" s="3">
        <f t="shared" si="5"/>
        <v>2.5385591021178586E-3</v>
      </c>
      <c r="V61" s="3">
        <f t="shared" si="5"/>
        <v>0.14281128011608124</v>
      </c>
      <c r="W61" s="3">
        <f t="shared" si="5"/>
        <v>9.5736263237940669E-2</v>
      </c>
      <c r="X61" s="3">
        <f t="shared" si="5"/>
        <v>0.44980105341621457</v>
      </c>
      <c r="Y61" s="5">
        <f>SUM(B61:X61)</f>
        <v>2.1062396162864667</v>
      </c>
    </row>
    <row r="62" spans="1:26" x14ac:dyDescent="0.4">
      <c r="A62" t="s">
        <v>80</v>
      </c>
      <c r="B62">
        <v>11.58</v>
      </c>
      <c r="C62" s="2">
        <v>4.9885999999999999</v>
      </c>
      <c r="D62">
        <v>3.5830000000000002</v>
      </c>
      <c r="E62">
        <v>4.1689401166666666</v>
      </c>
      <c r="F62">
        <v>15.000000000000041</v>
      </c>
      <c r="G62">
        <v>17.22000000000001</v>
      </c>
      <c r="H62">
        <v>24.099999999999969</v>
      </c>
      <c r="I62">
        <v>4.0819118333333329</v>
      </c>
      <c r="J62">
        <v>14.48</v>
      </c>
      <c r="K62">
        <v>16.17999999999995</v>
      </c>
      <c r="L62">
        <v>21.480000000000029</v>
      </c>
      <c r="M62">
        <v>3.7429578999999999</v>
      </c>
      <c r="N62">
        <v>14.23999999999994</v>
      </c>
      <c r="O62">
        <v>15.899999999999981</v>
      </c>
      <c r="P62">
        <v>21.739999999999959</v>
      </c>
      <c r="Q62">
        <v>3.1940851833333341</v>
      </c>
      <c r="R62">
        <v>18.14</v>
      </c>
      <c r="S62">
        <v>20.680000000000032</v>
      </c>
      <c r="T62" s="2">
        <v>32.619999999999997</v>
      </c>
      <c r="U62">
        <v>2.9369066500000001</v>
      </c>
      <c r="V62">
        <v>23.299999999999969</v>
      </c>
      <c r="W62">
        <v>31.44</v>
      </c>
      <c r="X62">
        <v>66.659999999999982</v>
      </c>
      <c r="Y62">
        <v>7</v>
      </c>
      <c r="Z62">
        <v>7</v>
      </c>
    </row>
    <row r="63" spans="1:26" x14ac:dyDescent="0.4">
      <c r="A63" t="s">
        <v>81</v>
      </c>
      <c r="B63">
        <v>11.74</v>
      </c>
      <c r="C63" s="2">
        <v>4.9889000000000001</v>
      </c>
      <c r="D63">
        <v>3.581</v>
      </c>
      <c r="E63">
        <v>4.1694287000000001</v>
      </c>
      <c r="F63">
        <v>15.09999999999998</v>
      </c>
      <c r="G63">
        <v>17.340000000000089</v>
      </c>
      <c r="H63">
        <v>24.239999999999991</v>
      </c>
      <c r="I63">
        <v>4.0817045333333324</v>
      </c>
      <c r="J63">
        <v>14.80000000000015</v>
      </c>
      <c r="K63">
        <v>16.500000000000089</v>
      </c>
      <c r="L63">
        <v>21.840000000000082</v>
      </c>
      <c r="M63">
        <v>3.7448016000000002</v>
      </c>
      <c r="N63">
        <v>14.23999999999994</v>
      </c>
      <c r="O63">
        <v>15.920000000000019</v>
      </c>
      <c r="P63">
        <v>21.68000000000001</v>
      </c>
      <c r="Q63">
        <v>3.1960496833333329</v>
      </c>
      <c r="R63">
        <v>17.91999999999998</v>
      </c>
      <c r="S63">
        <v>20.420000000000019</v>
      </c>
      <c r="T63" s="2">
        <v>32.24</v>
      </c>
      <c r="U63">
        <v>2.9246725166666669</v>
      </c>
      <c r="V63">
        <v>23.179999999999978</v>
      </c>
      <c r="W63">
        <v>31.519999999999989</v>
      </c>
      <c r="X63">
        <v>68.52</v>
      </c>
      <c r="Y63">
        <v>7</v>
      </c>
      <c r="Z63">
        <v>7</v>
      </c>
    </row>
    <row r="64" spans="1:26" x14ac:dyDescent="0.4">
      <c r="A64" t="s">
        <v>82</v>
      </c>
      <c r="B64">
        <v>11.48</v>
      </c>
      <c r="C64" s="2">
        <v>4.9890999999999996</v>
      </c>
      <c r="D64">
        <v>3.5790000000000002</v>
      </c>
      <c r="E64">
        <v>4.17014</v>
      </c>
      <c r="F64">
        <v>15.019999999999991</v>
      </c>
      <c r="G64">
        <v>17.25999999999992</v>
      </c>
      <c r="H64">
        <v>24.16</v>
      </c>
      <c r="I64">
        <v>4.0819338166666661</v>
      </c>
      <c r="J64">
        <v>14.5999999999999</v>
      </c>
      <c r="K64">
        <v>16.300000000000029</v>
      </c>
      <c r="L64">
        <v>21.659999999999972</v>
      </c>
      <c r="M64">
        <v>3.743286433333334</v>
      </c>
      <c r="N64">
        <v>14.15999999999995</v>
      </c>
      <c r="O64">
        <v>15.839999999999939</v>
      </c>
      <c r="P64">
        <v>21.659999999999972</v>
      </c>
      <c r="Q64">
        <v>3.1906772499999998</v>
      </c>
      <c r="R64">
        <v>17.95999999999998</v>
      </c>
      <c r="S64">
        <v>20.500000000000011</v>
      </c>
      <c r="T64" s="2">
        <v>32.399999999999977</v>
      </c>
      <c r="U64">
        <v>2.928503516666666</v>
      </c>
      <c r="V64">
        <v>23.199999999999928</v>
      </c>
      <c r="W64">
        <v>31.359999999999921</v>
      </c>
      <c r="X64">
        <v>67.260000000000019</v>
      </c>
      <c r="Y64">
        <v>7</v>
      </c>
      <c r="Z64">
        <v>7</v>
      </c>
    </row>
    <row r="65" spans="1:26" x14ac:dyDescent="0.4">
      <c r="A65" t="s">
        <v>83</v>
      </c>
      <c r="B65">
        <v>11.37</v>
      </c>
      <c r="C65" s="2">
        <v>4.9892000000000003</v>
      </c>
      <c r="D65">
        <v>3.5859999999999999</v>
      </c>
      <c r="E65">
        <v>4.1688254166666674</v>
      </c>
      <c r="F65">
        <v>15.11999999999993</v>
      </c>
      <c r="G65">
        <v>17.340000000000089</v>
      </c>
      <c r="H65">
        <v>24.259999999999948</v>
      </c>
      <c r="I65">
        <v>4.0826071333333331</v>
      </c>
      <c r="J65">
        <v>14.780000000000021</v>
      </c>
      <c r="K65">
        <v>16.479999999999961</v>
      </c>
      <c r="L65">
        <v>21.820000000000039</v>
      </c>
      <c r="M65">
        <v>3.7454046166666668</v>
      </c>
      <c r="N65">
        <v>14.319999999999929</v>
      </c>
      <c r="O65">
        <v>15.99999999999992</v>
      </c>
      <c r="P65">
        <v>21.819999999999951</v>
      </c>
      <c r="Q65">
        <v>3.1973539666666668</v>
      </c>
      <c r="R65">
        <v>17.999999999999972</v>
      </c>
      <c r="S65">
        <v>20.55999999999996</v>
      </c>
      <c r="T65" s="2">
        <v>32.359999999999992</v>
      </c>
      <c r="U65">
        <v>2.9301180833333329</v>
      </c>
      <c r="V65">
        <v>23.280000000000008</v>
      </c>
      <c r="W65">
        <v>31.58000000000003</v>
      </c>
      <c r="X65">
        <v>68.080000000000055</v>
      </c>
      <c r="Y65">
        <v>7</v>
      </c>
      <c r="Z65">
        <v>7</v>
      </c>
    </row>
    <row r="66" spans="1:26" x14ac:dyDescent="0.4">
      <c r="A66" t="s">
        <v>84</v>
      </c>
      <c r="B66">
        <v>11.09</v>
      </c>
      <c r="C66" s="2">
        <v>4.9892000000000003</v>
      </c>
      <c r="D66">
        <v>3.5790000000000002</v>
      </c>
      <c r="E66">
        <v>4.1700471499999994</v>
      </c>
      <c r="F66">
        <v>15.259999999999961</v>
      </c>
      <c r="G66">
        <v>17.520000000000021</v>
      </c>
      <c r="H66">
        <v>24.460000000000019</v>
      </c>
      <c r="I66">
        <v>4.081001950000001</v>
      </c>
      <c r="J66">
        <v>14.680000000000071</v>
      </c>
      <c r="K66">
        <v>16.400000000000059</v>
      </c>
      <c r="L66">
        <v>21.78000000000004</v>
      </c>
      <c r="M66">
        <v>3.7421993666666671</v>
      </c>
      <c r="N66">
        <v>14.24000000000003</v>
      </c>
      <c r="O66">
        <v>15.920000000000019</v>
      </c>
      <c r="P66">
        <v>21.78000000000004</v>
      </c>
      <c r="Q66">
        <v>3.1888728</v>
      </c>
      <c r="R66">
        <v>18.09999999999992</v>
      </c>
      <c r="S66">
        <v>20.639999999999951</v>
      </c>
      <c r="T66" s="2">
        <v>32.639999999999958</v>
      </c>
      <c r="U66">
        <v>2.9254472333333341</v>
      </c>
      <c r="V66">
        <v>23.24000000000002</v>
      </c>
      <c r="W66">
        <v>31.47999999999999</v>
      </c>
      <c r="X66">
        <v>67.64</v>
      </c>
      <c r="Y66">
        <v>7</v>
      </c>
      <c r="Z66">
        <v>7</v>
      </c>
    </row>
    <row r="67" spans="1:26" x14ac:dyDescent="0.4">
      <c r="A67" t="s">
        <v>85</v>
      </c>
      <c r="B67">
        <v>11.63</v>
      </c>
      <c r="C67" s="2">
        <v>4.9896000000000003</v>
      </c>
      <c r="D67">
        <v>3.581</v>
      </c>
      <c r="E67">
        <v>4.1692346499999999</v>
      </c>
      <c r="F67">
        <v>15.17999999999997</v>
      </c>
      <c r="G67">
        <v>17.399999999999949</v>
      </c>
      <c r="H67">
        <v>24.259999999999948</v>
      </c>
      <c r="I67">
        <v>4.0816549999999996</v>
      </c>
      <c r="J67">
        <v>14.799999999999971</v>
      </c>
      <c r="K67">
        <v>16.499999999999911</v>
      </c>
      <c r="L67">
        <v>21.819999999999951</v>
      </c>
      <c r="M67">
        <v>3.7445365333333331</v>
      </c>
      <c r="N67">
        <v>14.260000000000071</v>
      </c>
      <c r="O67">
        <v>15.920000000000019</v>
      </c>
      <c r="P67">
        <v>21.68000000000001</v>
      </c>
      <c r="Q67">
        <v>3.195888716666667</v>
      </c>
      <c r="R67">
        <v>17.859999999999939</v>
      </c>
      <c r="S67">
        <v>20.38000000000002</v>
      </c>
      <c r="T67" s="2">
        <v>32.160000000000011</v>
      </c>
      <c r="U67">
        <v>2.9277622166666668</v>
      </c>
      <c r="V67">
        <v>23.139999999999979</v>
      </c>
      <c r="W67">
        <v>31.12000000000004</v>
      </c>
      <c r="X67">
        <v>66.84</v>
      </c>
      <c r="Y67">
        <v>7</v>
      </c>
      <c r="Z67">
        <v>7</v>
      </c>
    </row>
    <row r="68" spans="1:26" x14ac:dyDescent="0.4">
      <c r="A68" t="s">
        <v>86</v>
      </c>
      <c r="B68">
        <v>11.37</v>
      </c>
      <c r="C68" s="2">
        <v>4.9897</v>
      </c>
      <c r="D68">
        <v>3.585</v>
      </c>
      <c r="E68">
        <v>4.1686878166666661</v>
      </c>
      <c r="F68">
        <v>15.460000000000029</v>
      </c>
      <c r="G68">
        <v>17.68000000000001</v>
      </c>
      <c r="H68">
        <v>24.580000000000091</v>
      </c>
      <c r="I68">
        <v>4.0805097166666657</v>
      </c>
      <c r="J68">
        <v>14.799999999999971</v>
      </c>
      <c r="K68">
        <v>16.499999999999911</v>
      </c>
      <c r="L68">
        <v>21.819999999999951</v>
      </c>
      <c r="M68">
        <v>3.7430622666666662</v>
      </c>
      <c r="N68">
        <v>14.379999999999971</v>
      </c>
      <c r="O68">
        <v>16.04000000000001</v>
      </c>
      <c r="P68">
        <v>21.85999999999995</v>
      </c>
      <c r="Q68">
        <v>3.1952239499999999</v>
      </c>
      <c r="R68">
        <v>18.14</v>
      </c>
      <c r="S68">
        <v>20.680000000000032</v>
      </c>
      <c r="T68" s="2">
        <v>32.500000000000007</v>
      </c>
      <c r="U68">
        <v>2.9344554166666659</v>
      </c>
      <c r="V68">
        <v>23.34000000000005</v>
      </c>
      <c r="W68">
        <v>31.519999999999989</v>
      </c>
      <c r="X68">
        <v>66.800000000000011</v>
      </c>
      <c r="Y68">
        <v>7</v>
      </c>
      <c r="Z68">
        <v>7</v>
      </c>
    </row>
    <row r="69" spans="1:26" x14ac:dyDescent="0.4">
      <c r="A69" t="s">
        <v>87</v>
      </c>
      <c r="B69">
        <v>11.32</v>
      </c>
      <c r="C69" s="2">
        <v>4.9901999999999997</v>
      </c>
      <c r="D69">
        <v>3.5790000000000002</v>
      </c>
      <c r="E69">
        <v>4.1697761500000006</v>
      </c>
      <c r="F69">
        <v>15.180000000000151</v>
      </c>
      <c r="G69">
        <v>17.42000000000008</v>
      </c>
      <c r="H69">
        <v>24.340000000000121</v>
      </c>
      <c r="I69">
        <v>4.0808136499999987</v>
      </c>
      <c r="J69">
        <v>14.63999999999999</v>
      </c>
      <c r="K69">
        <v>16.359999999999971</v>
      </c>
      <c r="L69">
        <v>21.739999999999959</v>
      </c>
      <c r="M69">
        <v>3.742348133333333</v>
      </c>
      <c r="N69">
        <v>14.200000000000029</v>
      </c>
      <c r="O69">
        <v>15.880000000000029</v>
      </c>
      <c r="P69">
        <v>21.700000000000049</v>
      </c>
      <c r="Q69">
        <v>3.1896216000000002</v>
      </c>
      <c r="R69">
        <v>18.02000000000001</v>
      </c>
      <c r="S69">
        <v>20.54</v>
      </c>
      <c r="T69" s="2">
        <v>32.460000000000022</v>
      </c>
      <c r="U69">
        <v>2.9282690166666669</v>
      </c>
      <c r="V69">
        <v>23.15999999999994</v>
      </c>
      <c r="W69">
        <v>31.239999999999931</v>
      </c>
      <c r="X69">
        <v>66.779999999999973</v>
      </c>
      <c r="Y69">
        <v>7</v>
      </c>
      <c r="Z69">
        <v>7</v>
      </c>
    </row>
    <row r="70" spans="1:26" x14ac:dyDescent="0.4">
      <c r="A70" t="s">
        <v>88</v>
      </c>
      <c r="B70">
        <v>11.68</v>
      </c>
      <c r="C70" s="2">
        <v>4.9908000000000001</v>
      </c>
      <c r="D70">
        <v>3.58</v>
      </c>
      <c r="E70">
        <v>4.1685918833333329</v>
      </c>
      <c r="F70">
        <v>15.519999999999889</v>
      </c>
      <c r="G70">
        <v>17.739999999999871</v>
      </c>
      <c r="H70">
        <v>24.639999999999951</v>
      </c>
      <c r="I70">
        <v>4.0804170833333329</v>
      </c>
      <c r="J70">
        <v>14.86000000000001</v>
      </c>
      <c r="K70">
        <v>16.559999999999949</v>
      </c>
      <c r="L70">
        <v>21.939999999999941</v>
      </c>
      <c r="M70">
        <v>3.7428443833333329</v>
      </c>
      <c r="N70">
        <v>14.360000000000021</v>
      </c>
      <c r="O70">
        <v>16.019999999999971</v>
      </c>
      <c r="P70">
        <v>21.85999999999995</v>
      </c>
      <c r="Q70">
        <v>3.1936791000000002</v>
      </c>
      <c r="R70">
        <v>18.100000000000001</v>
      </c>
      <c r="S70">
        <v>20.600000000000041</v>
      </c>
      <c r="T70" s="2">
        <v>32.460000000000022</v>
      </c>
      <c r="U70">
        <v>2.9336356499999998</v>
      </c>
      <c r="V70">
        <v>23.459999999999951</v>
      </c>
      <c r="W70">
        <v>31.47999999999999</v>
      </c>
      <c r="X70">
        <v>66.899999999999963</v>
      </c>
      <c r="Y70">
        <v>7</v>
      </c>
      <c r="Z70">
        <v>7</v>
      </c>
    </row>
    <row r="71" spans="1:26" x14ac:dyDescent="0.4">
      <c r="B71" s="3">
        <f>_xlfn.STDEV.P(B62:B70)</f>
        <v>0.19482185594936627</v>
      </c>
      <c r="C71" s="3">
        <f t="shared" ref="C71:X71" si="6">_xlfn.STDEV.P(C62:C70)</f>
        <v>6.4425284508107467E-4</v>
      </c>
      <c r="D71" s="3">
        <f t="shared" si="6"/>
        <v>2.4993826398225804E-3</v>
      </c>
      <c r="E71" s="3">
        <f t="shared" si="6"/>
        <v>5.519904810030677E-4</v>
      </c>
      <c r="F71" s="3">
        <f t="shared" si="6"/>
        <v>0.17095230726146332</v>
      </c>
      <c r="G71" s="3">
        <f t="shared" si="6"/>
        <v>0.16885964659119956</v>
      </c>
      <c r="H71" s="3">
        <f t="shared" si="6"/>
        <v>0.17472376787871224</v>
      </c>
      <c r="I71" s="3">
        <f t="shared" si="6"/>
        <v>7.0100102236791853E-4</v>
      </c>
      <c r="J71" s="3">
        <f t="shared" si="6"/>
        <v>0.11653431646336938</v>
      </c>
      <c r="K71" s="3">
        <f t="shared" si="6"/>
        <v>0.11469767022722777</v>
      </c>
      <c r="L71" s="3">
        <f t="shared" si="6"/>
        <v>0.12400716825157858</v>
      </c>
      <c r="M71" s="3">
        <f t="shared" si="6"/>
        <v>1.0736808720408397E-3</v>
      </c>
      <c r="N71" s="3">
        <f t="shared" si="6"/>
        <v>6.86375342732468E-2</v>
      </c>
      <c r="O71" s="3">
        <f t="shared" si="6"/>
        <v>6.3557109538107281E-2</v>
      </c>
      <c r="P71" s="3">
        <f t="shared" si="6"/>
        <v>7.4833147735458169E-2</v>
      </c>
      <c r="Q71" s="3">
        <f t="shared" si="6"/>
        <v>2.8834212327642564E-3</v>
      </c>
      <c r="R71" s="3">
        <f t="shared" si="6"/>
        <v>9.4751136023689453E-2</v>
      </c>
      <c r="S71" s="3">
        <f t="shared" si="6"/>
        <v>0.1014463307601169</v>
      </c>
      <c r="T71" s="3">
        <f t="shared" si="6"/>
        <v>0.14966629547095053</v>
      </c>
      <c r="U71" s="3">
        <f t="shared" si="6"/>
        <v>3.9459090902968065E-3</v>
      </c>
      <c r="V71" s="3">
        <f t="shared" si="6"/>
        <v>9.6045256822115538E-2</v>
      </c>
      <c r="W71" s="3">
        <f t="shared" si="6"/>
        <v>0.14103672580109303</v>
      </c>
      <c r="X71" s="3">
        <f t="shared" si="6"/>
        <v>0.62451956843484124</v>
      </c>
      <c r="Y71" s="5">
        <f>SUM(B71:X71)</f>
        <v>2.4913894756659127</v>
      </c>
    </row>
    <row r="72" spans="1:26" x14ac:dyDescent="0.4">
      <c r="A72" t="s">
        <v>89</v>
      </c>
      <c r="B72">
        <v>11.06</v>
      </c>
      <c r="C72" s="2">
        <v>4.9923999999999999</v>
      </c>
      <c r="D72">
        <v>3.5779999999999998</v>
      </c>
      <c r="E72">
        <v>4.168179966666667</v>
      </c>
      <c r="F72">
        <v>15.199999999999919</v>
      </c>
      <c r="G72">
        <v>17.47999999999994</v>
      </c>
      <c r="H72">
        <v>24.519999999999879</v>
      </c>
      <c r="I72">
        <v>4.0824193666666666</v>
      </c>
      <c r="J72">
        <v>14.779999999999839</v>
      </c>
      <c r="K72">
        <v>16.51999999999996</v>
      </c>
      <c r="L72">
        <v>21.979999999999929</v>
      </c>
      <c r="M72">
        <v>3.7453572333333338</v>
      </c>
      <c r="N72">
        <v>14.25999999999998</v>
      </c>
      <c r="O72">
        <v>15.96000000000002</v>
      </c>
      <c r="P72">
        <v>21.839999999999989</v>
      </c>
      <c r="Q72">
        <v>3.1947969000000001</v>
      </c>
      <c r="R72">
        <v>17.93999999999993</v>
      </c>
      <c r="S72">
        <v>20.51999999999996</v>
      </c>
      <c r="T72" s="2">
        <v>32.419999999999938</v>
      </c>
      <c r="U72">
        <v>2.9284413666666671</v>
      </c>
      <c r="V72">
        <v>23.280000000000008</v>
      </c>
      <c r="W72">
        <v>31.46000000000004</v>
      </c>
      <c r="X72">
        <v>67.980000000000018</v>
      </c>
      <c r="Y72">
        <v>8</v>
      </c>
      <c r="Z72">
        <v>8</v>
      </c>
    </row>
    <row r="73" spans="1:26" x14ac:dyDescent="0.4">
      <c r="A73" t="s">
        <v>90</v>
      </c>
      <c r="B73">
        <v>11.19</v>
      </c>
      <c r="C73" s="2">
        <v>4.9927999999999999</v>
      </c>
      <c r="D73">
        <v>3.58</v>
      </c>
      <c r="E73">
        <v>4.1692616500000002</v>
      </c>
      <c r="F73">
        <v>15.39999999999999</v>
      </c>
      <c r="G73">
        <v>17.66000000000005</v>
      </c>
      <c r="H73">
        <v>24.639999999999951</v>
      </c>
      <c r="I73">
        <v>4.0812099999999996</v>
      </c>
      <c r="J73">
        <v>14.739999999999929</v>
      </c>
      <c r="K73">
        <v>16.41999999999992</v>
      </c>
      <c r="L73">
        <v>21.679999999999922</v>
      </c>
      <c r="M73">
        <v>3.7443576666666658</v>
      </c>
      <c r="N73">
        <v>14.30000000000007</v>
      </c>
      <c r="O73">
        <v>15.940000000000071</v>
      </c>
      <c r="P73">
        <v>21.68000000000001</v>
      </c>
      <c r="Q73">
        <v>3.1936988666666659</v>
      </c>
      <c r="R73">
        <v>17.999999999999972</v>
      </c>
      <c r="S73">
        <v>20.51999999999996</v>
      </c>
      <c r="T73" s="2">
        <v>32.299999999999947</v>
      </c>
      <c r="U73">
        <v>2.9254590500000002</v>
      </c>
      <c r="V73">
        <v>23.08000000000003</v>
      </c>
      <c r="W73">
        <v>31.380000000000049</v>
      </c>
      <c r="X73">
        <v>67.820000000000036</v>
      </c>
      <c r="Y73">
        <v>8</v>
      </c>
      <c r="Z73">
        <v>8</v>
      </c>
    </row>
    <row r="74" spans="1:26" x14ac:dyDescent="0.4">
      <c r="A74" t="s">
        <v>91</v>
      </c>
      <c r="B74">
        <v>11.61</v>
      </c>
      <c r="C74" s="2">
        <v>4.9934000000000003</v>
      </c>
      <c r="D74">
        <v>3.581</v>
      </c>
      <c r="E74">
        <v>4.1691108333333338</v>
      </c>
      <c r="F74">
        <v>15.28000000000009</v>
      </c>
      <c r="G74">
        <v>17.500000000000071</v>
      </c>
      <c r="H74">
        <v>24.36000000000007</v>
      </c>
      <c r="I74">
        <v>4.0810631333333331</v>
      </c>
      <c r="J74">
        <v>14.8200000000001</v>
      </c>
      <c r="K74">
        <v>16.54</v>
      </c>
      <c r="L74">
        <v>21.860000000000031</v>
      </c>
      <c r="M74">
        <v>3.7438285333333332</v>
      </c>
      <c r="N74">
        <v>14.299999999999979</v>
      </c>
      <c r="O74">
        <v>15.97999999999997</v>
      </c>
      <c r="P74">
        <v>21.72000000000001</v>
      </c>
      <c r="Q74">
        <v>3.19545375</v>
      </c>
      <c r="R74">
        <v>18.079999999999959</v>
      </c>
      <c r="S74">
        <v>20.58</v>
      </c>
      <c r="T74" s="2">
        <v>32.380000000000031</v>
      </c>
      <c r="U74">
        <v>2.9241549166666658</v>
      </c>
      <c r="V74">
        <v>23.280000000000008</v>
      </c>
      <c r="W74">
        <v>31.320000000000011</v>
      </c>
      <c r="X74">
        <v>67.279999999999959</v>
      </c>
      <c r="Y74">
        <v>8</v>
      </c>
      <c r="Z74">
        <v>8</v>
      </c>
    </row>
    <row r="75" spans="1:26" x14ac:dyDescent="0.4">
      <c r="A75" t="s">
        <v>92</v>
      </c>
      <c r="B75">
        <v>11.16</v>
      </c>
      <c r="C75" s="2">
        <v>4.9938000000000002</v>
      </c>
      <c r="D75">
        <v>3.5859999999999999</v>
      </c>
      <c r="E75">
        <v>4.1685366833333326</v>
      </c>
      <c r="F75">
        <v>15.16000000000002</v>
      </c>
      <c r="G75">
        <v>17.38</v>
      </c>
      <c r="H75">
        <v>24.299999999999859</v>
      </c>
      <c r="I75">
        <v>4.0814830000000004</v>
      </c>
      <c r="J75">
        <v>14.680000000000071</v>
      </c>
      <c r="K75">
        <v>16.38000000000002</v>
      </c>
      <c r="L75">
        <v>21.700000000000049</v>
      </c>
      <c r="M75">
        <v>3.7439298999999999</v>
      </c>
      <c r="N75">
        <v>14.24000000000003</v>
      </c>
      <c r="O75">
        <v>15.90000000000007</v>
      </c>
      <c r="P75">
        <v>21.700000000000049</v>
      </c>
      <c r="Q75">
        <v>3.195713116666667</v>
      </c>
      <c r="R75">
        <v>17.980000000000022</v>
      </c>
      <c r="S75">
        <v>20.479999999999961</v>
      </c>
      <c r="T75" s="2">
        <v>32.279999999999987</v>
      </c>
      <c r="U75">
        <v>2.9315762666666672</v>
      </c>
      <c r="V75">
        <v>23.180000000000071</v>
      </c>
      <c r="W75">
        <v>31.46000000000004</v>
      </c>
      <c r="X75">
        <v>67.440000000000026</v>
      </c>
      <c r="Y75">
        <v>8</v>
      </c>
      <c r="Z75">
        <v>8</v>
      </c>
    </row>
    <row r="76" spans="1:26" x14ac:dyDescent="0.4">
      <c r="A76" t="s">
        <v>93</v>
      </c>
      <c r="B76">
        <v>11.73</v>
      </c>
      <c r="C76" s="2">
        <v>4.9939999999999998</v>
      </c>
      <c r="D76">
        <v>3.581</v>
      </c>
      <c r="E76">
        <v>4.1687345499999999</v>
      </c>
      <c r="F76">
        <v>15.06000000000007</v>
      </c>
      <c r="G76">
        <v>17.280000000000051</v>
      </c>
      <c r="H76">
        <v>24.14000000000005</v>
      </c>
      <c r="I76">
        <v>4.0821286166666662</v>
      </c>
      <c r="J76">
        <v>14.780000000000021</v>
      </c>
      <c r="K76">
        <v>16.500000000000089</v>
      </c>
      <c r="L76">
        <v>21.840000000000082</v>
      </c>
      <c r="M76">
        <v>3.7446736166666672</v>
      </c>
      <c r="N76">
        <v>14.200000000000029</v>
      </c>
      <c r="O76">
        <v>15.880000000000029</v>
      </c>
      <c r="P76">
        <v>21.660000000000061</v>
      </c>
      <c r="Q76">
        <v>3.1958592499999998</v>
      </c>
      <c r="R76">
        <v>17.900000000000031</v>
      </c>
      <c r="S76">
        <v>20.39999999999997</v>
      </c>
      <c r="T76" s="2">
        <v>32.200000000000003</v>
      </c>
      <c r="U76">
        <v>2.9313322666666668</v>
      </c>
      <c r="V76">
        <v>23.120000000000029</v>
      </c>
      <c r="W76">
        <v>31.280000000000019</v>
      </c>
      <c r="X76">
        <v>66.999999999999986</v>
      </c>
      <c r="Y76">
        <v>8</v>
      </c>
      <c r="Z76">
        <v>8</v>
      </c>
    </row>
    <row r="77" spans="1:26" x14ac:dyDescent="0.4">
      <c r="A77" t="s">
        <v>94</v>
      </c>
      <c r="B77">
        <v>11.45</v>
      </c>
      <c r="C77" s="2">
        <v>4.9939999999999998</v>
      </c>
      <c r="D77">
        <v>3.58</v>
      </c>
      <c r="E77">
        <v>4.1685546166666674</v>
      </c>
      <c r="F77">
        <v>15.41999999999994</v>
      </c>
      <c r="G77">
        <v>17.619999999999969</v>
      </c>
      <c r="H77">
        <v>24.519999999999879</v>
      </c>
      <c r="I77">
        <v>4.0811443166666672</v>
      </c>
      <c r="J77">
        <v>14.86000000000001</v>
      </c>
      <c r="K77">
        <v>16.559999999999949</v>
      </c>
      <c r="L77">
        <v>21.900000000000031</v>
      </c>
      <c r="M77">
        <v>3.7432221166666668</v>
      </c>
      <c r="N77">
        <v>14.360000000000021</v>
      </c>
      <c r="O77">
        <v>16.02000000000006</v>
      </c>
      <c r="P77">
        <v>21.820000000000039</v>
      </c>
      <c r="Q77">
        <v>3.1934089833333328</v>
      </c>
      <c r="R77">
        <v>18.14</v>
      </c>
      <c r="S77">
        <v>20.659999999999989</v>
      </c>
      <c r="T77" s="2">
        <v>32.479999999999983</v>
      </c>
      <c r="U77">
        <v>2.9323606</v>
      </c>
      <c r="V77">
        <v>23.36</v>
      </c>
      <c r="W77">
        <v>31.639999999999979</v>
      </c>
      <c r="X77">
        <v>67.479999999999947</v>
      </c>
      <c r="Y77">
        <v>8</v>
      </c>
      <c r="Z77">
        <v>8</v>
      </c>
    </row>
    <row r="78" spans="1:26" x14ac:dyDescent="0.4">
      <c r="A78" t="s">
        <v>95</v>
      </c>
      <c r="B78">
        <v>11.42</v>
      </c>
      <c r="C78" s="2">
        <v>4.9968000000000004</v>
      </c>
      <c r="D78">
        <v>3.585</v>
      </c>
      <c r="E78">
        <v>4.1687100999999993</v>
      </c>
      <c r="F78">
        <v>14.98000000000008</v>
      </c>
      <c r="G78">
        <v>17.22000000000001</v>
      </c>
      <c r="H78">
        <v>24.1200000000001</v>
      </c>
      <c r="I78">
        <v>4.0832199333333321</v>
      </c>
      <c r="J78">
        <v>14.799999999999971</v>
      </c>
      <c r="K78">
        <v>16.479999999999961</v>
      </c>
      <c r="L78">
        <v>21.819999999999951</v>
      </c>
      <c r="M78">
        <v>3.7456226333333338</v>
      </c>
      <c r="N78">
        <v>14.35999999999993</v>
      </c>
      <c r="O78">
        <v>16.019999999999971</v>
      </c>
      <c r="P78">
        <v>21.8</v>
      </c>
      <c r="Q78">
        <v>3.1975842833333341</v>
      </c>
      <c r="R78">
        <v>18.079999999999959</v>
      </c>
      <c r="S78">
        <v>20.61999999999999</v>
      </c>
      <c r="T78" s="2">
        <v>32.420000000000023</v>
      </c>
      <c r="U78">
        <v>2.9347617833333328</v>
      </c>
      <c r="V78">
        <v>23.179999999999978</v>
      </c>
      <c r="W78">
        <v>31.519999999999989</v>
      </c>
      <c r="X78">
        <v>67.419999999999987</v>
      </c>
      <c r="Y78">
        <v>8</v>
      </c>
      <c r="Z78">
        <v>8</v>
      </c>
    </row>
    <row r="79" spans="1:26" x14ac:dyDescent="0.4">
      <c r="A79" t="s">
        <v>96</v>
      </c>
      <c r="B79">
        <v>11.37</v>
      </c>
      <c r="C79" s="2">
        <v>4.9969999999999999</v>
      </c>
      <c r="D79">
        <v>3.5840000000000001</v>
      </c>
      <c r="E79">
        <v>4.1681738333333334</v>
      </c>
      <c r="F79">
        <v>15.11999999999993</v>
      </c>
      <c r="G79">
        <v>17.339999999999911</v>
      </c>
      <c r="H79">
        <v>24.280000000000079</v>
      </c>
      <c r="I79">
        <v>4.0802055666666659</v>
      </c>
      <c r="J79">
        <v>14.460000000000051</v>
      </c>
      <c r="K79">
        <v>16.160000000000089</v>
      </c>
      <c r="L79">
        <v>21.500000000000071</v>
      </c>
      <c r="M79">
        <v>3.7405759000000001</v>
      </c>
      <c r="N79">
        <v>14.200000000000029</v>
      </c>
      <c r="O79">
        <v>15.859999999999991</v>
      </c>
      <c r="P79">
        <v>21.700000000000049</v>
      </c>
      <c r="Q79">
        <v>3.1889299666666671</v>
      </c>
      <c r="R79">
        <v>17.999999999999972</v>
      </c>
      <c r="S79">
        <v>20.55999999999996</v>
      </c>
      <c r="T79" s="2">
        <v>32.559999999999967</v>
      </c>
      <c r="U79">
        <v>2.9381993333333329</v>
      </c>
      <c r="V79">
        <v>23.099999999999991</v>
      </c>
      <c r="W79">
        <v>31.24000000000002</v>
      </c>
      <c r="X79">
        <v>66.58</v>
      </c>
      <c r="Y79">
        <v>8</v>
      </c>
      <c r="Z79">
        <v>8</v>
      </c>
    </row>
    <row r="80" spans="1:26" x14ac:dyDescent="0.4">
      <c r="A80" t="s">
        <v>97</v>
      </c>
      <c r="B80">
        <v>11.36</v>
      </c>
      <c r="C80" s="2">
        <v>4.9980000000000002</v>
      </c>
      <c r="D80">
        <v>3.585</v>
      </c>
      <c r="E80">
        <v>4.1684907666666664</v>
      </c>
      <c r="F80">
        <v>15.11999999999993</v>
      </c>
      <c r="G80">
        <v>17.360000000000039</v>
      </c>
      <c r="H80">
        <v>24.239999999999991</v>
      </c>
      <c r="I80">
        <v>4.0825945333333333</v>
      </c>
      <c r="J80">
        <v>14.799999999999971</v>
      </c>
      <c r="K80">
        <v>16.500000000000089</v>
      </c>
      <c r="L80">
        <v>21.820000000000039</v>
      </c>
      <c r="M80">
        <v>3.744924783333333</v>
      </c>
      <c r="N80">
        <v>14.360000000000021</v>
      </c>
      <c r="O80">
        <v>16.02000000000006</v>
      </c>
      <c r="P80">
        <v>21.820000000000039</v>
      </c>
      <c r="Q80">
        <v>3.1970418166666659</v>
      </c>
      <c r="R80">
        <v>18.18</v>
      </c>
      <c r="S80">
        <v>20.719999999999938</v>
      </c>
      <c r="T80" s="2">
        <v>32.519999999999968</v>
      </c>
      <c r="U80">
        <v>2.9364360833333332</v>
      </c>
      <c r="V80">
        <v>23.34000000000005</v>
      </c>
      <c r="W80">
        <v>31.44</v>
      </c>
      <c r="X80">
        <v>66.699999999999989</v>
      </c>
      <c r="Y80">
        <v>8</v>
      </c>
      <c r="Z80">
        <v>8</v>
      </c>
    </row>
    <row r="81" spans="2:25" x14ac:dyDescent="0.4">
      <c r="B81" s="3">
        <f>_xlfn.STDEV.P(B72:B80)</f>
        <v>0.20241748814312666</v>
      </c>
      <c r="C81" s="3">
        <f t="shared" ref="C81:X81" si="7">_xlfn.STDEV.P(C72:C80)</f>
        <v>1.9139513777898035E-3</v>
      </c>
      <c r="D81" s="3">
        <f t="shared" si="7"/>
        <v>2.657391276244747E-3</v>
      </c>
      <c r="E81" s="3">
        <f t="shared" si="7"/>
        <v>3.4819507339396781E-4</v>
      </c>
      <c r="F81" s="3">
        <f t="shared" si="7"/>
        <v>0.1401586402775041</v>
      </c>
      <c r="G81" s="3">
        <f t="shared" si="7"/>
        <v>0.14079141387962185</v>
      </c>
      <c r="H81" s="3">
        <f t="shared" si="7"/>
        <v>0.16944353369512777</v>
      </c>
      <c r="I81" s="3">
        <f t="shared" si="7"/>
        <v>8.8464289905835667E-4</v>
      </c>
      <c r="J81" s="3">
        <f t="shared" si="7"/>
        <v>0.1119523708249598</v>
      </c>
      <c r="K81" s="3">
        <f t="shared" si="7"/>
        <v>0.11589693164802251</v>
      </c>
      <c r="L81" s="3">
        <f t="shared" si="7"/>
        <v>0.13403518977776285</v>
      </c>
      <c r="M81" s="3">
        <f t="shared" si="7"/>
        <v>1.4239565582419022E-3</v>
      </c>
      <c r="N81" s="3">
        <f t="shared" si="7"/>
        <v>6.1824123303291345E-2</v>
      </c>
      <c r="O81" s="3">
        <f t="shared" si="7"/>
        <v>5.8878405775518033E-2</v>
      </c>
      <c r="P81" s="3">
        <f t="shared" si="7"/>
        <v>6.6071416654737966E-2</v>
      </c>
      <c r="Q81" s="3">
        <f t="shared" si="7"/>
        <v>2.4200409601775005E-3</v>
      </c>
      <c r="R81" s="3">
        <f t="shared" si="7"/>
        <v>8.7432513657359226E-2</v>
      </c>
      <c r="S81" s="3">
        <f t="shared" si="7"/>
        <v>9.1138207352932932E-2</v>
      </c>
      <c r="T81" s="3">
        <f t="shared" si="7"/>
        <v>0.11146609959096651</v>
      </c>
      <c r="U81" s="3">
        <f t="shared" si="7"/>
        <v>4.4769912051389298E-3</v>
      </c>
      <c r="V81" s="3">
        <f t="shared" si="7"/>
        <v>9.8882646494608747E-2</v>
      </c>
      <c r="W81" s="3">
        <f t="shared" si="7"/>
        <v>0.1180499998692645</v>
      </c>
      <c r="X81" s="3">
        <f t="shared" si="7"/>
        <v>0.44322053702920022</v>
      </c>
      <c r="Y81" s="5">
        <f>SUM(B81:X81)</f>
        <v>2.1657846873240505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1"/>
  <sheetViews>
    <sheetView workbookViewId="0">
      <selection activeCell="B12" sqref="B12:X12"/>
    </sheetView>
  </sheetViews>
  <sheetFormatPr defaultRowHeight="17.399999999999999" x14ac:dyDescent="0.4"/>
  <cols>
    <col min="1" max="1" width="22.796875" bestFit="1" customWidth="1"/>
  </cols>
  <sheetData>
    <row r="1" spans="1:2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26</v>
      </c>
      <c r="B2">
        <v>11</v>
      </c>
      <c r="C2">
        <v>4.9778000000000002</v>
      </c>
      <c r="D2">
        <v>3.585</v>
      </c>
      <c r="E2">
        <v>4.1686957166666661</v>
      </c>
      <c r="F2">
        <v>15.360000000000079</v>
      </c>
      <c r="G2">
        <v>17.600000000000019</v>
      </c>
      <c r="H2">
        <v>24.54000000000001</v>
      </c>
      <c r="I2">
        <v>4.0808526499999997</v>
      </c>
      <c r="J2">
        <v>14.759999999999881</v>
      </c>
      <c r="K2">
        <v>16.479999999999961</v>
      </c>
      <c r="L2">
        <v>21.839999999999989</v>
      </c>
      <c r="M2">
        <v>3.7439870833333329</v>
      </c>
      <c r="N2">
        <v>14.32000000000002</v>
      </c>
      <c r="O2">
        <v>16.000000000000011</v>
      </c>
      <c r="P2">
        <v>21.820000000000039</v>
      </c>
      <c r="Q2">
        <v>3.1965471166666668</v>
      </c>
      <c r="R2">
        <v>18.04000000000006</v>
      </c>
      <c r="S2">
        <v>20.560000000000041</v>
      </c>
      <c r="T2">
        <v>32.340000000000032</v>
      </c>
      <c r="U2">
        <v>2.9297580499999998</v>
      </c>
      <c r="V2">
        <v>23.320000000000011</v>
      </c>
      <c r="W2">
        <v>31.49999999999995</v>
      </c>
      <c r="X2">
        <v>67.479999999999947</v>
      </c>
      <c r="Y2">
        <v>1</v>
      </c>
      <c r="Z2">
        <v>1</v>
      </c>
    </row>
    <row r="3" spans="1:26" x14ac:dyDescent="0.4">
      <c r="A3" t="s">
        <v>27</v>
      </c>
      <c r="B3">
        <v>10.86</v>
      </c>
      <c r="C3">
        <v>4.9781000000000004</v>
      </c>
      <c r="D3">
        <v>3.585</v>
      </c>
      <c r="E3">
        <v>4.1685416833333333</v>
      </c>
      <c r="F3">
        <v>15.279999999999919</v>
      </c>
      <c r="G3">
        <v>17.520000000000021</v>
      </c>
      <c r="H3">
        <v>24.43999999999988</v>
      </c>
      <c r="I3">
        <v>4.0811844833333337</v>
      </c>
      <c r="J3">
        <v>14.739999999999929</v>
      </c>
      <c r="K3">
        <v>16.439999999999969</v>
      </c>
      <c r="L3">
        <v>21.819999999999951</v>
      </c>
      <c r="M3">
        <v>3.744598266666666</v>
      </c>
      <c r="N3">
        <v>14.299999999999979</v>
      </c>
      <c r="O3">
        <v>15.97999999999997</v>
      </c>
      <c r="P3">
        <v>21.819999999999951</v>
      </c>
      <c r="Q3">
        <v>3.1989250666666669</v>
      </c>
      <c r="R3">
        <v>17.999999999999972</v>
      </c>
      <c r="S3">
        <v>20.54</v>
      </c>
      <c r="T3">
        <v>32.319999999999993</v>
      </c>
      <c r="U3">
        <v>2.9340944166666669</v>
      </c>
      <c r="V3">
        <v>23.260000000000058</v>
      </c>
      <c r="W3">
        <v>31.400000000000009</v>
      </c>
      <c r="X3">
        <v>67.020000000000039</v>
      </c>
      <c r="Y3">
        <v>1</v>
      </c>
      <c r="Z3">
        <v>1</v>
      </c>
    </row>
    <row r="4" spans="1:26" x14ac:dyDescent="0.4">
      <c r="A4" t="s">
        <v>28</v>
      </c>
      <c r="B4">
        <v>11.21</v>
      </c>
      <c r="C4">
        <v>4.9782000000000002</v>
      </c>
      <c r="D4">
        <v>3.585</v>
      </c>
      <c r="E4">
        <v>4.1692878333333327</v>
      </c>
      <c r="F4">
        <v>15.41999999999994</v>
      </c>
      <c r="G4">
        <v>17.66000000000005</v>
      </c>
      <c r="H4">
        <v>24.55999999999996</v>
      </c>
      <c r="I4">
        <v>4.081020650000001</v>
      </c>
      <c r="J4">
        <v>14.74000000000011</v>
      </c>
      <c r="K4">
        <v>16.460000000000012</v>
      </c>
      <c r="L4">
        <v>21.8</v>
      </c>
      <c r="M4">
        <v>3.7438808333333329</v>
      </c>
      <c r="N4">
        <v>14.32000000000002</v>
      </c>
      <c r="O4">
        <v>15.980000000000061</v>
      </c>
      <c r="P4">
        <v>21.80000000000009</v>
      </c>
      <c r="Q4">
        <v>3.1955931</v>
      </c>
      <c r="R4">
        <v>18.00000000000006</v>
      </c>
      <c r="S4">
        <v>20.520000000000049</v>
      </c>
      <c r="T4">
        <v>32.319999999999993</v>
      </c>
      <c r="U4">
        <v>2.93087505</v>
      </c>
      <c r="V4">
        <v>23.15999999999994</v>
      </c>
      <c r="W4">
        <v>31.25999999999998</v>
      </c>
      <c r="X4">
        <v>66.819999999999965</v>
      </c>
      <c r="Y4">
        <v>1</v>
      </c>
      <c r="Z4">
        <v>1</v>
      </c>
    </row>
    <row r="5" spans="1:26" x14ac:dyDescent="0.4">
      <c r="A5" t="s">
        <v>29</v>
      </c>
      <c r="B5">
        <v>11.49</v>
      </c>
      <c r="C5">
        <v>4.9800000000000004</v>
      </c>
      <c r="D5">
        <v>3.5790000000000002</v>
      </c>
      <c r="E5">
        <v>4.1684305666666663</v>
      </c>
      <c r="F5">
        <v>15.49999999999994</v>
      </c>
      <c r="G5">
        <v>17.760000000000002</v>
      </c>
      <c r="H5">
        <v>24.77999999999998</v>
      </c>
      <c r="I5">
        <v>4.0806851000000002</v>
      </c>
      <c r="J5">
        <v>14.780000000000021</v>
      </c>
      <c r="K5">
        <v>16.5</v>
      </c>
      <c r="L5">
        <v>21.920000000000069</v>
      </c>
      <c r="M5">
        <v>3.743521100000001</v>
      </c>
      <c r="N5">
        <v>14.299999999999979</v>
      </c>
      <c r="O5">
        <v>15.95999999999993</v>
      </c>
      <c r="P5">
        <v>21.8</v>
      </c>
      <c r="Q5">
        <v>3.193286266666667</v>
      </c>
      <c r="R5">
        <v>17.940000000000019</v>
      </c>
      <c r="S5">
        <v>20.48000000000005</v>
      </c>
      <c r="T5">
        <v>32.30000000000004</v>
      </c>
      <c r="U5">
        <v>2.9247044999999998</v>
      </c>
      <c r="V5">
        <v>23.119999999999941</v>
      </c>
      <c r="W5">
        <v>31.47999999999999</v>
      </c>
      <c r="X5">
        <v>68.259999999999991</v>
      </c>
      <c r="Y5">
        <v>1</v>
      </c>
      <c r="Z5">
        <v>1</v>
      </c>
    </row>
    <row r="6" spans="1:26" x14ac:dyDescent="0.4">
      <c r="A6" t="s">
        <v>30</v>
      </c>
      <c r="B6">
        <v>11.67</v>
      </c>
      <c r="C6">
        <v>4.9800000000000004</v>
      </c>
      <c r="D6">
        <v>3.581</v>
      </c>
      <c r="E6">
        <v>4.1687450833333326</v>
      </c>
      <c r="F6">
        <v>15.420000000000121</v>
      </c>
      <c r="G6">
        <v>17.6400000000001</v>
      </c>
      <c r="H6">
        <v>24.520000000000049</v>
      </c>
      <c r="I6">
        <v>4.0796599166666656</v>
      </c>
      <c r="J6">
        <v>14.76000000000006</v>
      </c>
      <c r="K6">
        <v>16.460000000000012</v>
      </c>
      <c r="L6">
        <v>21.839999999999989</v>
      </c>
      <c r="M6">
        <v>3.7429222333333332</v>
      </c>
      <c r="N6">
        <v>14.21999999999999</v>
      </c>
      <c r="O6">
        <v>15.899999999999981</v>
      </c>
      <c r="P6">
        <v>21.68000000000001</v>
      </c>
      <c r="Q6">
        <v>3.1954967500000002</v>
      </c>
      <c r="R6">
        <v>17.839999999999989</v>
      </c>
      <c r="S6">
        <v>20.340000000000021</v>
      </c>
      <c r="T6">
        <v>32.139999999999972</v>
      </c>
      <c r="U6">
        <v>2.930349666666666</v>
      </c>
      <c r="V6">
        <v>23.079999999999949</v>
      </c>
      <c r="W6">
        <v>31.099999999999991</v>
      </c>
      <c r="X6">
        <v>66.379999999999924</v>
      </c>
      <c r="Y6">
        <v>1</v>
      </c>
      <c r="Z6">
        <v>1</v>
      </c>
    </row>
    <row r="7" spans="1:26" x14ac:dyDescent="0.4">
      <c r="A7" t="s">
        <v>31</v>
      </c>
      <c r="B7">
        <v>11.05</v>
      </c>
      <c r="C7">
        <v>4.9802</v>
      </c>
      <c r="D7">
        <v>3.585</v>
      </c>
      <c r="E7">
        <v>4.1681850000000003</v>
      </c>
      <c r="F7">
        <v>15.54000000000002</v>
      </c>
      <c r="G7">
        <v>17.819999999999862</v>
      </c>
      <c r="H7">
        <v>24.79999999999993</v>
      </c>
      <c r="I7">
        <v>4.0796145666666668</v>
      </c>
      <c r="J7">
        <v>14.719999999999979</v>
      </c>
      <c r="K7">
        <v>16.420000000000009</v>
      </c>
      <c r="L7">
        <v>21.8</v>
      </c>
      <c r="M7">
        <v>3.7428849833333331</v>
      </c>
      <c r="N7">
        <v>14.25999999999998</v>
      </c>
      <c r="O7">
        <v>15.919999999999931</v>
      </c>
      <c r="P7">
        <v>21.739999999999959</v>
      </c>
      <c r="Q7">
        <v>3.1959899666666671</v>
      </c>
      <c r="R7">
        <v>18.00000000000006</v>
      </c>
      <c r="S7">
        <v>20.520000000000049</v>
      </c>
      <c r="T7">
        <v>32.319999999999993</v>
      </c>
      <c r="U7">
        <v>2.9369317833333328</v>
      </c>
      <c r="V7">
        <v>23.25999999999997</v>
      </c>
      <c r="W7">
        <v>31.86</v>
      </c>
      <c r="X7">
        <v>68.159999999999954</v>
      </c>
      <c r="Y7">
        <v>1</v>
      </c>
      <c r="Z7">
        <v>1</v>
      </c>
    </row>
    <row r="8" spans="1:26" x14ac:dyDescent="0.4">
      <c r="A8" t="s">
        <v>32</v>
      </c>
      <c r="B8">
        <v>11.35</v>
      </c>
      <c r="C8">
        <v>4.9804000000000004</v>
      </c>
      <c r="D8">
        <v>3.5859999999999999</v>
      </c>
      <c r="E8">
        <v>4.1686789000000006</v>
      </c>
      <c r="F8">
        <v>15.240000000000011</v>
      </c>
      <c r="G8">
        <v>17.480000000000121</v>
      </c>
      <c r="H8">
        <v>24.460000000000019</v>
      </c>
      <c r="I8">
        <v>4.081397850000001</v>
      </c>
      <c r="J8">
        <v>14.76000000000006</v>
      </c>
      <c r="K8">
        <v>16.5</v>
      </c>
      <c r="L8">
        <v>21.839999999999989</v>
      </c>
      <c r="M8">
        <v>3.7453311166666672</v>
      </c>
      <c r="N8">
        <v>14.32000000000002</v>
      </c>
      <c r="O8">
        <v>15.97999999999997</v>
      </c>
      <c r="P8">
        <v>21.8</v>
      </c>
      <c r="Q8">
        <v>3.199201</v>
      </c>
      <c r="R8">
        <v>18.079999999999959</v>
      </c>
      <c r="S8">
        <v>20.600000000000041</v>
      </c>
      <c r="T8">
        <v>32.399999999999977</v>
      </c>
      <c r="U8">
        <v>2.9426655166666671</v>
      </c>
      <c r="V8">
        <v>23.179999999999978</v>
      </c>
      <c r="W8">
        <v>31.519999999999989</v>
      </c>
      <c r="X8">
        <v>66.900000000000048</v>
      </c>
      <c r="Y8">
        <v>1</v>
      </c>
      <c r="Z8">
        <v>1</v>
      </c>
    </row>
    <row r="9" spans="1:26" x14ac:dyDescent="0.4">
      <c r="A9" t="s">
        <v>33</v>
      </c>
      <c r="B9">
        <v>11.36</v>
      </c>
      <c r="C9">
        <v>4.9805000000000001</v>
      </c>
      <c r="D9">
        <v>3.5859999999999999</v>
      </c>
      <c r="E9">
        <v>4.1686860499999998</v>
      </c>
      <c r="F9">
        <v>15.39999999999999</v>
      </c>
      <c r="G9">
        <v>17.62000000000015</v>
      </c>
      <c r="H9">
        <v>24.54000000000001</v>
      </c>
      <c r="I9">
        <v>4.0804136833333322</v>
      </c>
      <c r="J9">
        <v>14.700000000000021</v>
      </c>
      <c r="K9">
        <v>16.39999999999997</v>
      </c>
      <c r="L9">
        <v>21.739999999999959</v>
      </c>
      <c r="M9">
        <v>3.742944383333334</v>
      </c>
      <c r="N9">
        <v>14.23999999999994</v>
      </c>
      <c r="O9">
        <v>15.899999999999981</v>
      </c>
      <c r="P9">
        <v>21.69999999999996</v>
      </c>
      <c r="Q9">
        <v>3.1939040333333342</v>
      </c>
      <c r="R9">
        <v>17.940000000000019</v>
      </c>
      <c r="S9">
        <v>20.440000000000062</v>
      </c>
      <c r="T9">
        <v>32.260000000000048</v>
      </c>
      <c r="U9">
        <v>2.9288173500000001</v>
      </c>
      <c r="V9">
        <v>23.120000000000029</v>
      </c>
      <c r="W9">
        <v>31.25999999999998</v>
      </c>
      <c r="X9">
        <v>67.060000000000031</v>
      </c>
      <c r="Y9">
        <v>1</v>
      </c>
      <c r="Z9">
        <v>1</v>
      </c>
    </row>
    <row r="10" spans="1:26" x14ac:dyDescent="0.4">
      <c r="A10" t="s">
        <v>34</v>
      </c>
      <c r="B10">
        <v>11.26</v>
      </c>
      <c r="C10">
        <v>4.9805999999999999</v>
      </c>
      <c r="D10">
        <v>3.585</v>
      </c>
      <c r="E10">
        <v>4.1681872999999996</v>
      </c>
      <c r="F10">
        <v>15.16000000000002</v>
      </c>
      <c r="G10">
        <v>17.399999999999949</v>
      </c>
      <c r="H10">
        <v>24.359999999999889</v>
      </c>
      <c r="I10">
        <v>4.0820635833333334</v>
      </c>
      <c r="J10">
        <v>14.779999999999839</v>
      </c>
      <c r="K10">
        <v>16.499999999999911</v>
      </c>
      <c r="L10">
        <v>21.8399999999999</v>
      </c>
      <c r="M10">
        <v>3.7457267500000002</v>
      </c>
      <c r="N10">
        <v>14.28000000000003</v>
      </c>
      <c r="O10">
        <v>15.96000000000002</v>
      </c>
      <c r="P10">
        <v>21.739999999999959</v>
      </c>
      <c r="Q10">
        <v>3.1982591</v>
      </c>
      <c r="R10">
        <v>17.980000000000022</v>
      </c>
      <c r="S10">
        <v>20.48000000000005</v>
      </c>
      <c r="T10">
        <v>32.24</v>
      </c>
      <c r="U10">
        <v>2.9415046833333331</v>
      </c>
      <c r="V10">
        <v>23.10000000000008</v>
      </c>
      <c r="W10">
        <v>31.46000000000004</v>
      </c>
      <c r="X10">
        <v>67.060000000000031</v>
      </c>
      <c r="Y10">
        <v>1</v>
      </c>
      <c r="Z10">
        <v>1</v>
      </c>
    </row>
    <row r="11" spans="1:26" x14ac:dyDescent="0.4">
      <c r="B11" s="3">
        <f>_xlfn.STDEV.P(B2:B10)</f>
        <v>0.23860706890897707</v>
      </c>
      <c r="C11" s="3">
        <f t="shared" ref="C11:X11" si="0">_xlfn.STDEV.P(C2:C10)</f>
        <v>1.0821788720498141E-3</v>
      </c>
      <c r="D11" s="3">
        <f t="shared" si="0"/>
        <v>2.2825153982414972E-3</v>
      </c>
      <c r="E11" s="3">
        <f t="shared" si="0"/>
        <v>3.1472184659939547E-4</v>
      </c>
      <c r="F11" s="3">
        <f t="shared" si="0"/>
        <v>0.1158969316480464</v>
      </c>
      <c r="G11" s="3">
        <f t="shared" si="0"/>
        <v>0.12440475557578197</v>
      </c>
      <c r="H11" s="3">
        <f t="shared" si="0"/>
        <v>0.13849276845230007</v>
      </c>
      <c r="I11" s="3">
        <f t="shared" si="0"/>
        <v>7.461256018884727E-4</v>
      </c>
      <c r="J11" s="3">
        <f t="shared" si="0"/>
        <v>2.5141574442165821E-2</v>
      </c>
      <c r="K11" s="3">
        <f t="shared" si="0"/>
        <v>3.4569664858002801E-2</v>
      </c>
      <c r="L11" s="3">
        <f t="shared" si="0"/>
        <v>4.5215533220856037E-2</v>
      </c>
      <c r="M11" s="3">
        <f t="shared" si="0"/>
        <v>9.9273765870562655E-4</v>
      </c>
      <c r="N11" s="3">
        <f t="shared" si="0"/>
        <v>3.4995590551179942E-2</v>
      </c>
      <c r="O11" s="3">
        <f t="shared" si="0"/>
        <v>3.5276684147542231E-2</v>
      </c>
      <c r="P11" s="3">
        <f t="shared" si="0"/>
        <v>4.9888765157000171E-2</v>
      </c>
      <c r="Q11" s="3">
        <f t="shared" si="0"/>
        <v>1.9788367539608936E-3</v>
      </c>
      <c r="R11" s="3">
        <f t="shared" si="0"/>
        <v>6.4635731432220012E-2</v>
      </c>
      <c r="S11" s="3">
        <f t="shared" si="0"/>
        <v>7.1457489736949292E-2</v>
      </c>
      <c r="T11" s="3">
        <f t="shared" si="0"/>
        <v>6.9282032302757257E-2</v>
      </c>
      <c r="U11" s="3">
        <f t="shared" si="0"/>
        <v>5.6760482075989566E-3</v>
      </c>
      <c r="V11" s="3">
        <f t="shared" si="0"/>
        <v>7.9131083621184803E-2</v>
      </c>
      <c r="W11" s="3">
        <f t="shared" si="0"/>
        <v>0.2024296860091892</v>
      </c>
      <c r="X11" s="3">
        <f t="shared" si="0"/>
        <v>0.58586645762736311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"/>
  <sheetViews>
    <sheetView workbookViewId="0"/>
  </sheetViews>
  <sheetFormatPr defaultRowHeight="17.399999999999999" x14ac:dyDescent="0.4"/>
  <sheetData>
    <row r="1" spans="1:2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35</v>
      </c>
      <c r="B2">
        <v>11.68</v>
      </c>
      <c r="C2">
        <v>4.9808000000000003</v>
      </c>
      <c r="D2">
        <v>3.5779999999999998</v>
      </c>
      <c r="E2">
        <v>4.1681235666666669</v>
      </c>
      <c r="F2">
        <v>15.67999999999987</v>
      </c>
      <c r="G2">
        <v>17.959999999999891</v>
      </c>
      <c r="H2">
        <v>25</v>
      </c>
      <c r="I2">
        <v>4.0801282499999996</v>
      </c>
      <c r="J2">
        <v>14.81999999999992</v>
      </c>
      <c r="K2">
        <v>16.53999999999991</v>
      </c>
      <c r="L2">
        <v>21.979999999999929</v>
      </c>
      <c r="M2">
        <v>3.7429086666666662</v>
      </c>
      <c r="N2">
        <v>14.299999999999979</v>
      </c>
      <c r="O2">
        <v>15.97999999999997</v>
      </c>
      <c r="P2">
        <v>21.819999999999951</v>
      </c>
      <c r="Q2">
        <v>3.1929817666666671</v>
      </c>
      <c r="R2">
        <v>17.91999999999998</v>
      </c>
      <c r="S2">
        <v>20.460000000000012</v>
      </c>
      <c r="T2">
        <v>32.359999999999992</v>
      </c>
      <c r="U2">
        <v>2.9284892166666658</v>
      </c>
      <c r="V2">
        <v>22.99999999999995</v>
      </c>
      <c r="W2">
        <v>31.37999999999996</v>
      </c>
      <c r="X2">
        <v>67.8</v>
      </c>
      <c r="Y2">
        <v>2</v>
      </c>
      <c r="Z2">
        <v>2</v>
      </c>
    </row>
    <row r="3" spans="1:26" x14ac:dyDescent="0.4">
      <c r="A3" t="s">
        <v>36</v>
      </c>
      <c r="B3">
        <v>10.97</v>
      </c>
      <c r="C3">
        <v>4.9808000000000003</v>
      </c>
      <c r="D3">
        <v>3.5779999999999998</v>
      </c>
      <c r="E3">
        <v>4.1679818833333329</v>
      </c>
      <c r="F3">
        <v>15.460000000000029</v>
      </c>
      <c r="G3">
        <v>17.68000000000001</v>
      </c>
      <c r="H3">
        <v>24.699999999999989</v>
      </c>
      <c r="I3">
        <v>4.0815456166666664</v>
      </c>
      <c r="J3">
        <v>14.87999999999996</v>
      </c>
      <c r="K3">
        <v>16.599999999999952</v>
      </c>
      <c r="L3">
        <v>22.020000000000021</v>
      </c>
      <c r="M3">
        <v>3.7446881833333339</v>
      </c>
      <c r="N3">
        <v>14.380000000000059</v>
      </c>
      <c r="O3">
        <v>16.04000000000001</v>
      </c>
      <c r="P3">
        <v>21.94000000000003</v>
      </c>
      <c r="Q3">
        <v>3.1956820499999998</v>
      </c>
      <c r="R3">
        <v>18.100000000000001</v>
      </c>
      <c r="S3">
        <v>20.61999999999999</v>
      </c>
      <c r="T3">
        <v>32.439999999999984</v>
      </c>
      <c r="U3">
        <v>2.9282724</v>
      </c>
      <c r="V3">
        <v>23.339999999999961</v>
      </c>
      <c r="W3">
        <v>31.44</v>
      </c>
      <c r="X3">
        <v>67.419999999999987</v>
      </c>
      <c r="Y3">
        <v>2</v>
      </c>
      <c r="Z3">
        <v>2</v>
      </c>
    </row>
    <row r="4" spans="1:26" x14ac:dyDescent="0.4">
      <c r="A4" t="s">
        <v>37</v>
      </c>
      <c r="B4">
        <v>11.43</v>
      </c>
      <c r="C4">
        <v>4.9809000000000001</v>
      </c>
      <c r="D4">
        <v>3.5859999999999999</v>
      </c>
      <c r="E4">
        <v>4.168748383333333</v>
      </c>
      <c r="F4">
        <v>15.32</v>
      </c>
      <c r="G4">
        <v>17.560000000000109</v>
      </c>
      <c r="H4">
        <v>24.460000000000019</v>
      </c>
      <c r="I4">
        <v>4.0811124166666666</v>
      </c>
      <c r="J4">
        <v>14.780000000000021</v>
      </c>
      <c r="K4">
        <v>16.479999999999961</v>
      </c>
      <c r="L4">
        <v>21.8</v>
      </c>
      <c r="M4">
        <v>3.7440603166666668</v>
      </c>
      <c r="N4">
        <v>14.34000000000006</v>
      </c>
      <c r="O4">
        <v>16.000000000000011</v>
      </c>
      <c r="P4">
        <v>21.8</v>
      </c>
      <c r="Q4">
        <v>3.1967534999999998</v>
      </c>
      <c r="R4">
        <v>17.91999999999998</v>
      </c>
      <c r="S4">
        <v>20.420000000000019</v>
      </c>
      <c r="T4">
        <v>32.160000000000011</v>
      </c>
      <c r="U4">
        <v>2.9348799166666661</v>
      </c>
      <c r="V4">
        <v>23.000000000000039</v>
      </c>
      <c r="W4">
        <v>31.040000000000049</v>
      </c>
      <c r="X4">
        <v>66.099999999999966</v>
      </c>
      <c r="Y4">
        <v>2</v>
      </c>
      <c r="Z4">
        <v>2</v>
      </c>
    </row>
    <row r="5" spans="1:26" x14ac:dyDescent="0.4">
      <c r="A5" t="s">
        <v>38</v>
      </c>
      <c r="B5">
        <v>11.07</v>
      </c>
      <c r="C5">
        <v>4.9809999999999999</v>
      </c>
      <c r="D5">
        <v>3.5830000000000002</v>
      </c>
      <c r="E5">
        <v>4.1678364666666674</v>
      </c>
      <c r="F5">
        <v>15.73999999999991</v>
      </c>
      <c r="G5">
        <v>17.980000000000022</v>
      </c>
      <c r="H5">
        <v>25</v>
      </c>
      <c r="I5">
        <v>4.0795611000000003</v>
      </c>
      <c r="J5">
        <v>14.86000000000001</v>
      </c>
      <c r="K5">
        <v>16.560000000000041</v>
      </c>
      <c r="L5">
        <v>22.00000000000006</v>
      </c>
      <c r="M5">
        <v>3.7417027833333329</v>
      </c>
      <c r="N5">
        <v>14.45999999999996</v>
      </c>
      <c r="O5">
        <v>16.12</v>
      </c>
      <c r="P5">
        <v>22.020000000000021</v>
      </c>
      <c r="Q5">
        <v>3.1925013166666658</v>
      </c>
      <c r="R5">
        <v>17.93999999999993</v>
      </c>
      <c r="S5">
        <v>20.479999999999961</v>
      </c>
      <c r="T5">
        <v>32.339999999999947</v>
      </c>
      <c r="U5">
        <v>2.9337278000000002</v>
      </c>
      <c r="V5">
        <v>23.08000000000003</v>
      </c>
      <c r="W5">
        <v>31.36000000000001</v>
      </c>
      <c r="X5">
        <v>66.980000000000047</v>
      </c>
      <c r="Y5">
        <v>2</v>
      </c>
      <c r="Z5">
        <v>2</v>
      </c>
    </row>
    <row r="6" spans="1:26" x14ac:dyDescent="0.4">
      <c r="A6" t="s">
        <v>39</v>
      </c>
      <c r="B6">
        <v>11.74</v>
      </c>
      <c r="C6">
        <v>4.9810999999999996</v>
      </c>
      <c r="D6">
        <v>3.58</v>
      </c>
      <c r="E6">
        <v>4.1685069499999994</v>
      </c>
      <c r="F6">
        <v>15.240000000000011</v>
      </c>
      <c r="G6">
        <v>17.47999999999994</v>
      </c>
      <c r="H6">
        <v>24.36000000000007</v>
      </c>
      <c r="I6">
        <v>4.0816425666666669</v>
      </c>
      <c r="J6">
        <v>14.81999999999992</v>
      </c>
      <c r="K6">
        <v>16.559999999999949</v>
      </c>
      <c r="L6">
        <v>21.919999999999899</v>
      </c>
      <c r="M6">
        <v>3.7445343666666671</v>
      </c>
      <c r="N6">
        <v>14.34000000000006</v>
      </c>
      <c r="O6">
        <v>16.000000000000011</v>
      </c>
      <c r="P6">
        <v>21.8</v>
      </c>
      <c r="Q6">
        <v>3.19701375</v>
      </c>
      <c r="R6">
        <v>18.019999999999921</v>
      </c>
      <c r="S6">
        <v>20.53999999999991</v>
      </c>
      <c r="T6">
        <v>32.339999999999947</v>
      </c>
      <c r="U6">
        <v>2.9342394000000001</v>
      </c>
      <c r="V6">
        <v>23.299999999999969</v>
      </c>
      <c r="W6">
        <v>31.320000000000011</v>
      </c>
      <c r="X6">
        <v>66.719999999999928</v>
      </c>
      <c r="Y6">
        <v>2</v>
      </c>
      <c r="Z6">
        <v>2</v>
      </c>
    </row>
    <row r="7" spans="1:26" x14ac:dyDescent="0.4">
      <c r="A7" t="s">
        <v>40</v>
      </c>
      <c r="B7">
        <v>11.16</v>
      </c>
      <c r="C7">
        <v>4.9813000000000001</v>
      </c>
      <c r="D7">
        <v>3.5779999999999998</v>
      </c>
      <c r="E7">
        <v>4.1682310666666664</v>
      </c>
      <c r="F7">
        <v>15.60000000000006</v>
      </c>
      <c r="G7">
        <v>17.88000000000007</v>
      </c>
      <c r="H7">
        <v>24.920000000000009</v>
      </c>
      <c r="I7">
        <v>4.0806646666666664</v>
      </c>
      <c r="J7">
        <v>14.84000000000005</v>
      </c>
      <c r="K7">
        <v>16.58000000000008</v>
      </c>
      <c r="L7">
        <v>22.020000000000021</v>
      </c>
      <c r="M7">
        <v>3.7438579499999989</v>
      </c>
      <c r="N7">
        <v>14.33999999999997</v>
      </c>
      <c r="O7">
        <v>16.019999999999971</v>
      </c>
      <c r="P7">
        <v>21.900000000000031</v>
      </c>
      <c r="Q7">
        <v>3.194072433333333</v>
      </c>
      <c r="R7">
        <v>17.980000000000022</v>
      </c>
      <c r="S7">
        <v>20.500000000000011</v>
      </c>
      <c r="T7">
        <v>32.319999999999993</v>
      </c>
      <c r="U7">
        <v>2.9254334833333342</v>
      </c>
      <c r="V7">
        <v>23.200000000000021</v>
      </c>
      <c r="W7">
        <v>31.339999999999961</v>
      </c>
      <c r="X7">
        <v>67.69999999999996</v>
      </c>
      <c r="Y7">
        <v>2</v>
      </c>
      <c r="Z7">
        <v>2</v>
      </c>
    </row>
    <row r="8" spans="1:26" x14ac:dyDescent="0.4">
      <c r="A8" t="s">
        <v>41</v>
      </c>
      <c r="B8">
        <v>11.18</v>
      </c>
      <c r="C8">
        <v>4.9813999999999998</v>
      </c>
      <c r="D8">
        <v>3.58</v>
      </c>
      <c r="E8">
        <v>4.1687405000000002</v>
      </c>
      <c r="F8">
        <v>15.640000000000139</v>
      </c>
      <c r="G8">
        <v>17.88000000000007</v>
      </c>
      <c r="H8">
        <v>24.820000000000061</v>
      </c>
      <c r="I8">
        <v>4.079725166666667</v>
      </c>
      <c r="J8">
        <v>14.63999999999999</v>
      </c>
      <c r="K8">
        <v>16.339999999999929</v>
      </c>
      <c r="L8">
        <v>21.59999999999993</v>
      </c>
      <c r="M8">
        <v>3.743303116666667</v>
      </c>
      <c r="N8">
        <v>14.21999999999999</v>
      </c>
      <c r="O8">
        <v>15.899999999999981</v>
      </c>
      <c r="P8">
        <v>21.63999999999993</v>
      </c>
      <c r="Q8">
        <v>3.1943259333333329</v>
      </c>
      <c r="R8">
        <v>17.999999999999972</v>
      </c>
      <c r="S8">
        <v>20.500000000000011</v>
      </c>
      <c r="T8">
        <v>32.279999999999987</v>
      </c>
      <c r="U8">
        <v>2.9299199833333329</v>
      </c>
      <c r="V8">
        <v>22.86000000000001</v>
      </c>
      <c r="W8">
        <v>30.820000000000029</v>
      </c>
      <c r="X8">
        <v>65.779999999999987</v>
      </c>
      <c r="Y8">
        <v>2</v>
      </c>
      <c r="Z8">
        <v>2</v>
      </c>
    </row>
    <row r="9" spans="1:26" x14ac:dyDescent="0.4">
      <c r="A9" t="s">
        <v>42</v>
      </c>
      <c r="B9">
        <v>11.24</v>
      </c>
      <c r="C9">
        <v>4.9814999999999996</v>
      </c>
      <c r="D9">
        <v>3.585</v>
      </c>
      <c r="E9">
        <v>4.1686282666666674</v>
      </c>
      <c r="F9">
        <v>15.30000000000005</v>
      </c>
      <c r="G9">
        <v>17.560000000000109</v>
      </c>
      <c r="H9">
        <v>24.520000000000049</v>
      </c>
      <c r="I9">
        <v>4.0816556499999992</v>
      </c>
      <c r="J9">
        <v>14.839999999999881</v>
      </c>
      <c r="K9">
        <v>16.53999999999991</v>
      </c>
      <c r="L9">
        <v>21.899999999999942</v>
      </c>
      <c r="M9">
        <v>3.7450924666666658</v>
      </c>
      <c r="N9">
        <v>14.380000000000059</v>
      </c>
      <c r="O9">
        <v>16.04000000000001</v>
      </c>
      <c r="P9">
        <v>21.839999999999989</v>
      </c>
      <c r="Q9">
        <v>3.1976591666666669</v>
      </c>
      <c r="R9">
        <v>18.080000000000052</v>
      </c>
      <c r="S9">
        <v>20.58</v>
      </c>
      <c r="T9">
        <v>32.400000000000077</v>
      </c>
      <c r="U9">
        <v>2.9413691499999999</v>
      </c>
      <c r="V9">
        <v>23.200000000000021</v>
      </c>
      <c r="W9">
        <v>31.59999999999998</v>
      </c>
      <c r="X9">
        <v>67.3</v>
      </c>
      <c r="Y9">
        <v>2</v>
      </c>
      <c r="Z9">
        <v>2</v>
      </c>
    </row>
    <row r="10" spans="1:26" x14ac:dyDescent="0.4">
      <c r="A10" t="s">
        <v>43</v>
      </c>
      <c r="B10">
        <v>11.61</v>
      </c>
      <c r="C10">
        <v>4.9814999999999996</v>
      </c>
      <c r="D10">
        <v>3.5790000000000002</v>
      </c>
      <c r="E10">
        <v>4.1683583000000004</v>
      </c>
      <c r="F10">
        <v>15.479999999999981</v>
      </c>
      <c r="G10">
        <v>17.69999999999996</v>
      </c>
      <c r="H10">
        <v>24.639999999999951</v>
      </c>
      <c r="I10">
        <v>4.0805295499999996</v>
      </c>
      <c r="J10">
        <v>14.759999999999881</v>
      </c>
      <c r="K10">
        <v>16.43999999999988</v>
      </c>
      <c r="L10">
        <v>21.85999999999995</v>
      </c>
      <c r="M10">
        <v>3.7406622833333318</v>
      </c>
      <c r="N10">
        <v>14.24000000000003</v>
      </c>
      <c r="O10">
        <v>15.880000000000029</v>
      </c>
      <c r="P10">
        <v>21.76</v>
      </c>
      <c r="Q10">
        <v>3.1892711666666669</v>
      </c>
      <c r="R10">
        <v>17.980000000000022</v>
      </c>
      <c r="S10">
        <v>20.500000000000011</v>
      </c>
      <c r="T10">
        <v>32.400000000000077</v>
      </c>
      <c r="U10">
        <v>2.9263613999999998</v>
      </c>
      <c r="V10">
        <v>22.94</v>
      </c>
      <c r="W10">
        <v>31.200000000000031</v>
      </c>
      <c r="X10">
        <v>67.079999999999984</v>
      </c>
      <c r="Y10">
        <v>2</v>
      </c>
      <c r="Z10">
        <v>2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"/>
  <sheetViews>
    <sheetView workbookViewId="0"/>
  </sheetViews>
  <sheetFormatPr defaultRowHeight="17.399999999999999" x14ac:dyDescent="0.4"/>
  <sheetData>
    <row r="1" spans="1:2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44</v>
      </c>
      <c r="B2">
        <v>11.64</v>
      </c>
      <c r="C2">
        <v>4.9817999999999998</v>
      </c>
      <c r="D2">
        <v>3.58</v>
      </c>
      <c r="E2">
        <v>4.1675949000000001</v>
      </c>
      <c r="F2">
        <v>15.54000000000002</v>
      </c>
      <c r="G2">
        <v>17.760000000000002</v>
      </c>
      <c r="H2">
        <v>24.699999999999989</v>
      </c>
      <c r="I2">
        <v>4.0795887333333329</v>
      </c>
      <c r="J2">
        <v>14.63999999999999</v>
      </c>
      <c r="K2">
        <v>16.38000000000002</v>
      </c>
      <c r="L2">
        <v>21.76</v>
      </c>
      <c r="M2">
        <v>3.7413405000000002</v>
      </c>
      <c r="N2">
        <v>14.200000000000029</v>
      </c>
      <c r="O2">
        <v>15.880000000000029</v>
      </c>
      <c r="P2">
        <v>21.700000000000049</v>
      </c>
      <c r="Q2">
        <v>3.1943135666666662</v>
      </c>
      <c r="R2">
        <v>18.279999999999941</v>
      </c>
      <c r="S2">
        <v>20.77999999999998</v>
      </c>
      <c r="T2">
        <v>32.619999999999997</v>
      </c>
      <c r="U2">
        <v>2.9188187000000001</v>
      </c>
      <c r="V2">
        <v>23.279999999999919</v>
      </c>
      <c r="W2">
        <v>31.299999999999969</v>
      </c>
      <c r="X2">
        <v>67.299999999999912</v>
      </c>
      <c r="Y2">
        <v>3</v>
      </c>
      <c r="Z2">
        <v>3</v>
      </c>
    </row>
    <row r="3" spans="1:26" x14ac:dyDescent="0.4">
      <c r="A3" t="s">
        <v>45</v>
      </c>
      <c r="B3">
        <v>10.95</v>
      </c>
      <c r="C3">
        <v>4.9820000000000002</v>
      </c>
      <c r="D3">
        <v>3.58</v>
      </c>
      <c r="E3">
        <v>4.1681928500000014</v>
      </c>
      <c r="F3">
        <v>15.84000000000003</v>
      </c>
      <c r="G3">
        <v>18.11999999999987</v>
      </c>
      <c r="H3">
        <v>25.159999999999979</v>
      </c>
      <c r="I3">
        <v>4.0787984833333333</v>
      </c>
      <c r="J3">
        <v>14.799999999999971</v>
      </c>
      <c r="K3">
        <v>16.5</v>
      </c>
      <c r="L3">
        <v>21.960000000000068</v>
      </c>
      <c r="M3">
        <v>3.7404688333333338</v>
      </c>
      <c r="N3">
        <v>14.32000000000002</v>
      </c>
      <c r="O3">
        <v>15.96000000000002</v>
      </c>
      <c r="P3">
        <v>21.879999999999988</v>
      </c>
      <c r="Q3">
        <v>3.1903290833333342</v>
      </c>
      <c r="R3">
        <v>18.120000000000051</v>
      </c>
      <c r="S3">
        <v>20.61999999999999</v>
      </c>
      <c r="T3">
        <v>32.500000000000007</v>
      </c>
      <c r="U3">
        <v>2.9307263166666671</v>
      </c>
      <c r="V3">
        <v>23.059999999999992</v>
      </c>
      <c r="W3">
        <v>31.13999999999999</v>
      </c>
      <c r="X3">
        <v>66.180000000000049</v>
      </c>
      <c r="Y3">
        <v>3</v>
      </c>
      <c r="Z3">
        <v>3</v>
      </c>
    </row>
    <row r="4" spans="1:26" x14ac:dyDescent="0.4">
      <c r="A4" t="s">
        <v>46</v>
      </c>
      <c r="B4">
        <v>11.19</v>
      </c>
      <c r="C4">
        <v>4.9821</v>
      </c>
      <c r="D4">
        <v>3.585</v>
      </c>
      <c r="E4">
        <v>4.1686868833333328</v>
      </c>
      <c r="F4">
        <v>15.220000000000059</v>
      </c>
      <c r="G4">
        <v>17.44000000000003</v>
      </c>
      <c r="H4">
        <v>24.36000000000007</v>
      </c>
      <c r="I4">
        <v>4.0818244000000004</v>
      </c>
      <c r="J4">
        <v>14.76000000000006</v>
      </c>
      <c r="K4">
        <v>16.4600000000001</v>
      </c>
      <c r="L4">
        <v>21.80000000000009</v>
      </c>
      <c r="M4">
        <v>3.744586766666667</v>
      </c>
      <c r="N4">
        <v>14.299999999999979</v>
      </c>
      <c r="O4">
        <v>15.97999999999997</v>
      </c>
      <c r="P4">
        <v>21.8</v>
      </c>
      <c r="Q4">
        <v>3.1964438166666671</v>
      </c>
      <c r="R4">
        <v>18.15999999999995</v>
      </c>
      <c r="S4">
        <v>20.679999999999939</v>
      </c>
      <c r="T4">
        <v>32.499999999999929</v>
      </c>
      <c r="U4">
        <v>2.9316615833333328</v>
      </c>
      <c r="V4">
        <v>23.439999999999991</v>
      </c>
      <c r="W4">
        <v>31.620000000000019</v>
      </c>
      <c r="X4">
        <v>67.539999999999978</v>
      </c>
      <c r="Y4">
        <v>3</v>
      </c>
      <c r="Z4">
        <v>3</v>
      </c>
    </row>
    <row r="5" spans="1:26" x14ac:dyDescent="0.4">
      <c r="A5" t="s">
        <v>47</v>
      </c>
      <c r="B5">
        <v>11.75</v>
      </c>
      <c r="C5">
        <v>4.9823000000000004</v>
      </c>
      <c r="D5">
        <v>3.581</v>
      </c>
      <c r="E5">
        <v>4.1687591333333334</v>
      </c>
      <c r="F5">
        <v>15.11999999999993</v>
      </c>
      <c r="G5">
        <v>17.360000000000039</v>
      </c>
      <c r="H5">
        <v>24.239999999999991</v>
      </c>
      <c r="I5">
        <v>4.0813172333333334</v>
      </c>
      <c r="J5">
        <v>14.76000000000006</v>
      </c>
      <c r="K5">
        <v>16.440000000000051</v>
      </c>
      <c r="L5">
        <v>21.80000000000009</v>
      </c>
      <c r="M5">
        <v>3.7443952999999999</v>
      </c>
      <c r="N5">
        <v>14.179999999999991</v>
      </c>
      <c r="O5">
        <v>15.859999999999991</v>
      </c>
      <c r="P5">
        <v>21.640000000000011</v>
      </c>
      <c r="Q5">
        <v>3.19538945</v>
      </c>
      <c r="R5">
        <v>17.900000000000031</v>
      </c>
      <c r="S5">
        <v>20.400000000000059</v>
      </c>
      <c r="T5">
        <v>32.180000000000057</v>
      </c>
      <c r="U5">
        <v>2.9287096166666671</v>
      </c>
      <c r="V5">
        <v>23.119999999999941</v>
      </c>
      <c r="W5">
        <v>31.199999999999939</v>
      </c>
      <c r="X5">
        <v>67.019999999999939</v>
      </c>
      <c r="Y5">
        <v>3</v>
      </c>
      <c r="Z5">
        <v>3</v>
      </c>
    </row>
    <row r="6" spans="1:26" x14ac:dyDescent="0.4">
      <c r="A6" t="s">
        <v>48</v>
      </c>
      <c r="B6">
        <v>11.22</v>
      </c>
      <c r="C6">
        <v>4.9824000000000002</v>
      </c>
      <c r="D6">
        <v>3.585</v>
      </c>
      <c r="E6">
        <v>4.1686043333333327</v>
      </c>
      <c r="F6">
        <v>15.299999999999869</v>
      </c>
      <c r="G6">
        <v>17.520000000000021</v>
      </c>
      <c r="H6">
        <v>24.43999999999988</v>
      </c>
      <c r="I6">
        <v>4.0812484166666669</v>
      </c>
      <c r="J6">
        <v>14.739999999999929</v>
      </c>
      <c r="K6">
        <v>16.459999999999919</v>
      </c>
      <c r="L6">
        <v>21.799999999999908</v>
      </c>
      <c r="M6">
        <v>3.7440334499999999</v>
      </c>
      <c r="N6">
        <v>14.32000000000002</v>
      </c>
      <c r="O6">
        <v>16.000000000000011</v>
      </c>
      <c r="P6">
        <v>21.8</v>
      </c>
      <c r="Q6">
        <v>3.195909250000001</v>
      </c>
      <c r="R6">
        <v>18.060000000000009</v>
      </c>
      <c r="S6">
        <v>20.55999999999996</v>
      </c>
      <c r="T6">
        <v>32.399999999999977</v>
      </c>
      <c r="U6">
        <v>2.9316248666666662</v>
      </c>
      <c r="V6">
        <v>23.260000000000058</v>
      </c>
      <c r="W6">
        <v>31.47999999999999</v>
      </c>
      <c r="X6">
        <v>67.400000000000048</v>
      </c>
      <c r="Y6">
        <v>3</v>
      </c>
      <c r="Z6">
        <v>3</v>
      </c>
    </row>
    <row r="7" spans="1:26" x14ac:dyDescent="0.4">
      <c r="A7" t="s">
        <v>49</v>
      </c>
      <c r="B7">
        <v>11.13</v>
      </c>
      <c r="C7">
        <v>4.9825999999999997</v>
      </c>
      <c r="D7">
        <v>3.5859999999999999</v>
      </c>
      <c r="E7">
        <v>4.1692044333333333</v>
      </c>
      <c r="F7">
        <v>15.28000000000009</v>
      </c>
      <c r="G7">
        <v>17.500000000000071</v>
      </c>
      <c r="H7">
        <v>24.399999999999981</v>
      </c>
      <c r="I7">
        <v>4.0809862000000008</v>
      </c>
      <c r="J7">
        <v>14.64000000000016</v>
      </c>
      <c r="K7">
        <v>16.34000000000011</v>
      </c>
      <c r="L7">
        <v>21.6400000000001</v>
      </c>
      <c r="M7">
        <v>3.7436809833333329</v>
      </c>
      <c r="N7">
        <v>14.21999999999999</v>
      </c>
      <c r="O7">
        <v>15.859999999999991</v>
      </c>
      <c r="P7">
        <v>21.659999999999972</v>
      </c>
      <c r="Q7">
        <v>3.1959307166666671</v>
      </c>
      <c r="R7">
        <v>17.879999999999981</v>
      </c>
      <c r="S7">
        <v>20.38000000000002</v>
      </c>
      <c r="T7">
        <v>32.160000000000011</v>
      </c>
      <c r="U7">
        <v>2.9316507499999989</v>
      </c>
      <c r="V7">
        <v>23.02</v>
      </c>
      <c r="W7">
        <v>31.13999999999999</v>
      </c>
      <c r="X7">
        <v>66.680000000000035</v>
      </c>
      <c r="Y7">
        <v>3</v>
      </c>
      <c r="Z7">
        <v>3</v>
      </c>
    </row>
    <row r="8" spans="1:26" x14ac:dyDescent="0.4">
      <c r="A8" t="s">
        <v>50</v>
      </c>
      <c r="B8">
        <v>11.28</v>
      </c>
      <c r="C8">
        <v>4.9828999999999999</v>
      </c>
      <c r="D8">
        <v>3.5859999999999999</v>
      </c>
      <c r="E8">
        <v>4.1692312166666667</v>
      </c>
      <c r="F8">
        <v>15.17999999999997</v>
      </c>
      <c r="G8">
        <v>17.399999999999949</v>
      </c>
      <c r="H8">
        <v>24.31999999999999</v>
      </c>
      <c r="I8">
        <v>4.0818188000000006</v>
      </c>
      <c r="J8">
        <v>14.76000000000006</v>
      </c>
      <c r="K8">
        <v>16.460000000000012</v>
      </c>
      <c r="L8">
        <v>21.76</v>
      </c>
      <c r="M8">
        <v>3.7447625499999999</v>
      </c>
      <c r="N8">
        <v>14.30000000000007</v>
      </c>
      <c r="O8">
        <v>15.96000000000002</v>
      </c>
      <c r="P8">
        <v>21.76</v>
      </c>
      <c r="Q8">
        <v>3.1965357499999998</v>
      </c>
      <c r="R8">
        <v>17.999999999999972</v>
      </c>
      <c r="S8">
        <v>20.520000000000049</v>
      </c>
      <c r="T8">
        <v>32.30000000000004</v>
      </c>
      <c r="U8">
        <v>2.9312016333333339</v>
      </c>
      <c r="V8">
        <v>23.10000000000008</v>
      </c>
      <c r="W8">
        <v>31.34000000000006</v>
      </c>
      <c r="X8">
        <v>67.140000000000015</v>
      </c>
      <c r="Y8">
        <v>3</v>
      </c>
      <c r="Z8">
        <v>3</v>
      </c>
    </row>
    <row r="9" spans="1:26" x14ac:dyDescent="0.4">
      <c r="A9" t="s">
        <v>51</v>
      </c>
      <c r="B9">
        <v>11.05</v>
      </c>
      <c r="C9">
        <v>4.9829999999999997</v>
      </c>
      <c r="D9">
        <v>3.585</v>
      </c>
      <c r="E9">
        <v>4.1685336499999996</v>
      </c>
      <c r="F9">
        <v>15.039999999999941</v>
      </c>
      <c r="G9">
        <v>17.25999999999992</v>
      </c>
      <c r="H9">
        <v>24.16</v>
      </c>
      <c r="I9">
        <v>4.0823008666666674</v>
      </c>
      <c r="J9">
        <v>14.719999999999979</v>
      </c>
      <c r="K9">
        <v>16.41999999999992</v>
      </c>
      <c r="L9">
        <v>21.740000000000052</v>
      </c>
      <c r="M9">
        <v>3.7451289166666659</v>
      </c>
      <c r="N9">
        <v>14.299999999999979</v>
      </c>
      <c r="O9">
        <v>15.96000000000002</v>
      </c>
      <c r="P9">
        <v>21.76</v>
      </c>
      <c r="Q9">
        <v>3.1977191166666672</v>
      </c>
      <c r="R9">
        <v>18.039999999999971</v>
      </c>
      <c r="S9">
        <v>20.58</v>
      </c>
      <c r="T9">
        <v>32.379999999999953</v>
      </c>
      <c r="U9">
        <v>2.9340567833333342</v>
      </c>
      <c r="V9">
        <v>23.24000000000002</v>
      </c>
      <c r="W9">
        <v>31.500000000000039</v>
      </c>
      <c r="X9">
        <v>67.280000000000044</v>
      </c>
      <c r="Y9">
        <v>3</v>
      </c>
      <c r="Z9">
        <v>3</v>
      </c>
    </row>
    <row r="10" spans="1:26" x14ac:dyDescent="0.4">
      <c r="A10" t="s">
        <v>52</v>
      </c>
      <c r="B10">
        <v>11.63</v>
      </c>
      <c r="C10">
        <v>4.9832999999999998</v>
      </c>
      <c r="D10">
        <v>3.5779999999999998</v>
      </c>
      <c r="E10">
        <v>4.1680793500000002</v>
      </c>
      <c r="F10">
        <v>15.460000000000029</v>
      </c>
      <c r="G10">
        <v>17.740000000000041</v>
      </c>
      <c r="H10">
        <v>24.79999999999993</v>
      </c>
      <c r="I10">
        <v>4.0815218999999994</v>
      </c>
      <c r="J10">
        <v>14.94</v>
      </c>
      <c r="K10">
        <v>16.63999999999994</v>
      </c>
      <c r="L10">
        <v>22.100000000000009</v>
      </c>
      <c r="M10">
        <v>3.7444759833333339</v>
      </c>
      <c r="N10">
        <v>14.400000000000009</v>
      </c>
      <c r="O10">
        <v>16.080000000000009</v>
      </c>
      <c r="P10">
        <v>21.94000000000003</v>
      </c>
      <c r="Q10">
        <v>3.1948373499999998</v>
      </c>
      <c r="R10">
        <v>18.02000000000001</v>
      </c>
      <c r="S10">
        <v>20.58</v>
      </c>
      <c r="T10">
        <v>32.479999999999983</v>
      </c>
      <c r="U10">
        <v>2.9336884333333328</v>
      </c>
      <c r="V10">
        <v>23.220000000000059</v>
      </c>
      <c r="W10">
        <v>31.46000000000004</v>
      </c>
      <c r="X10">
        <v>67.459999999999994</v>
      </c>
      <c r="Y10">
        <v>3</v>
      </c>
      <c r="Z10">
        <v>3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"/>
  <sheetViews>
    <sheetView workbookViewId="0"/>
  </sheetViews>
  <sheetFormatPr defaultRowHeight="17.399999999999999" x14ac:dyDescent="0.4"/>
  <sheetData>
    <row r="1" spans="1:2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53</v>
      </c>
      <c r="B2">
        <v>10.96</v>
      </c>
      <c r="C2">
        <v>4.9833999999999996</v>
      </c>
      <c r="D2">
        <v>3.5790000000000002</v>
      </c>
      <c r="E2">
        <v>4.1685346333333344</v>
      </c>
      <c r="F2">
        <v>14.99999999999986</v>
      </c>
      <c r="G2">
        <v>17.27999999999987</v>
      </c>
      <c r="H2">
        <v>24.31999999999999</v>
      </c>
      <c r="I2">
        <v>4.0830478333333344</v>
      </c>
      <c r="J2">
        <v>14.700000000000021</v>
      </c>
      <c r="K2">
        <v>16.440000000000051</v>
      </c>
      <c r="L2">
        <v>21.900000000000031</v>
      </c>
      <c r="M2">
        <v>3.7463856666666659</v>
      </c>
      <c r="N2">
        <v>14.220000000000081</v>
      </c>
      <c r="O2">
        <v>15.90000000000007</v>
      </c>
      <c r="P2">
        <v>21.78000000000004</v>
      </c>
      <c r="Q2">
        <v>3.1950179333333342</v>
      </c>
      <c r="R2">
        <v>17.859999999999939</v>
      </c>
      <c r="S2">
        <v>20.379999999999932</v>
      </c>
      <c r="T2">
        <v>32.24</v>
      </c>
      <c r="U2">
        <v>2.9246672500000011</v>
      </c>
      <c r="V2">
        <v>23.079999999999949</v>
      </c>
      <c r="W2">
        <v>31.519999999999989</v>
      </c>
      <c r="X2">
        <v>68.999999999999943</v>
      </c>
      <c r="Y2">
        <v>4</v>
      </c>
      <c r="Z2">
        <v>4</v>
      </c>
    </row>
    <row r="3" spans="1:26" x14ac:dyDescent="0.4">
      <c r="A3" t="s">
        <v>54</v>
      </c>
      <c r="B3">
        <v>10.93</v>
      </c>
      <c r="C3">
        <v>4.9833999999999996</v>
      </c>
      <c r="D3">
        <v>3.5779999999999998</v>
      </c>
      <c r="E3">
        <v>4.1686416333333334</v>
      </c>
      <c r="F3">
        <v>15.240000000000011</v>
      </c>
      <c r="G3">
        <v>17.540000000000159</v>
      </c>
      <c r="H3">
        <v>24.62</v>
      </c>
      <c r="I3">
        <v>4.0822437166666674</v>
      </c>
      <c r="J3">
        <v>14.739999999999929</v>
      </c>
      <c r="K3">
        <v>16.48000000000005</v>
      </c>
      <c r="L3">
        <v>21.94000000000003</v>
      </c>
      <c r="M3">
        <v>3.7452297666666658</v>
      </c>
      <c r="N3">
        <v>14.21999999999999</v>
      </c>
      <c r="O3">
        <v>15.899999999999981</v>
      </c>
      <c r="P3">
        <v>21.779999999999951</v>
      </c>
      <c r="Q3">
        <v>3.193301850000001</v>
      </c>
      <c r="R3">
        <v>17.860000000000031</v>
      </c>
      <c r="S3">
        <v>20.420000000000019</v>
      </c>
      <c r="T3">
        <v>32.320000000000093</v>
      </c>
      <c r="U3">
        <v>2.9212590333333339</v>
      </c>
      <c r="V3">
        <v>23.179999999999978</v>
      </c>
      <c r="W3">
        <v>31.75999999999997</v>
      </c>
      <c r="X3">
        <v>69.960000000000022</v>
      </c>
      <c r="Y3">
        <v>4</v>
      </c>
      <c r="Z3">
        <v>4</v>
      </c>
    </row>
    <row r="4" spans="1:26" x14ac:dyDescent="0.4">
      <c r="A4" t="s">
        <v>55</v>
      </c>
      <c r="B4">
        <v>11.22</v>
      </c>
      <c r="C4">
        <v>4.984</v>
      </c>
      <c r="D4">
        <v>3.5790000000000002</v>
      </c>
      <c r="E4">
        <v>4.1682964</v>
      </c>
      <c r="F4">
        <v>15.760000000000041</v>
      </c>
      <c r="G4">
        <v>17.999999999999972</v>
      </c>
      <c r="H4">
        <v>25.01999999999995</v>
      </c>
      <c r="I4">
        <v>4.0803160666666667</v>
      </c>
      <c r="J4">
        <v>14.959999999999949</v>
      </c>
      <c r="K4">
        <v>16.659999999999989</v>
      </c>
      <c r="L4">
        <v>22.060000000000009</v>
      </c>
      <c r="M4">
        <v>3.7431461499999998</v>
      </c>
      <c r="N4">
        <v>14.41999999999997</v>
      </c>
      <c r="O4">
        <v>16.099999999999959</v>
      </c>
      <c r="P4">
        <v>21.939999999999941</v>
      </c>
      <c r="Q4">
        <v>3.1941459833333332</v>
      </c>
      <c r="R4">
        <v>18.100000000000001</v>
      </c>
      <c r="S4">
        <v>20.599999999999952</v>
      </c>
      <c r="T4">
        <v>32.399999999999977</v>
      </c>
      <c r="U4">
        <v>2.9284422166666659</v>
      </c>
      <c r="V4">
        <v>23.299999999999969</v>
      </c>
      <c r="W4">
        <v>31.419999999999959</v>
      </c>
      <c r="X4">
        <v>67.179999999999936</v>
      </c>
      <c r="Y4">
        <v>4</v>
      </c>
      <c r="Z4">
        <v>4</v>
      </c>
    </row>
    <row r="5" spans="1:26" x14ac:dyDescent="0.4">
      <c r="A5" t="s">
        <v>56</v>
      </c>
      <c r="B5">
        <v>11.77</v>
      </c>
      <c r="C5">
        <v>4.984</v>
      </c>
      <c r="D5">
        <v>3.58</v>
      </c>
      <c r="E5">
        <v>4.1677552833333333</v>
      </c>
      <c r="F5">
        <v>15.279999999999919</v>
      </c>
      <c r="G5">
        <v>17.500000000000071</v>
      </c>
      <c r="H5">
        <v>24.36000000000007</v>
      </c>
      <c r="I5">
        <v>4.0805129833333336</v>
      </c>
      <c r="J5">
        <v>14.620000000000029</v>
      </c>
      <c r="K5">
        <v>16.29999999999994</v>
      </c>
      <c r="L5">
        <v>21.659999999999972</v>
      </c>
      <c r="M5">
        <v>3.7418517000000011</v>
      </c>
      <c r="N5">
        <v>14.19999999999995</v>
      </c>
      <c r="O5">
        <v>15.859999999999991</v>
      </c>
      <c r="P5">
        <v>21.679999999999922</v>
      </c>
      <c r="Q5">
        <v>3.196218383333334</v>
      </c>
      <c r="R5">
        <v>18.24000000000003</v>
      </c>
      <c r="S5">
        <v>20.760000000000019</v>
      </c>
      <c r="T5">
        <v>32.600000000000051</v>
      </c>
      <c r="U5">
        <v>2.9237852000000002</v>
      </c>
      <c r="V5">
        <v>23.36</v>
      </c>
      <c r="W5">
        <v>31.280000000000019</v>
      </c>
      <c r="X5">
        <v>66.58</v>
      </c>
      <c r="Y5">
        <v>4</v>
      </c>
      <c r="Z5">
        <v>4</v>
      </c>
    </row>
    <row r="6" spans="1:26" x14ac:dyDescent="0.4">
      <c r="A6" t="s">
        <v>57</v>
      </c>
      <c r="B6">
        <v>11.52</v>
      </c>
      <c r="C6">
        <v>4.9840999999999998</v>
      </c>
      <c r="D6">
        <v>3.5779999999999998</v>
      </c>
      <c r="E6">
        <v>4.1681184666666669</v>
      </c>
      <c r="F6">
        <v>15.299999999999869</v>
      </c>
      <c r="G6">
        <v>17.579999999999881</v>
      </c>
      <c r="H6">
        <v>24.62</v>
      </c>
      <c r="I6">
        <v>4.0815907666666664</v>
      </c>
      <c r="J6">
        <v>14.719999999999979</v>
      </c>
      <c r="K6">
        <v>16.459999999999919</v>
      </c>
      <c r="L6">
        <v>21.899999999999942</v>
      </c>
      <c r="M6">
        <v>3.7443324499999999</v>
      </c>
      <c r="N6">
        <v>14.200000000000029</v>
      </c>
      <c r="O6">
        <v>15.90000000000007</v>
      </c>
      <c r="P6">
        <v>21.76</v>
      </c>
      <c r="Q6">
        <v>3.194091616666666</v>
      </c>
      <c r="R6">
        <v>17.940000000000019</v>
      </c>
      <c r="S6">
        <v>20.48000000000005</v>
      </c>
      <c r="T6">
        <v>32.359999999999992</v>
      </c>
      <c r="U6">
        <v>2.9294430999999999</v>
      </c>
      <c r="V6">
        <v>23.08000000000003</v>
      </c>
      <c r="W6">
        <v>31.339999999999961</v>
      </c>
      <c r="X6">
        <v>67.57999999999997</v>
      </c>
      <c r="Y6">
        <v>4</v>
      </c>
      <c r="Z6">
        <v>4</v>
      </c>
    </row>
    <row r="7" spans="1:26" x14ac:dyDescent="0.4">
      <c r="A7" t="s">
        <v>58</v>
      </c>
      <c r="B7">
        <v>11.36</v>
      </c>
      <c r="C7">
        <v>4.9842000000000004</v>
      </c>
      <c r="D7">
        <v>3.585</v>
      </c>
      <c r="E7">
        <v>4.1691077666666656</v>
      </c>
      <c r="F7">
        <v>15.32</v>
      </c>
      <c r="G7">
        <v>17.539999999999981</v>
      </c>
      <c r="H7">
        <v>24.440000000000062</v>
      </c>
      <c r="I7">
        <v>4.0822006000000002</v>
      </c>
      <c r="J7">
        <v>14.8200000000001</v>
      </c>
      <c r="K7">
        <v>16.540000000000092</v>
      </c>
      <c r="L7">
        <v>21.880000000000081</v>
      </c>
      <c r="M7">
        <v>3.7450066333333329</v>
      </c>
      <c r="N7">
        <v>14.400000000000009</v>
      </c>
      <c r="O7">
        <v>16.080000000000009</v>
      </c>
      <c r="P7">
        <v>21.879999999999988</v>
      </c>
      <c r="Q7">
        <v>3.1972537833333341</v>
      </c>
      <c r="R7">
        <v>18.14</v>
      </c>
      <c r="S7">
        <v>20.64000000000004</v>
      </c>
      <c r="T7">
        <v>32.440000000000069</v>
      </c>
      <c r="U7">
        <v>2.9312646999999998</v>
      </c>
      <c r="V7">
        <v>23.339999999999961</v>
      </c>
      <c r="W7">
        <v>31.519999999999989</v>
      </c>
      <c r="X7">
        <v>67.459999999999994</v>
      </c>
      <c r="Y7">
        <v>4</v>
      </c>
      <c r="Z7">
        <v>4</v>
      </c>
    </row>
    <row r="8" spans="1:26" x14ac:dyDescent="0.4">
      <c r="A8" t="s">
        <v>59</v>
      </c>
      <c r="B8">
        <v>11.13</v>
      </c>
      <c r="C8">
        <v>4.9842000000000004</v>
      </c>
      <c r="D8">
        <v>3.5790000000000002</v>
      </c>
      <c r="E8">
        <v>4.1695357333333334</v>
      </c>
      <c r="F8">
        <v>15.28000000000009</v>
      </c>
      <c r="G8">
        <v>17.500000000000071</v>
      </c>
      <c r="H8">
        <v>24.420000000000108</v>
      </c>
      <c r="I8">
        <v>4.0802466666666657</v>
      </c>
      <c r="J8">
        <v>14.63999999999999</v>
      </c>
      <c r="K8">
        <v>16.340000000000021</v>
      </c>
      <c r="L8">
        <v>21.700000000000049</v>
      </c>
      <c r="M8">
        <v>3.7417075666666668</v>
      </c>
      <c r="N8">
        <v>14.200000000000029</v>
      </c>
      <c r="O8">
        <v>15.859999999999991</v>
      </c>
      <c r="P8">
        <v>21.68000000000001</v>
      </c>
      <c r="Q8">
        <v>3.1892608</v>
      </c>
      <c r="R8">
        <v>18.04000000000006</v>
      </c>
      <c r="S8">
        <v>20.58</v>
      </c>
      <c r="T8">
        <v>32.460000000000022</v>
      </c>
      <c r="U8">
        <v>2.9260200666666671</v>
      </c>
      <c r="V8">
        <v>23.25999999999997</v>
      </c>
      <c r="W8">
        <v>31.400000000000009</v>
      </c>
      <c r="X8">
        <v>67.319999999999965</v>
      </c>
      <c r="Y8">
        <v>4</v>
      </c>
      <c r="Z8">
        <v>4</v>
      </c>
    </row>
    <row r="9" spans="1:26" x14ac:dyDescent="0.4">
      <c r="A9" t="s">
        <v>60</v>
      </c>
      <c r="B9">
        <v>11.61</v>
      </c>
      <c r="C9">
        <v>4.9843999999999999</v>
      </c>
      <c r="D9">
        <v>3.58</v>
      </c>
      <c r="E9">
        <v>4.1686180833333344</v>
      </c>
      <c r="F9">
        <v>15.32</v>
      </c>
      <c r="G9">
        <v>17.49999999999989</v>
      </c>
      <c r="H9">
        <v>24.43999999999988</v>
      </c>
      <c r="I9">
        <v>4.0805660833333324</v>
      </c>
      <c r="J9">
        <v>14.67999999999989</v>
      </c>
      <c r="K9">
        <v>16.359999999999889</v>
      </c>
      <c r="L9">
        <v>21.759999999999909</v>
      </c>
      <c r="M9">
        <v>3.740924783333333</v>
      </c>
      <c r="N9">
        <v>14.179999999999991</v>
      </c>
      <c r="O9">
        <v>15.81999999999999</v>
      </c>
      <c r="P9">
        <v>21.68000000000001</v>
      </c>
      <c r="Q9">
        <v>3.1901643833333329</v>
      </c>
      <c r="R9">
        <v>17.95999999999998</v>
      </c>
      <c r="S9">
        <v>20.51999999999996</v>
      </c>
      <c r="T9">
        <v>32.419999999999938</v>
      </c>
      <c r="U9">
        <v>2.9277732666666672</v>
      </c>
      <c r="V9">
        <v>22.959999999999962</v>
      </c>
      <c r="W9">
        <v>31.36000000000001</v>
      </c>
      <c r="X9">
        <v>67.459999999999994</v>
      </c>
      <c r="Y9">
        <v>4</v>
      </c>
      <c r="Z9">
        <v>4</v>
      </c>
    </row>
    <row r="10" spans="1:26" x14ac:dyDescent="0.4">
      <c r="A10" t="s">
        <v>61</v>
      </c>
      <c r="B10">
        <v>11.2</v>
      </c>
      <c r="C10">
        <v>4.9843999999999999</v>
      </c>
      <c r="D10">
        <v>3.5859999999999999</v>
      </c>
      <c r="E10">
        <v>4.1692315500000001</v>
      </c>
      <c r="F10">
        <v>15.259999999999961</v>
      </c>
      <c r="G10">
        <v>17.47999999999994</v>
      </c>
      <c r="H10">
        <v>24.399999999999981</v>
      </c>
      <c r="I10">
        <v>4.081197050000001</v>
      </c>
      <c r="J10">
        <v>14.620000000000029</v>
      </c>
      <c r="K10">
        <v>16.340000000000021</v>
      </c>
      <c r="L10">
        <v>21.659999999999972</v>
      </c>
      <c r="M10">
        <v>3.743948333333333</v>
      </c>
      <c r="N10">
        <v>14.220000000000081</v>
      </c>
      <c r="O10">
        <v>15.860000000000079</v>
      </c>
      <c r="P10">
        <v>21.660000000000061</v>
      </c>
      <c r="Q10">
        <v>3.1963480166666671</v>
      </c>
      <c r="R10">
        <v>18.120000000000051</v>
      </c>
      <c r="S10">
        <v>20.64000000000004</v>
      </c>
      <c r="T10">
        <v>32.460000000000022</v>
      </c>
      <c r="U10">
        <v>2.930207583333333</v>
      </c>
      <c r="V10">
        <v>23.339999999999961</v>
      </c>
      <c r="W10">
        <v>31.559999999999992</v>
      </c>
      <c r="X10">
        <v>67.439999999999941</v>
      </c>
      <c r="Y10">
        <v>4</v>
      </c>
      <c r="Z10">
        <v>4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"/>
  <sheetViews>
    <sheetView workbookViewId="0"/>
  </sheetViews>
  <sheetFormatPr defaultRowHeight="17.399999999999999" x14ac:dyDescent="0.4"/>
  <sheetData>
    <row r="1" spans="1:2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62</v>
      </c>
      <c r="B2">
        <v>11.17</v>
      </c>
      <c r="C2">
        <v>4.9843999999999999</v>
      </c>
      <c r="D2">
        <v>3.5790000000000002</v>
      </c>
      <c r="E2">
        <v>4.1696143499999998</v>
      </c>
      <c r="F2">
        <v>15.240000000000011</v>
      </c>
      <c r="G2">
        <v>17.44000000000003</v>
      </c>
      <c r="H2">
        <v>24.38000000000002</v>
      </c>
      <c r="I2">
        <v>4.0806066666666654</v>
      </c>
      <c r="J2">
        <v>14.57999999999995</v>
      </c>
      <c r="K2">
        <v>16.279999999999891</v>
      </c>
      <c r="L2">
        <v>21.63999999999993</v>
      </c>
      <c r="M2">
        <v>3.742120966666667</v>
      </c>
      <c r="N2">
        <v>14.14</v>
      </c>
      <c r="O2">
        <v>15.80000000000004</v>
      </c>
      <c r="P2">
        <v>21.619999999999969</v>
      </c>
      <c r="Q2">
        <v>3.189087133333333</v>
      </c>
      <c r="R2">
        <v>17.91999999999998</v>
      </c>
      <c r="S2">
        <v>20.460000000000012</v>
      </c>
      <c r="T2">
        <v>32.399999999999977</v>
      </c>
      <c r="U2">
        <v>2.9261313000000002</v>
      </c>
      <c r="V2">
        <v>23.120000000000029</v>
      </c>
      <c r="W2">
        <v>31.34000000000006</v>
      </c>
      <c r="X2">
        <v>67.419999999999987</v>
      </c>
      <c r="Y2">
        <v>5</v>
      </c>
      <c r="Z2">
        <v>5</v>
      </c>
    </row>
    <row r="3" spans="1:26" x14ac:dyDescent="0.4">
      <c r="A3" t="s">
        <v>63</v>
      </c>
      <c r="B3">
        <v>11.16</v>
      </c>
      <c r="C3">
        <v>4.9847999999999999</v>
      </c>
      <c r="D3">
        <v>3.5859999999999999</v>
      </c>
      <c r="E3">
        <v>4.1687781999999993</v>
      </c>
      <c r="F3">
        <v>15.38000000000004</v>
      </c>
      <c r="G3">
        <v>17.600000000000019</v>
      </c>
      <c r="H3">
        <v>24.500000000000099</v>
      </c>
      <c r="I3">
        <v>4.0808596000000001</v>
      </c>
      <c r="J3">
        <v>14.759999999999881</v>
      </c>
      <c r="K3">
        <v>16.459999999999919</v>
      </c>
      <c r="L3">
        <v>21.779999999999951</v>
      </c>
      <c r="M3">
        <v>3.7436890833333329</v>
      </c>
      <c r="N3">
        <v>14.319999999999929</v>
      </c>
      <c r="O3">
        <v>15.97999999999997</v>
      </c>
      <c r="P3">
        <v>21.779999999999951</v>
      </c>
      <c r="Q3">
        <v>3.1959259666666671</v>
      </c>
      <c r="R3">
        <v>18.02000000000001</v>
      </c>
      <c r="S3">
        <v>20.520000000000049</v>
      </c>
      <c r="T3">
        <v>32.30000000000004</v>
      </c>
      <c r="U3">
        <v>2.9315954333333329</v>
      </c>
      <c r="V3">
        <v>23.140000000000072</v>
      </c>
      <c r="W3">
        <v>31.22000000000007</v>
      </c>
      <c r="X3">
        <v>66.560000000000031</v>
      </c>
      <c r="Y3">
        <v>5</v>
      </c>
      <c r="Z3">
        <v>5</v>
      </c>
    </row>
    <row r="4" spans="1:26" x14ac:dyDescent="0.4">
      <c r="A4" t="s">
        <v>64</v>
      </c>
      <c r="B4">
        <v>11.1</v>
      </c>
      <c r="C4">
        <v>4.9847999999999999</v>
      </c>
      <c r="D4">
        <v>3.585</v>
      </c>
      <c r="E4">
        <v>4.1684984500000004</v>
      </c>
      <c r="F4">
        <v>15.4399999999999</v>
      </c>
      <c r="G4">
        <v>17.66000000000005</v>
      </c>
      <c r="H4">
        <v>24.579999999999909</v>
      </c>
      <c r="I4">
        <v>4.080693666666666</v>
      </c>
      <c r="J4">
        <v>14.74000000000011</v>
      </c>
      <c r="K4">
        <v>16.440000000000051</v>
      </c>
      <c r="L4">
        <v>21.80000000000009</v>
      </c>
      <c r="M4">
        <v>3.7435051499999998</v>
      </c>
      <c r="N4">
        <v>14.319999999999929</v>
      </c>
      <c r="O4">
        <v>15.97999999999997</v>
      </c>
      <c r="P4">
        <v>21.779999999999951</v>
      </c>
      <c r="Q4">
        <v>3.1965713</v>
      </c>
      <c r="R4">
        <v>18.200000000000038</v>
      </c>
      <c r="S4">
        <v>20.680000000000032</v>
      </c>
      <c r="T4">
        <v>32.479999999999983</v>
      </c>
      <c r="U4">
        <v>2.9338450333333341</v>
      </c>
      <c r="V4">
        <v>23.380000000000049</v>
      </c>
      <c r="W4">
        <v>31.58000000000003</v>
      </c>
      <c r="X4">
        <v>67.039999999999992</v>
      </c>
      <c r="Y4">
        <v>5</v>
      </c>
      <c r="Z4">
        <v>5</v>
      </c>
    </row>
    <row r="5" spans="1:26" x14ac:dyDescent="0.4">
      <c r="A5" t="s">
        <v>65</v>
      </c>
      <c r="B5">
        <v>11.19</v>
      </c>
      <c r="C5">
        <v>4.9851000000000001</v>
      </c>
      <c r="D5">
        <v>3.585</v>
      </c>
      <c r="E5">
        <v>4.1688264500000001</v>
      </c>
      <c r="F5">
        <v>15.140000000000059</v>
      </c>
      <c r="G5">
        <v>17.399999999999949</v>
      </c>
      <c r="H5">
        <v>24.300000000000029</v>
      </c>
      <c r="I5">
        <v>4.0824309666666663</v>
      </c>
      <c r="J5">
        <v>14.81999999999992</v>
      </c>
      <c r="K5">
        <v>16.499999999999911</v>
      </c>
      <c r="L5">
        <v>21.819999999999951</v>
      </c>
      <c r="M5">
        <v>3.7451638333333328</v>
      </c>
      <c r="N5">
        <v>14.35999999999993</v>
      </c>
      <c r="O5">
        <v>16.019999999999971</v>
      </c>
      <c r="P5">
        <v>21.819999999999951</v>
      </c>
      <c r="Q5">
        <v>3.1970588499999999</v>
      </c>
      <c r="R5">
        <v>17.91999999999998</v>
      </c>
      <c r="S5">
        <v>20.439999999999969</v>
      </c>
      <c r="T5">
        <v>32.239999999999917</v>
      </c>
      <c r="U5">
        <v>2.933563083333333</v>
      </c>
      <c r="V5">
        <v>23.059999999999992</v>
      </c>
      <c r="W5">
        <v>31.24000000000002</v>
      </c>
      <c r="X5">
        <v>66.92</v>
      </c>
      <c r="Y5">
        <v>5</v>
      </c>
      <c r="Z5">
        <v>5</v>
      </c>
    </row>
    <row r="6" spans="1:26" x14ac:dyDescent="0.4">
      <c r="A6" t="s">
        <v>66</v>
      </c>
      <c r="B6">
        <v>11.55</v>
      </c>
      <c r="C6">
        <v>4.9851000000000001</v>
      </c>
      <c r="D6">
        <v>3.58</v>
      </c>
      <c r="E6">
        <v>4.1684311333333337</v>
      </c>
      <c r="F6">
        <v>15.16000000000002</v>
      </c>
      <c r="G6">
        <v>17.419999999999899</v>
      </c>
      <c r="H6">
        <v>24.31999999999999</v>
      </c>
      <c r="I6">
        <v>4.0818121333333339</v>
      </c>
      <c r="J6">
        <v>14.80000000000015</v>
      </c>
      <c r="K6">
        <v>16.520000000000049</v>
      </c>
      <c r="L6">
        <v>21.880000000000081</v>
      </c>
      <c r="M6">
        <v>3.7445928999999998</v>
      </c>
      <c r="N6">
        <v>14.299999999999979</v>
      </c>
      <c r="O6">
        <v>15.97999999999997</v>
      </c>
      <c r="P6">
        <v>21.819999999999951</v>
      </c>
      <c r="Q6">
        <v>3.196312633333334</v>
      </c>
      <c r="R6">
        <v>18.02000000000001</v>
      </c>
      <c r="S6">
        <v>20.54</v>
      </c>
      <c r="T6">
        <v>32.379999999999953</v>
      </c>
      <c r="U6">
        <v>2.933225016666666</v>
      </c>
      <c r="V6">
        <v>23.120000000000029</v>
      </c>
      <c r="W6">
        <v>31.37999999999996</v>
      </c>
      <c r="X6">
        <v>67.079999999999984</v>
      </c>
      <c r="Y6">
        <v>5</v>
      </c>
      <c r="Z6">
        <v>5</v>
      </c>
    </row>
    <row r="7" spans="1:26" x14ac:dyDescent="0.4">
      <c r="A7" t="s">
        <v>67</v>
      </c>
      <c r="B7">
        <v>11.53</v>
      </c>
      <c r="C7">
        <v>4.9851999999999999</v>
      </c>
      <c r="D7">
        <v>3.5790000000000002</v>
      </c>
      <c r="E7">
        <v>4.1678083499999996</v>
      </c>
      <c r="F7">
        <v>15.38000000000004</v>
      </c>
      <c r="G7">
        <v>17.600000000000019</v>
      </c>
      <c r="H7">
        <v>24.55999999999996</v>
      </c>
      <c r="I7">
        <v>4.0806241333333322</v>
      </c>
      <c r="J7">
        <v>14.719999999999979</v>
      </c>
      <c r="K7">
        <v>16.420000000000009</v>
      </c>
      <c r="L7">
        <v>21.860000000000031</v>
      </c>
      <c r="M7">
        <v>3.74139825</v>
      </c>
      <c r="N7">
        <v>14.19999999999995</v>
      </c>
      <c r="O7">
        <v>15.859999999999991</v>
      </c>
      <c r="P7">
        <v>21.69999999999996</v>
      </c>
      <c r="Q7">
        <v>3.191124016666667</v>
      </c>
      <c r="R7">
        <v>18.060000000000009</v>
      </c>
      <c r="S7">
        <v>20.58</v>
      </c>
      <c r="T7">
        <v>32.479999999999983</v>
      </c>
      <c r="U7">
        <v>2.925383000000001</v>
      </c>
      <c r="V7">
        <v>23.10000000000008</v>
      </c>
      <c r="W7">
        <v>31.44</v>
      </c>
      <c r="X7">
        <v>67.820000000000036</v>
      </c>
      <c r="Y7">
        <v>5</v>
      </c>
      <c r="Z7">
        <v>5</v>
      </c>
    </row>
    <row r="8" spans="1:26" x14ac:dyDescent="0.4">
      <c r="A8" t="s">
        <v>68</v>
      </c>
      <c r="B8">
        <v>11.53</v>
      </c>
      <c r="C8">
        <v>4.9851999999999999</v>
      </c>
      <c r="D8">
        <v>3.58</v>
      </c>
      <c r="E8">
        <v>4.1688519500000014</v>
      </c>
      <c r="F8">
        <v>15.259999999999961</v>
      </c>
      <c r="G8">
        <v>17.49999999999989</v>
      </c>
      <c r="H8">
        <v>24.419999999999931</v>
      </c>
      <c r="I8">
        <v>4.0812755833333334</v>
      </c>
      <c r="J8">
        <v>14.799999999999971</v>
      </c>
      <c r="K8">
        <v>16.51999999999996</v>
      </c>
      <c r="L8">
        <v>21.8399999999999</v>
      </c>
      <c r="M8">
        <v>3.7439472833333332</v>
      </c>
      <c r="N8">
        <v>14.30000000000007</v>
      </c>
      <c r="O8">
        <v>15.980000000000061</v>
      </c>
      <c r="P8">
        <v>21.80000000000009</v>
      </c>
      <c r="Q8">
        <v>3.195485866666667</v>
      </c>
      <c r="R8">
        <v>18.18</v>
      </c>
      <c r="S8">
        <v>20.680000000000032</v>
      </c>
      <c r="T8">
        <v>32.540000000000013</v>
      </c>
      <c r="U8">
        <v>2.9312305666666671</v>
      </c>
      <c r="V8">
        <v>23.320000000000011</v>
      </c>
      <c r="W8">
        <v>31.600000000000069</v>
      </c>
      <c r="X8">
        <v>67.440000000000026</v>
      </c>
      <c r="Y8">
        <v>5</v>
      </c>
      <c r="Z8">
        <v>5</v>
      </c>
    </row>
    <row r="9" spans="1:26" x14ac:dyDescent="0.4">
      <c r="A9" t="s">
        <v>69</v>
      </c>
      <c r="B9">
        <v>10.95</v>
      </c>
      <c r="C9">
        <v>4.9852999999999996</v>
      </c>
      <c r="D9">
        <v>3.5859999999999999</v>
      </c>
      <c r="E9">
        <v>4.16796335</v>
      </c>
      <c r="F9">
        <v>15.50000000000011</v>
      </c>
      <c r="G9">
        <v>17.740000000000041</v>
      </c>
      <c r="H9">
        <v>24.740000000000069</v>
      </c>
      <c r="I9">
        <v>4.0795461166666671</v>
      </c>
      <c r="J9">
        <v>14.719999999999979</v>
      </c>
      <c r="K9">
        <v>16.420000000000009</v>
      </c>
      <c r="L9">
        <v>21.820000000000039</v>
      </c>
      <c r="M9">
        <v>3.7428918833333329</v>
      </c>
      <c r="N9">
        <v>14.21999999999999</v>
      </c>
      <c r="O9">
        <v>15.880000000000029</v>
      </c>
      <c r="P9">
        <v>21.72000000000001</v>
      </c>
      <c r="Q9">
        <v>3.1962806166666669</v>
      </c>
      <c r="R9">
        <v>17.91999999999998</v>
      </c>
      <c r="S9">
        <v>20.420000000000019</v>
      </c>
      <c r="T9">
        <v>32.200000000000003</v>
      </c>
      <c r="U9">
        <v>2.9425603666666671</v>
      </c>
      <c r="V9">
        <v>23.059999999999992</v>
      </c>
      <c r="W9">
        <v>31.44</v>
      </c>
      <c r="X9">
        <v>66.719999999999928</v>
      </c>
      <c r="Y9">
        <v>5</v>
      </c>
      <c r="Z9">
        <v>5</v>
      </c>
    </row>
    <row r="10" spans="1:26" x14ac:dyDescent="0.4">
      <c r="A10" t="s">
        <v>70</v>
      </c>
      <c r="B10">
        <v>11.22</v>
      </c>
      <c r="C10">
        <v>4.9855</v>
      </c>
      <c r="D10">
        <v>3.585</v>
      </c>
      <c r="E10">
        <v>4.1679198666666668</v>
      </c>
      <c r="F10">
        <v>15.32</v>
      </c>
      <c r="G10">
        <v>17.560000000000109</v>
      </c>
      <c r="H10">
        <v>24.54000000000001</v>
      </c>
      <c r="I10">
        <v>4.0811607666666676</v>
      </c>
      <c r="J10">
        <v>14.81999999999992</v>
      </c>
      <c r="K10">
        <v>16.5</v>
      </c>
      <c r="L10">
        <v>21.879999999999988</v>
      </c>
      <c r="M10">
        <v>3.7442656666666672</v>
      </c>
      <c r="N10">
        <v>14.360000000000021</v>
      </c>
      <c r="O10">
        <v>16.000000000000011</v>
      </c>
      <c r="P10">
        <v>21.820000000000039</v>
      </c>
      <c r="Q10">
        <v>3.1964827000000011</v>
      </c>
      <c r="R10">
        <v>18.079999999999959</v>
      </c>
      <c r="S10">
        <v>20.639999999999951</v>
      </c>
      <c r="T10">
        <v>32.459999999999937</v>
      </c>
      <c r="U10">
        <v>2.9433711333333328</v>
      </c>
      <c r="V10">
        <v>23.30000000000005</v>
      </c>
      <c r="W10">
        <v>31.720000000000059</v>
      </c>
      <c r="X10">
        <v>67.260000000000019</v>
      </c>
      <c r="Y10">
        <v>5</v>
      </c>
      <c r="Z10">
        <v>5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"/>
  <sheetViews>
    <sheetView workbookViewId="0"/>
  </sheetViews>
  <sheetFormatPr defaultRowHeight="17.399999999999999" x14ac:dyDescent="0.4"/>
  <sheetData>
    <row r="1" spans="1:2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71</v>
      </c>
      <c r="B2">
        <v>11.29</v>
      </c>
      <c r="C2">
        <v>4.9855999999999998</v>
      </c>
      <c r="D2">
        <v>3.5779999999999998</v>
      </c>
      <c r="E2">
        <v>4.16869025</v>
      </c>
      <c r="F2">
        <v>15.5800000000001</v>
      </c>
      <c r="G2">
        <v>17.839999999999989</v>
      </c>
      <c r="H2">
        <v>24.880000000000098</v>
      </c>
      <c r="I2">
        <v>4.0809428666666667</v>
      </c>
      <c r="J2">
        <v>14.780000000000021</v>
      </c>
      <c r="K2">
        <v>16.479999999999961</v>
      </c>
      <c r="L2">
        <v>21.899999999999942</v>
      </c>
      <c r="M2">
        <v>3.743938683333333</v>
      </c>
      <c r="N2">
        <v>14.28000000000003</v>
      </c>
      <c r="O2">
        <v>15.940000000000071</v>
      </c>
      <c r="P2">
        <v>21.820000000000039</v>
      </c>
      <c r="Q2">
        <v>3.1954981666666669</v>
      </c>
      <c r="R2">
        <v>18.160000000000039</v>
      </c>
      <c r="S2">
        <v>20.680000000000032</v>
      </c>
      <c r="T2">
        <v>32.500000000000007</v>
      </c>
      <c r="U2">
        <v>2.9323331833333341</v>
      </c>
      <c r="V2">
        <v>23.280000000000008</v>
      </c>
      <c r="W2">
        <v>31.37999999999996</v>
      </c>
      <c r="X2">
        <v>66.639999999999944</v>
      </c>
      <c r="Y2">
        <v>6</v>
      </c>
      <c r="Z2">
        <v>6</v>
      </c>
    </row>
    <row r="3" spans="1:26" x14ac:dyDescent="0.4">
      <c r="A3" t="s">
        <v>72</v>
      </c>
      <c r="B3">
        <v>11.73</v>
      </c>
      <c r="C3">
        <v>4.9856999999999996</v>
      </c>
      <c r="D3">
        <v>3.58</v>
      </c>
      <c r="E3">
        <v>4.1689061000000001</v>
      </c>
      <c r="F3">
        <v>15.479999999999981</v>
      </c>
      <c r="G3">
        <v>17.71999999999991</v>
      </c>
      <c r="H3">
        <v>24.600000000000041</v>
      </c>
      <c r="I3">
        <v>4.0801173833333344</v>
      </c>
      <c r="J3">
        <v>14.81999999999992</v>
      </c>
      <c r="K3">
        <v>16.51999999999996</v>
      </c>
      <c r="L3">
        <v>21.819999999999951</v>
      </c>
      <c r="M3">
        <v>3.7431319833333339</v>
      </c>
      <c r="N3">
        <v>14.25999999999998</v>
      </c>
      <c r="O3">
        <v>15.939999999999969</v>
      </c>
      <c r="P3">
        <v>21.640000000000011</v>
      </c>
      <c r="Q3">
        <v>3.1944576333333332</v>
      </c>
      <c r="R3">
        <v>18.060000000000009</v>
      </c>
      <c r="S3">
        <v>20.560000000000041</v>
      </c>
      <c r="T3">
        <v>32.359999999999992</v>
      </c>
      <c r="U3">
        <v>2.9300407000000002</v>
      </c>
      <c r="V3">
        <v>23.059999999999992</v>
      </c>
      <c r="W3">
        <v>31.200000000000031</v>
      </c>
      <c r="X3">
        <v>66.540000000000006</v>
      </c>
      <c r="Y3">
        <v>6</v>
      </c>
      <c r="Z3">
        <v>6</v>
      </c>
    </row>
    <row r="4" spans="1:26" x14ac:dyDescent="0.4">
      <c r="A4" t="s">
        <v>73</v>
      </c>
      <c r="B4">
        <v>11.16</v>
      </c>
      <c r="C4">
        <v>4.9863</v>
      </c>
      <c r="D4">
        <v>3.5790000000000002</v>
      </c>
      <c r="E4">
        <v>4.1700994666666666</v>
      </c>
      <c r="F4">
        <v>15.279999999999919</v>
      </c>
      <c r="G4">
        <v>17.49999999999989</v>
      </c>
      <c r="H4">
        <v>24.399999999999981</v>
      </c>
      <c r="I4">
        <v>4.0807860499999986</v>
      </c>
      <c r="J4">
        <v>14.65999999999994</v>
      </c>
      <c r="K4">
        <v>16.340000000000021</v>
      </c>
      <c r="L4">
        <v>21.68000000000001</v>
      </c>
      <c r="M4">
        <v>3.7422989000000002</v>
      </c>
      <c r="N4">
        <v>14.19999999999995</v>
      </c>
      <c r="O4">
        <v>15.880000000000029</v>
      </c>
      <c r="P4">
        <v>21.659999999999972</v>
      </c>
      <c r="Q4">
        <v>3.18983405</v>
      </c>
      <c r="R4">
        <v>17.91999999999998</v>
      </c>
      <c r="S4">
        <v>20.439999999999969</v>
      </c>
      <c r="T4">
        <v>32.319999999999993</v>
      </c>
      <c r="U4">
        <v>2.929116033333333</v>
      </c>
      <c r="V4">
        <v>23.120000000000029</v>
      </c>
      <c r="W4">
        <v>31.260000000000069</v>
      </c>
      <c r="X4">
        <v>66.980000000000047</v>
      </c>
      <c r="Y4">
        <v>6</v>
      </c>
      <c r="Z4">
        <v>6</v>
      </c>
    </row>
    <row r="5" spans="1:26" x14ac:dyDescent="0.4">
      <c r="A5" t="s">
        <v>74</v>
      </c>
      <c r="B5">
        <v>11.72</v>
      </c>
      <c r="C5">
        <v>4.9863999999999997</v>
      </c>
      <c r="D5">
        <v>3.58</v>
      </c>
      <c r="E5">
        <v>4.1686749999999986</v>
      </c>
      <c r="F5">
        <v>15.08000000000003</v>
      </c>
      <c r="G5">
        <v>17.320000000000139</v>
      </c>
      <c r="H5">
        <v>24.239999999999991</v>
      </c>
      <c r="I5">
        <v>4.0824355666666658</v>
      </c>
      <c r="J5">
        <v>14.779999999999839</v>
      </c>
      <c r="K5">
        <v>16.479999999999961</v>
      </c>
      <c r="L5">
        <v>21.85999999999995</v>
      </c>
      <c r="M5">
        <v>3.7451557833333329</v>
      </c>
      <c r="N5">
        <v>14.279999999999941</v>
      </c>
      <c r="O5">
        <v>15.939999999999969</v>
      </c>
      <c r="P5">
        <v>21.779999999999951</v>
      </c>
      <c r="Q5">
        <v>3.196575716666668</v>
      </c>
      <c r="R5">
        <v>17.95999999999998</v>
      </c>
      <c r="S5">
        <v>20.500000000000011</v>
      </c>
      <c r="T5">
        <v>32.359999999999992</v>
      </c>
      <c r="U5">
        <v>2.9342185333333339</v>
      </c>
      <c r="V5">
        <v>23.079999999999949</v>
      </c>
      <c r="W5">
        <v>31.339999999999961</v>
      </c>
      <c r="X5">
        <v>66.959999999999994</v>
      </c>
      <c r="Y5">
        <v>6</v>
      </c>
      <c r="Z5">
        <v>6</v>
      </c>
    </row>
    <row r="6" spans="1:26" x14ac:dyDescent="0.4">
      <c r="A6" t="s">
        <v>75</v>
      </c>
      <c r="B6">
        <v>11.28</v>
      </c>
      <c r="C6">
        <v>4.9866999999999999</v>
      </c>
      <c r="D6">
        <v>3.5779999999999998</v>
      </c>
      <c r="E6">
        <v>4.1683548166666684</v>
      </c>
      <c r="F6">
        <v>15.240000000000011</v>
      </c>
      <c r="G6">
        <v>17.500000000000071</v>
      </c>
      <c r="H6">
        <v>24.54000000000001</v>
      </c>
      <c r="I6">
        <v>4.0823928</v>
      </c>
      <c r="J6">
        <v>14.81999999999992</v>
      </c>
      <c r="K6">
        <v>16.559999999999949</v>
      </c>
      <c r="L6">
        <v>21.99999999999989</v>
      </c>
      <c r="M6">
        <v>3.7456639000000012</v>
      </c>
      <c r="N6">
        <v>14.32000000000002</v>
      </c>
      <c r="O6">
        <v>16.000000000000011</v>
      </c>
      <c r="P6">
        <v>21.879999999999988</v>
      </c>
      <c r="Q6">
        <v>3.1960495</v>
      </c>
      <c r="R6">
        <v>17.980000000000022</v>
      </c>
      <c r="S6">
        <v>20.51999999999996</v>
      </c>
      <c r="T6">
        <v>32.399999999999977</v>
      </c>
      <c r="U6">
        <v>2.9268933499999998</v>
      </c>
      <c r="V6">
        <v>23.25999999999997</v>
      </c>
      <c r="W6">
        <v>31.44</v>
      </c>
      <c r="X6">
        <v>67.980000000000018</v>
      </c>
      <c r="Y6">
        <v>6</v>
      </c>
      <c r="Z6">
        <v>6</v>
      </c>
    </row>
    <row r="7" spans="1:26" x14ac:dyDescent="0.4">
      <c r="A7" t="s">
        <v>76</v>
      </c>
      <c r="B7">
        <v>11.08</v>
      </c>
      <c r="C7">
        <v>4.9869000000000003</v>
      </c>
      <c r="D7">
        <v>3.585</v>
      </c>
      <c r="E7">
        <v>4.1685405499999986</v>
      </c>
      <c r="F7">
        <v>15.460000000000029</v>
      </c>
      <c r="G7">
        <v>17.68000000000001</v>
      </c>
      <c r="H7">
        <v>24.579999999999909</v>
      </c>
      <c r="I7">
        <v>4.0802666333333333</v>
      </c>
      <c r="J7">
        <v>14.719999999999979</v>
      </c>
      <c r="K7">
        <v>16.420000000000009</v>
      </c>
      <c r="L7">
        <v>21.76000000000009</v>
      </c>
      <c r="M7">
        <v>3.7430263999999989</v>
      </c>
      <c r="N7">
        <v>14.28000000000003</v>
      </c>
      <c r="O7">
        <v>15.920000000000019</v>
      </c>
      <c r="P7">
        <v>21.740000000000052</v>
      </c>
      <c r="Q7">
        <v>3.196175133333333</v>
      </c>
      <c r="R7">
        <v>17.940000000000019</v>
      </c>
      <c r="S7">
        <v>20.440000000000062</v>
      </c>
      <c r="T7">
        <v>32.200000000000003</v>
      </c>
      <c r="U7">
        <v>2.934165066666667</v>
      </c>
      <c r="V7">
        <v>23.119999999999941</v>
      </c>
      <c r="W7">
        <v>31.339999999999961</v>
      </c>
      <c r="X7">
        <v>66.739999999999981</v>
      </c>
      <c r="Y7">
        <v>6</v>
      </c>
      <c r="Z7">
        <v>6</v>
      </c>
    </row>
    <row r="8" spans="1:26" x14ac:dyDescent="0.4">
      <c r="A8" t="s">
        <v>77</v>
      </c>
      <c r="B8">
        <v>11.34</v>
      </c>
      <c r="C8">
        <v>4.9870999999999999</v>
      </c>
      <c r="D8">
        <v>3.585</v>
      </c>
      <c r="E8">
        <v>4.1683580166666667</v>
      </c>
      <c r="F8">
        <v>15.220000000000059</v>
      </c>
      <c r="G8">
        <v>17.44000000000003</v>
      </c>
      <c r="H8">
        <v>24.340000000000121</v>
      </c>
      <c r="I8">
        <v>4.0817695833333332</v>
      </c>
      <c r="J8">
        <v>14.74000000000011</v>
      </c>
      <c r="K8">
        <v>16.4600000000001</v>
      </c>
      <c r="L8">
        <v>21.80000000000009</v>
      </c>
      <c r="M8">
        <v>3.7446438166666671</v>
      </c>
      <c r="N8">
        <v>14.32000000000002</v>
      </c>
      <c r="O8">
        <v>15.97999999999997</v>
      </c>
      <c r="P8">
        <v>21.8</v>
      </c>
      <c r="Q8">
        <v>3.1979238333333342</v>
      </c>
      <c r="R8">
        <v>18.18</v>
      </c>
      <c r="S8">
        <v>20.699999999999989</v>
      </c>
      <c r="T8">
        <v>32.500000000000007</v>
      </c>
      <c r="U8">
        <v>2.9350785666666659</v>
      </c>
      <c r="V8">
        <v>23.439999999999991</v>
      </c>
      <c r="W8">
        <v>31.540000000000031</v>
      </c>
      <c r="X8">
        <v>67.060000000000031</v>
      </c>
      <c r="Y8">
        <v>6</v>
      </c>
      <c r="Z8">
        <v>6</v>
      </c>
    </row>
    <row r="9" spans="1:26" x14ac:dyDescent="0.4">
      <c r="A9" t="s">
        <v>78</v>
      </c>
      <c r="B9">
        <v>11.59</v>
      </c>
      <c r="C9">
        <v>4.9874999999999998</v>
      </c>
      <c r="D9">
        <v>3.5779999999999998</v>
      </c>
      <c r="E9">
        <v>4.1677188333333337</v>
      </c>
      <c r="F9">
        <v>15.17999999999997</v>
      </c>
      <c r="G9">
        <v>17.44000000000003</v>
      </c>
      <c r="H9">
        <v>24.43999999999988</v>
      </c>
      <c r="I9">
        <v>4.0820241499999996</v>
      </c>
      <c r="J9">
        <v>14.719999999999979</v>
      </c>
      <c r="K9">
        <v>16.459999999999919</v>
      </c>
      <c r="L9">
        <v>21.899999999999942</v>
      </c>
      <c r="M9">
        <v>3.7448528000000012</v>
      </c>
      <c r="N9">
        <v>14.21999999999999</v>
      </c>
      <c r="O9">
        <v>15.920000000000019</v>
      </c>
      <c r="P9">
        <v>21.78000000000004</v>
      </c>
      <c r="Q9">
        <v>3.195642016666667</v>
      </c>
      <c r="R9">
        <v>17.95999999999998</v>
      </c>
      <c r="S9">
        <v>20.479999999999961</v>
      </c>
      <c r="T9">
        <v>32.339999999999947</v>
      </c>
      <c r="U9">
        <v>2.9312748499999999</v>
      </c>
      <c r="V9">
        <v>22.960000000000051</v>
      </c>
      <c r="W9">
        <v>31.400000000000009</v>
      </c>
      <c r="X9">
        <v>67.700000000000045</v>
      </c>
      <c r="Y9">
        <v>6</v>
      </c>
      <c r="Z9">
        <v>6</v>
      </c>
    </row>
    <row r="10" spans="1:26" x14ac:dyDescent="0.4">
      <c r="A10" t="s">
        <v>79</v>
      </c>
      <c r="B10">
        <v>11.41</v>
      </c>
      <c r="C10">
        <v>4.9884000000000004</v>
      </c>
      <c r="D10">
        <v>3.5859999999999999</v>
      </c>
      <c r="E10">
        <v>4.1688954000000003</v>
      </c>
      <c r="F10">
        <v>15.240000000000011</v>
      </c>
      <c r="G10">
        <v>17.45999999999999</v>
      </c>
      <c r="H10">
        <v>24.359999999999889</v>
      </c>
      <c r="I10">
        <v>4.0807615833333326</v>
      </c>
      <c r="J10">
        <v>14.60000000000008</v>
      </c>
      <c r="K10">
        <v>16.319999999999979</v>
      </c>
      <c r="L10">
        <v>21.600000000000019</v>
      </c>
      <c r="M10">
        <v>3.7435689499999998</v>
      </c>
      <c r="N10">
        <v>14.19999999999995</v>
      </c>
      <c r="O10">
        <v>15.839999999999939</v>
      </c>
      <c r="P10">
        <v>21.619999999999969</v>
      </c>
      <c r="Q10">
        <v>3.19595735</v>
      </c>
      <c r="R10">
        <v>17.980000000000022</v>
      </c>
      <c r="S10">
        <v>20.520000000000049</v>
      </c>
      <c r="T10">
        <v>32.319999999999993</v>
      </c>
      <c r="U10">
        <v>2.9327409333333332</v>
      </c>
      <c r="V10">
        <v>23.320000000000011</v>
      </c>
      <c r="W10">
        <v>31.44</v>
      </c>
      <c r="X10">
        <v>67.039999999999992</v>
      </c>
      <c r="Y10">
        <v>6</v>
      </c>
      <c r="Z10">
        <v>6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"/>
  <sheetViews>
    <sheetView workbookViewId="0"/>
  </sheetViews>
  <sheetFormatPr defaultRowHeight="17.399999999999999" x14ac:dyDescent="0.4"/>
  <sheetData>
    <row r="1" spans="1:2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80</v>
      </c>
      <c r="B2">
        <v>11.58</v>
      </c>
      <c r="C2">
        <v>4.9885999999999999</v>
      </c>
      <c r="D2">
        <v>3.5830000000000002</v>
      </c>
      <c r="E2">
        <v>4.1689401166666666</v>
      </c>
      <c r="F2">
        <v>15.000000000000041</v>
      </c>
      <c r="G2">
        <v>17.22000000000001</v>
      </c>
      <c r="H2">
        <v>24.099999999999969</v>
      </c>
      <c r="I2">
        <v>4.0819118333333329</v>
      </c>
      <c r="J2">
        <v>14.48</v>
      </c>
      <c r="K2">
        <v>16.17999999999995</v>
      </c>
      <c r="L2">
        <v>21.480000000000029</v>
      </c>
      <c r="M2">
        <v>3.7429578999999999</v>
      </c>
      <c r="N2">
        <v>14.23999999999994</v>
      </c>
      <c r="O2">
        <v>15.899999999999981</v>
      </c>
      <c r="P2">
        <v>21.739999999999959</v>
      </c>
      <c r="Q2">
        <v>3.1940851833333341</v>
      </c>
      <c r="R2">
        <v>18.14</v>
      </c>
      <c r="S2">
        <v>20.680000000000032</v>
      </c>
      <c r="T2">
        <v>32.619999999999997</v>
      </c>
      <c r="U2">
        <v>2.9369066500000001</v>
      </c>
      <c r="V2">
        <v>23.299999999999969</v>
      </c>
      <c r="W2">
        <v>31.44</v>
      </c>
      <c r="X2">
        <v>66.659999999999982</v>
      </c>
      <c r="Y2">
        <v>7</v>
      </c>
      <c r="Z2">
        <v>7</v>
      </c>
    </row>
    <row r="3" spans="1:26" x14ac:dyDescent="0.4">
      <c r="A3" t="s">
        <v>81</v>
      </c>
      <c r="B3">
        <v>11.74</v>
      </c>
      <c r="C3">
        <v>4.9889000000000001</v>
      </c>
      <c r="D3">
        <v>3.581</v>
      </c>
      <c r="E3">
        <v>4.1694287000000001</v>
      </c>
      <c r="F3">
        <v>15.09999999999998</v>
      </c>
      <c r="G3">
        <v>17.340000000000089</v>
      </c>
      <c r="H3">
        <v>24.239999999999991</v>
      </c>
      <c r="I3">
        <v>4.0817045333333324</v>
      </c>
      <c r="J3">
        <v>14.80000000000015</v>
      </c>
      <c r="K3">
        <v>16.500000000000089</v>
      </c>
      <c r="L3">
        <v>21.840000000000082</v>
      </c>
      <c r="M3">
        <v>3.7448016000000002</v>
      </c>
      <c r="N3">
        <v>14.23999999999994</v>
      </c>
      <c r="O3">
        <v>15.920000000000019</v>
      </c>
      <c r="P3">
        <v>21.68000000000001</v>
      </c>
      <c r="Q3">
        <v>3.1960496833333329</v>
      </c>
      <c r="R3">
        <v>17.91999999999998</v>
      </c>
      <c r="S3">
        <v>20.420000000000019</v>
      </c>
      <c r="T3">
        <v>32.24</v>
      </c>
      <c r="U3">
        <v>2.9246725166666669</v>
      </c>
      <c r="V3">
        <v>23.179999999999978</v>
      </c>
      <c r="W3">
        <v>31.519999999999989</v>
      </c>
      <c r="X3">
        <v>68.52</v>
      </c>
      <c r="Y3">
        <v>7</v>
      </c>
      <c r="Z3">
        <v>7</v>
      </c>
    </row>
    <row r="4" spans="1:26" x14ac:dyDescent="0.4">
      <c r="A4" t="s">
        <v>82</v>
      </c>
      <c r="B4">
        <v>11.48</v>
      </c>
      <c r="C4">
        <v>4.9890999999999996</v>
      </c>
      <c r="D4">
        <v>3.5790000000000002</v>
      </c>
      <c r="E4">
        <v>4.17014</v>
      </c>
      <c r="F4">
        <v>15.019999999999991</v>
      </c>
      <c r="G4">
        <v>17.25999999999992</v>
      </c>
      <c r="H4">
        <v>24.16</v>
      </c>
      <c r="I4">
        <v>4.0819338166666661</v>
      </c>
      <c r="J4">
        <v>14.5999999999999</v>
      </c>
      <c r="K4">
        <v>16.300000000000029</v>
      </c>
      <c r="L4">
        <v>21.659999999999972</v>
      </c>
      <c r="M4">
        <v>3.743286433333334</v>
      </c>
      <c r="N4">
        <v>14.15999999999995</v>
      </c>
      <c r="O4">
        <v>15.839999999999939</v>
      </c>
      <c r="P4">
        <v>21.659999999999972</v>
      </c>
      <c r="Q4">
        <v>3.1906772499999998</v>
      </c>
      <c r="R4">
        <v>17.95999999999998</v>
      </c>
      <c r="S4">
        <v>20.500000000000011</v>
      </c>
      <c r="T4">
        <v>32.399999999999977</v>
      </c>
      <c r="U4">
        <v>2.928503516666666</v>
      </c>
      <c r="V4">
        <v>23.199999999999928</v>
      </c>
      <c r="W4">
        <v>31.359999999999921</v>
      </c>
      <c r="X4">
        <v>67.260000000000019</v>
      </c>
      <c r="Y4">
        <v>7</v>
      </c>
      <c r="Z4">
        <v>7</v>
      </c>
    </row>
    <row r="5" spans="1:26" x14ac:dyDescent="0.4">
      <c r="A5" t="s">
        <v>83</v>
      </c>
      <c r="B5">
        <v>11.37</v>
      </c>
      <c r="C5">
        <v>4.9892000000000003</v>
      </c>
      <c r="D5">
        <v>3.5859999999999999</v>
      </c>
      <c r="E5">
        <v>4.1688254166666674</v>
      </c>
      <c r="F5">
        <v>15.11999999999993</v>
      </c>
      <c r="G5">
        <v>17.340000000000089</v>
      </c>
      <c r="H5">
        <v>24.259999999999948</v>
      </c>
      <c r="I5">
        <v>4.0826071333333331</v>
      </c>
      <c r="J5">
        <v>14.780000000000021</v>
      </c>
      <c r="K5">
        <v>16.479999999999961</v>
      </c>
      <c r="L5">
        <v>21.820000000000039</v>
      </c>
      <c r="M5">
        <v>3.7454046166666668</v>
      </c>
      <c r="N5">
        <v>14.319999999999929</v>
      </c>
      <c r="O5">
        <v>15.99999999999992</v>
      </c>
      <c r="P5">
        <v>21.819999999999951</v>
      </c>
      <c r="Q5">
        <v>3.1973539666666668</v>
      </c>
      <c r="R5">
        <v>17.999999999999972</v>
      </c>
      <c r="S5">
        <v>20.55999999999996</v>
      </c>
      <c r="T5">
        <v>32.359999999999992</v>
      </c>
      <c r="U5">
        <v>2.9301180833333329</v>
      </c>
      <c r="V5">
        <v>23.280000000000008</v>
      </c>
      <c r="W5">
        <v>31.58000000000003</v>
      </c>
      <c r="X5">
        <v>68.080000000000055</v>
      </c>
      <c r="Y5">
        <v>7</v>
      </c>
      <c r="Z5">
        <v>7</v>
      </c>
    </row>
    <row r="6" spans="1:26" x14ac:dyDescent="0.4">
      <c r="A6" t="s">
        <v>84</v>
      </c>
      <c r="B6">
        <v>11.09</v>
      </c>
      <c r="C6">
        <v>4.9892000000000003</v>
      </c>
      <c r="D6">
        <v>3.5790000000000002</v>
      </c>
      <c r="E6">
        <v>4.1700471499999994</v>
      </c>
      <c r="F6">
        <v>15.259999999999961</v>
      </c>
      <c r="G6">
        <v>17.520000000000021</v>
      </c>
      <c r="H6">
        <v>24.460000000000019</v>
      </c>
      <c r="I6">
        <v>4.081001950000001</v>
      </c>
      <c r="J6">
        <v>14.680000000000071</v>
      </c>
      <c r="K6">
        <v>16.400000000000059</v>
      </c>
      <c r="L6">
        <v>21.78000000000004</v>
      </c>
      <c r="M6">
        <v>3.7421993666666671</v>
      </c>
      <c r="N6">
        <v>14.24000000000003</v>
      </c>
      <c r="O6">
        <v>15.920000000000019</v>
      </c>
      <c r="P6">
        <v>21.78000000000004</v>
      </c>
      <c r="Q6">
        <v>3.1888728</v>
      </c>
      <c r="R6">
        <v>18.09999999999992</v>
      </c>
      <c r="S6">
        <v>20.639999999999951</v>
      </c>
      <c r="T6">
        <v>32.639999999999958</v>
      </c>
      <c r="U6">
        <v>2.9254472333333341</v>
      </c>
      <c r="V6">
        <v>23.24000000000002</v>
      </c>
      <c r="W6">
        <v>31.47999999999999</v>
      </c>
      <c r="X6">
        <v>67.64</v>
      </c>
      <c r="Y6">
        <v>7</v>
      </c>
      <c r="Z6">
        <v>7</v>
      </c>
    </row>
    <row r="7" spans="1:26" x14ac:dyDescent="0.4">
      <c r="A7" t="s">
        <v>85</v>
      </c>
      <c r="B7">
        <v>11.63</v>
      </c>
      <c r="C7">
        <v>4.9896000000000003</v>
      </c>
      <c r="D7">
        <v>3.581</v>
      </c>
      <c r="E7">
        <v>4.1692346499999999</v>
      </c>
      <c r="F7">
        <v>15.17999999999997</v>
      </c>
      <c r="G7">
        <v>17.399999999999949</v>
      </c>
      <c r="H7">
        <v>24.259999999999948</v>
      </c>
      <c r="I7">
        <v>4.0816549999999996</v>
      </c>
      <c r="J7">
        <v>14.799999999999971</v>
      </c>
      <c r="K7">
        <v>16.499999999999911</v>
      </c>
      <c r="L7">
        <v>21.819999999999951</v>
      </c>
      <c r="M7">
        <v>3.7445365333333331</v>
      </c>
      <c r="N7">
        <v>14.260000000000071</v>
      </c>
      <c r="O7">
        <v>15.920000000000019</v>
      </c>
      <c r="P7">
        <v>21.68000000000001</v>
      </c>
      <c r="Q7">
        <v>3.195888716666667</v>
      </c>
      <c r="R7">
        <v>17.859999999999939</v>
      </c>
      <c r="S7">
        <v>20.38000000000002</v>
      </c>
      <c r="T7">
        <v>32.160000000000011</v>
      </c>
      <c r="U7">
        <v>2.9277622166666668</v>
      </c>
      <c r="V7">
        <v>23.139999999999979</v>
      </c>
      <c r="W7">
        <v>31.12000000000004</v>
      </c>
      <c r="X7">
        <v>66.84</v>
      </c>
      <c r="Y7">
        <v>7</v>
      </c>
      <c r="Z7">
        <v>7</v>
      </c>
    </row>
    <row r="8" spans="1:26" x14ac:dyDescent="0.4">
      <c r="A8" t="s">
        <v>86</v>
      </c>
      <c r="B8">
        <v>11.37</v>
      </c>
      <c r="C8">
        <v>4.9897</v>
      </c>
      <c r="D8">
        <v>3.585</v>
      </c>
      <c r="E8">
        <v>4.1686878166666661</v>
      </c>
      <c r="F8">
        <v>15.460000000000029</v>
      </c>
      <c r="G8">
        <v>17.68000000000001</v>
      </c>
      <c r="H8">
        <v>24.580000000000091</v>
      </c>
      <c r="I8">
        <v>4.0805097166666657</v>
      </c>
      <c r="J8">
        <v>14.799999999999971</v>
      </c>
      <c r="K8">
        <v>16.499999999999911</v>
      </c>
      <c r="L8">
        <v>21.819999999999951</v>
      </c>
      <c r="M8">
        <v>3.7430622666666662</v>
      </c>
      <c r="N8">
        <v>14.379999999999971</v>
      </c>
      <c r="O8">
        <v>16.04000000000001</v>
      </c>
      <c r="P8">
        <v>21.85999999999995</v>
      </c>
      <c r="Q8">
        <v>3.1952239499999999</v>
      </c>
      <c r="R8">
        <v>18.14</v>
      </c>
      <c r="S8">
        <v>20.680000000000032</v>
      </c>
      <c r="T8">
        <v>32.500000000000007</v>
      </c>
      <c r="U8">
        <v>2.9344554166666659</v>
      </c>
      <c r="V8">
        <v>23.34000000000005</v>
      </c>
      <c r="W8">
        <v>31.519999999999989</v>
      </c>
      <c r="X8">
        <v>66.800000000000011</v>
      </c>
      <c r="Y8">
        <v>7</v>
      </c>
      <c r="Z8">
        <v>7</v>
      </c>
    </row>
    <row r="9" spans="1:26" x14ac:dyDescent="0.4">
      <c r="A9" t="s">
        <v>87</v>
      </c>
      <c r="B9">
        <v>11.32</v>
      </c>
      <c r="C9">
        <v>4.9901999999999997</v>
      </c>
      <c r="D9">
        <v>3.5790000000000002</v>
      </c>
      <c r="E9">
        <v>4.1697761500000006</v>
      </c>
      <c r="F9">
        <v>15.180000000000151</v>
      </c>
      <c r="G9">
        <v>17.42000000000008</v>
      </c>
      <c r="H9">
        <v>24.340000000000121</v>
      </c>
      <c r="I9">
        <v>4.0808136499999987</v>
      </c>
      <c r="J9">
        <v>14.63999999999999</v>
      </c>
      <c r="K9">
        <v>16.359999999999971</v>
      </c>
      <c r="L9">
        <v>21.739999999999959</v>
      </c>
      <c r="M9">
        <v>3.742348133333333</v>
      </c>
      <c r="N9">
        <v>14.200000000000029</v>
      </c>
      <c r="O9">
        <v>15.880000000000029</v>
      </c>
      <c r="P9">
        <v>21.700000000000049</v>
      </c>
      <c r="Q9">
        <v>3.1896216000000002</v>
      </c>
      <c r="R9">
        <v>18.02000000000001</v>
      </c>
      <c r="S9">
        <v>20.54</v>
      </c>
      <c r="T9">
        <v>32.460000000000022</v>
      </c>
      <c r="U9">
        <v>2.9282690166666669</v>
      </c>
      <c r="V9">
        <v>23.15999999999994</v>
      </c>
      <c r="W9">
        <v>31.239999999999931</v>
      </c>
      <c r="X9">
        <v>66.779999999999973</v>
      </c>
      <c r="Y9">
        <v>7</v>
      </c>
      <c r="Z9">
        <v>7</v>
      </c>
    </row>
    <row r="10" spans="1:26" x14ac:dyDescent="0.4">
      <c r="A10" t="s">
        <v>88</v>
      </c>
      <c r="B10">
        <v>11.68</v>
      </c>
      <c r="C10">
        <v>4.9908000000000001</v>
      </c>
      <c r="D10">
        <v>3.58</v>
      </c>
      <c r="E10">
        <v>4.1685918833333329</v>
      </c>
      <c r="F10">
        <v>15.519999999999889</v>
      </c>
      <c r="G10">
        <v>17.739999999999871</v>
      </c>
      <c r="H10">
        <v>24.639999999999951</v>
      </c>
      <c r="I10">
        <v>4.0804170833333329</v>
      </c>
      <c r="J10">
        <v>14.86000000000001</v>
      </c>
      <c r="K10">
        <v>16.559999999999949</v>
      </c>
      <c r="L10">
        <v>21.939999999999941</v>
      </c>
      <c r="M10">
        <v>3.7428443833333329</v>
      </c>
      <c r="N10">
        <v>14.360000000000021</v>
      </c>
      <c r="O10">
        <v>16.019999999999971</v>
      </c>
      <c r="P10">
        <v>21.85999999999995</v>
      </c>
      <c r="Q10">
        <v>3.1936791000000002</v>
      </c>
      <c r="R10">
        <v>18.100000000000001</v>
      </c>
      <c r="S10">
        <v>20.600000000000041</v>
      </c>
      <c r="T10">
        <v>32.460000000000022</v>
      </c>
      <c r="U10">
        <v>2.9336356499999998</v>
      </c>
      <c r="V10">
        <v>23.459999999999951</v>
      </c>
      <c r="W10">
        <v>31.47999999999999</v>
      </c>
      <c r="X10">
        <v>66.899999999999963</v>
      </c>
      <c r="Y10">
        <v>7</v>
      </c>
      <c r="Z10">
        <v>7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"/>
  <sheetViews>
    <sheetView workbookViewId="0">
      <selection activeCell="C10" sqref="C4:C10"/>
    </sheetView>
  </sheetViews>
  <sheetFormatPr defaultRowHeight="17.399999999999999" x14ac:dyDescent="0.4"/>
  <cols>
    <col min="1" max="1" width="22.796875" bestFit="1" customWidth="1"/>
  </cols>
  <sheetData>
    <row r="1" spans="1:2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t="s">
        <v>89</v>
      </c>
      <c r="B2">
        <v>11.06</v>
      </c>
      <c r="C2">
        <v>4.9923999999999999</v>
      </c>
      <c r="D2">
        <v>3.5779999999999998</v>
      </c>
      <c r="E2">
        <v>4.168179966666667</v>
      </c>
      <c r="F2">
        <v>15.199999999999919</v>
      </c>
      <c r="G2">
        <v>17.47999999999994</v>
      </c>
      <c r="H2">
        <v>24.519999999999879</v>
      </c>
      <c r="I2">
        <v>4.0824193666666666</v>
      </c>
      <c r="J2">
        <v>14.779999999999839</v>
      </c>
      <c r="K2">
        <v>16.51999999999996</v>
      </c>
      <c r="L2">
        <v>21.979999999999929</v>
      </c>
      <c r="M2">
        <v>3.7453572333333338</v>
      </c>
      <c r="N2">
        <v>14.25999999999998</v>
      </c>
      <c r="O2">
        <v>15.96000000000002</v>
      </c>
      <c r="P2">
        <v>21.839999999999989</v>
      </c>
      <c r="Q2">
        <v>3.1947969000000001</v>
      </c>
      <c r="R2">
        <v>17.93999999999993</v>
      </c>
      <c r="S2">
        <v>20.51999999999996</v>
      </c>
      <c r="T2">
        <v>32.419999999999938</v>
      </c>
      <c r="U2">
        <v>2.9284413666666671</v>
      </c>
      <c r="V2">
        <v>23.280000000000008</v>
      </c>
      <c r="W2">
        <v>31.46000000000004</v>
      </c>
      <c r="X2">
        <v>67.980000000000018</v>
      </c>
      <c r="Y2">
        <v>8</v>
      </c>
      <c r="Z2">
        <v>8</v>
      </c>
    </row>
    <row r="3" spans="1:26" x14ac:dyDescent="0.4">
      <c r="A3" s="2" t="s">
        <v>90</v>
      </c>
      <c r="B3">
        <v>11.19</v>
      </c>
      <c r="C3">
        <v>4.9927999999999999</v>
      </c>
      <c r="D3">
        <v>3.58</v>
      </c>
      <c r="E3">
        <v>4.1692616500000002</v>
      </c>
      <c r="F3">
        <v>15.39999999999999</v>
      </c>
      <c r="G3">
        <v>17.66000000000005</v>
      </c>
      <c r="H3">
        <v>24.639999999999951</v>
      </c>
      <c r="I3">
        <v>4.0812099999999996</v>
      </c>
      <c r="J3">
        <v>14.739999999999929</v>
      </c>
      <c r="K3">
        <v>16.41999999999992</v>
      </c>
      <c r="L3">
        <v>21.679999999999922</v>
      </c>
      <c r="M3">
        <v>3.7443576666666658</v>
      </c>
      <c r="N3">
        <v>14.30000000000007</v>
      </c>
      <c r="O3">
        <v>15.940000000000071</v>
      </c>
      <c r="P3">
        <v>21.68000000000001</v>
      </c>
      <c r="Q3">
        <v>3.1936988666666659</v>
      </c>
      <c r="R3">
        <v>17.999999999999972</v>
      </c>
      <c r="S3">
        <v>20.51999999999996</v>
      </c>
      <c r="T3">
        <v>32.299999999999947</v>
      </c>
      <c r="U3">
        <v>2.9254590500000002</v>
      </c>
      <c r="V3">
        <v>23.08000000000003</v>
      </c>
      <c r="W3">
        <v>31.380000000000049</v>
      </c>
      <c r="X3">
        <v>67.820000000000036</v>
      </c>
      <c r="Y3">
        <v>8</v>
      </c>
      <c r="Z3">
        <v>8</v>
      </c>
    </row>
    <row r="4" spans="1:26" x14ac:dyDescent="0.4">
      <c r="A4" s="2" t="s">
        <v>91</v>
      </c>
      <c r="B4">
        <v>11.61</v>
      </c>
      <c r="C4">
        <v>4.9934000000000003</v>
      </c>
      <c r="D4">
        <v>3.581</v>
      </c>
      <c r="E4">
        <v>4.1691108333333338</v>
      </c>
      <c r="F4">
        <v>15.28000000000009</v>
      </c>
      <c r="G4">
        <v>17.500000000000071</v>
      </c>
      <c r="H4">
        <v>24.36000000000007</v>
      </c>
      <c r="I4">
        <v>4.0810631333333331</v>
      </c>
      <c r="J4">
        <v>14.8200000000001</v>
      </c>
      <c r="K4">
        <v>16.54</v>
      </c>
      <c r="L4">
        <v>21.860000000000031</v>
      </c>
      <c r="M4">
        <v>3.7438285333333332</v>
      </c>
      <c r="N4">
        <v>14.299999999999979</v>
      </c>
      <c r="O4">
        <v>15.97999999999997</v>
      </c>
      <c r="P4">
        <v>21.72000000000001</v>
      </c>
      <c r="Q4">
        <v>3.19545375</v>
      </c>
      <c r="R4">
        <v>18.079999999999959</v>
      </c>
      <c r="S4">
        <v>20.58</v>
      </c>
      <c r="T4">
        <v>32.380000000000031</v>
      </c>
      <c r="U4">
        <v>2.9241549166666658</v>
      </c>
      <c r="V4">
        <v>23.280000000000008</v>
      </c>
      <c r="W4">
        <v>31.320000000000011</v>
      </c>
      <c r="X4">
        <v>67.279999999999959</v>
      </c>
      <c r="Y4">
        <v>8</v>
      </c>
      <c r="Z4">
        <v>8</v>
      </c>
    </row>
    <row r="5" spans="1:26" x14ac:dyDescent="0.4">
      <c r="A5" s="2" t="s">
        <v>92</v>
      </c>
      <c r="B5">
        <v>11.16</v>
      </c>
      <c r="C5">
        <v>4.9938000000000002</v>
      </c>
      <c r="D5">
        <v>3.5859999999999999</v>
      </c>
      <c r="E5">
        <v>4.1685366833333326</v>
      </c>
      <c r="F5">
        <v>15.16000000000002</v>
      </c>
      <c r="G5">
        <v>17.38</v>
      </c>
      <c r="H5">
        <v>24.299999999999859</v>
      </c>
      <c r="I5">
        <v>4.0814830000000004</v>
      </c>
      <c r="J5">
        <v>14.680000000000071</v>
      </c>
      <c r="K5">
        <v>16.38000000000002</v>
      </c>
      <c r="L5">
        <v>21.700000000000049</v>
      </c>
      <c r="M5">
        <v>3.7439298999999999</v>
      </c>
      <c r="N5">
        <v>14.24000000000003</v>
      </c>
      <c r="O5">
        <v>15.90000000000007</v>
      </c>
      <c r="P5">
        <v>21.700000000000049</v>
      </c>
      <c r="Q5">
        <v>3.195713116666667</v>
      </c>
      <c r="R5">
        <v>17.980000000000022</v>
      </c>
      <c r="S5">
        <v>20.479999999999961</v>
      </c>
      <c r="T5">
        <v>32.279999999999987</v>
      </c>
      <c r="U5">
        <v>2.9315762666666672</v>
      </c>
      <c r="V5">
        <v>23.180000000000071</v>
      </c>
      <c r="W5">
        <v>31.46000000000004</v>
      </c>
      <c r="X5">
        <v>67.440000000000026</v>
      </c>
      <c r="Y5">
        <v>8</v>
      </c>
      <c r="Z5">
        <v>8</v>
      </c>
    </row>
    <row r="6" spans="1:26" x14ac:dyDescent="0.4">
      <c r="A6" s="2" t="s">
        <v>93</v>
      </c>
      <c r="B6">
        <v>11.73</v>
      </c>
      <c r="C6">
        <v>4.9939999999999998</v>
      </c>
      <c r="D6">
        <v>3.581</v>
      </c>
      <c r="E6">
        <v>4.1687345499999999</v>
      </c>
      <c r="F6">
        <v>15.06000000000007</v>
      </c>
      <c r="G6">
        <v>17.280000000000051</v>
      </c>
      <c r="H6">
        <v>24.14000000000005</v>
      </c>
      <c r="I6">
        <v>4.0821286166666662</v>
      </c>
      <c r="J6">
        <v>14.780000000000021</v>
      </c>
      <c r="K6">
        <v>16.500000000000089</v>
      </c>
      <c r="L6">
        <v>21.840000000000082</v>
      </c>
      <c r="M6">
        <v>3.7446736166666672</v>
      </c>
      <c r="N6">
        <v>14.200000000000029</v>
      </c>
      <c r="O6">
        <v>15.880000000000029</v>
      </c>
      <c r="P6">
        <v>21.660000000000061</v>
      </c>
      <c r="Q6">
        <v>3.1958592499999998</v>
      </c>
      <c r="R6">
        <v>17.900000000000031</v>
      </c>
      <c r="S6">
        <v>20.39999999999997</v>
      </c>
      <c r="T6">
        <v>32.200000000000003</v>
      </c>
      <c r="U6">
        <v>2.9313322666666668</v>
      </c>
      <c r="V6">
        <v>23.120000000000029</v>
      </c>
      <c r="W6">
        <v>31.280000000000019</v>
      </c>
      <c r="X6">
        <v>66.999999999999986</v>
      </c>
      <c r="Y6">
        <v>8</v>
      </c>
      <c r="Z6">
        <v>8</v>
      </c>
    </row>
    <row r="7" spans="1:26" x14ac:dyDescent="0.4">
      <c r="A7" s="2" t="s">
        <v>94</v>
      </c>
      <c r="B7">
        <v>11.45</v>
      </c>
      <c r="C7">
        <v>4.9939999999999998</v>
      </c>
      <c r="D7">
        <v>3.58</v>
      </c>
      <c r="E7">
        <v>4.1685546166666674</v>
      </c>
      <c r="F7">
        <v>15.41999999999994</v>
      </c>
      <c r="G7">
        <v>17.619999999999969</v>
      </c>
      <c r="H7">
        <v>24.519999999999879</v>
      </c>
      <c r="I7">
        <v>4.0811443166666672</v>
      </c>
      <c r="J7">
        <v>14.86000000000001</v>
      </c>
      <c r="K7">
        <v>16.559999999999949</v>
      </c>
      <c r="L7">
        <v>21.900000000000031</v>
      </c>
      <c r="M7">
        <v>3.7432221166666668</v>
      </c>
      <c r="N7">
        <v>14.360000000000021</v>
      </c>
      <c r="O7">
        <v>16.02000000000006</v>
      </c>
      <c r="P7">
        <v>21.820000000000039</v>
      </c>
      <c r="Q7">
        <v>3.1934089833333328</v>
      </c>
      <c r="R7">
        <v>18.14</v>
      </c>
      <c r="S7">
        <v>20.659999999999989</v>
      </c>
      <c r="T7">
        <v>32.479999999999983</v>
      </c>
      <c r="U7">
        <v>2.9323606</v>
      </c>
      <c r="V7">
        <v>23.36</v>
      </c>
      <c r="W7">
        <v>31.639999999999979</v>
      </c>
      <c r="X7">
        <v>67.479999999999947</v>
      </c>
      <c r="Y7">
        <v>8</v>
      </c>
      <c r="Z7">
        <v>8</v>
      </c>
    </row>
    <row r="8" spans="1:26" x14ac:dyDescent="0.4">
      <c r="A8" s="2" t="s">
        <v>95</v>
      </c>
      <c r="B8">
        <v>11.42</v>
      </c>
      <c r="C8">
        <v>4.9968000000000004</v>
      </c>
      <c r="D8">
        <v>3.585</v>
      </c>
      <c r="E8">
        <v>4.1687100999999993</v>
      </c>
      <c r="F8">
        <v>14.98000000000008</v>
      </c>
      <c r="G8">
        <v>17.22000000000001</v>
      </c>
      <c r="H8">
        <v>24.1200000000001</v>
      </c>
      <c r="I8">
        <v>4.0832199333333321</v>
      </c>
      <c r="J8">
        <v>14.799999999999971</v>
      </c>
      <c r="K8">
        <v>16.479999999999961</v>
      </c>
      <c r="L8">
        <v>21.819999999999951</v>
      </c>
      <c r="M8">
        <v>3.7456226333333338</v>
      </c>
      <c r="N8">
        <v>14.35999999999993</v>
      </c>
      <c r="O8">
        <v>16.019999999999971</v>
      </c>
      <c r="P8">
        <v>21.8</v>
      </c>
      <c r="Q8">
        <v>3.1975842833333341</v>
      </c>
      <c r="R8">
        <v>18.079999999999959</v>
      </c>
      <c r="S8">
        <v>20.61999999999999</v>
      </c>
      <c r="T8">
        <v>32.420000000000023</v>
      </c>
      <c r="U8">
        <v>2.9347617833333328</v>
      </c>
      <c r="V8">
        <v>23.179999999999978</v>
      </c>
      <c r="W8">
        <v>31.519999999999989</v>
      </c>
      <c r="X8">
        <v>67.419999999999987</v>
      </c>
      <c r="Y8">
        <v>8</v>
      </c>
      <c r="Z8">
        <v>8</v>
      </c>
    </row>
    <row r="9" spans="1:26" x14ac:dyDescent="0.4">
      <c r="A9" s="2" t="s">
        <v>96</v>
      </c>
      <c r="B9">
        <v>11.37</v>
      </c>
      <c r="C9">
        <v>4.9969999999999999</v>
      </c>
      <c r="D9">
        <v>3.5840000000000001</v>
      </c>
      <c r="E9">
        <v>4.1681738333333334</v>
      </c>
      <c r="F9">
        <v>15.11999999999993</v>
      </c>
      <c r="G9">
        <v>17.339999999999911</v>
      </c>
      <c r="H9">
        <v>24.280000000000079</v>
      </c>
      <c r="I9">
        <v>4.0802055666666659</v>
      </c>
      <c r="J9">
        <v>14.460000000000051</v>
      </c>
      <c r="K9">
        <v>16.160000000000089</v>
      </c>
      <c r="L9">
        <v>21.500000000000071</v>
      </c>
      <c r="M9">
        <v>3.7405759000000001</v>
      </c>
      <c r="N9">
        <v>14.200000000000029</v>
      </c>
      <c r="O9">
        <v>15.859999999999991</v>
      </c>
      <c r="P9">
        <v>21.700000000000049</v>
      </c>
      <c r="Q9">
        <v>3.1889299666666671</v>
      </c>
      <c r="R9">
        <v>17.999999999999972</v>
      </c>
      <c r="S9">
        <v>20.55999999999996</v>
      </c>
      <c r="T9">
        <v>32.559999999999967</v>
      </c>
      <c r="U9">
        <v>2.9381993333333329</v>
      </c>
      <c r="V9">
        <v>23.099999999999991</v>
      </c>
      <c r="W9">
        <v>31.24000000000002</v>
      </c>
      <c r="X9">
        <v>66.58</v>
      </c>
      <c r="Y9">
        <v>8</v>
      </c>
      <c r="Z9">
        <v>8</v>
      </c>
    </row>
    <row r="10" spans="1:26" x14ac:dyDescent="0.4">
      <c r="A10" s="2" t="s">
        <v>97</v>
      </c>
      <c r="B10">
        <v>11.36</v>
      </c>
      <c r="C10">
        <v>4.9980000000000002</v>
      </c>
      <c r="D10">
        <v>3.585</v>
      </c>
      <c r="E10">
        <v>4.1684907666666664</v>
      </c>
      <c r="F10">
        <v>15.11999999999993</v>
      </c>
      <c r="G10">
        <v>17.360000000000039</v>
      </c>
      <c r="H10">
        <v>24.239999999999991</v>
      </c>
      <c r="I10">
        <v>4.0825945333333333</v>
      </c>
      <c r="J10">
        <v>14.799999999999971</v>
      </c>
      <c r="K10">
        <v>16.500000000000089</v>
      </c>
      <c r="L10">
        <v>21.820000000000039</v>
      </c>
      <c r="M10">
        <v>3.744924783333333</v>
      </c>
      <c r="N10">
        <v>14.360000000000021</v>
      </c>
      <c r="O10">
        <v>16.02000000000006</v>
      </c>
      <c r="P10">
        <v>21.820000000000039</v>
      </c>
      <c r="Q10">
        <v>3.1970418166666659</v>
      </c>
      <c r="R10">
        <v>18.18</v>
      </c>
      <c r="S10">
        <v>20.719999999999938</v>
      </c>
      <c r="T10">
        <v>32.519999999999968</v>
      </c>
      <c r="U10">
        <v>2.9364360833333332</v>
      </c>
      <c r="V10">
        <v>23.34000000000005</v>
      </c>
      <c r="W10">
        <v>31.44</v>
      </c>
      <c r="X10">
        <v>66.699999999999989</v>
      </c>
      <c r="Y10">
        <v>8</v>
      </c>
      <c r="Z10">
        <v>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Best_72cells_raw(2)_Grouped</vt:lpstr>
      <vt:lpstr>Best_72cells_raw(2)_Group01</vt:lpstr>
      <vt:lpstr>Best_72cells_raw(2)_Group02</vt:lpstr>
      <vt:lpstr>Best_72cells_raw(2)_Group03</vt:lpstr>
      <vt:lpstr>Best_72cells_raw(2)_Group04</vt:lpstr>
      <vt:lpstr>Best_72cells_raw(2)_Group05</vt:lpstr>
      <vt:lpstr>Best_72cells_raw(2)_Group06</vt:lpstr>
      <vt:lpstr>Best_72cells_raw(2)_Group07</vt:lpstr>
      <vt:lpstr>Best_72cells_raw(2)_Group08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Jinoung Kim</cp:lastModifiedBy>
  <dcterms:created xsi:type="dcterms:W3CDTF">2026-02-12T07:27:56Z</dcterms:created>
  <dcterms:modified xsi:type="dcterms:W3CDTF">2026-02-12T08:25:08Z</dcterms:modified>
</cp:coreProperties>
</file>