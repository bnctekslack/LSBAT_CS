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sVSC\LSBAT_CS\CellScreening\RawData\"/>
    </mc:Choice>
  </mc:AlternateContent>
  <xr:revisionPtr revIDLastSave="0" documentId="13_ncr:1_{6C8E2572-934C-442A-B5F1-242E03412A3E}" xr6:coauthVersionLast="47" xr6:coauthVersionMax="47" xr10:uidLastSave="{00000000-0000-0000-0000-000000000000}"/>
  <bookViews>
    <workbookView xWindow="9588" yWindow="2484" windowWidth="36420" windowHeight="20724" activeTab="1" xr2:uid="{00000000-000D-0000-FFFF-FFFF00000000}"/>
  </bookViews>
  <sheets>
    <sheet name="History" sheetId="5" r:id="rId1"/>
    <sheet name="Raw Data" sheetId="1" r:id="rId2"/>
    <sheet name="셀특성시험_시험온도" sheetId="6" r:id="rId3"/>
  </sheets>
  <calcPr calcId="191029"/>
</workbook>
</file>

<file path=xl/calcChain.xml><?xml version="1.0" encoding="utf-8"?>
<calcChain xmlns="http://schemas.openxmlformats.org/spreadsheetml/2006/main">
  <c r="N122" i="1" l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M237" i="1" l="1"/>
  <c r="N237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48" i="1"/>
  <c r="M149" i="1"/>
  <c r="M150" i="1"/>
  <c r="M151" i="1"/>
  <c r="M152" i="1"/>
  <c r="M153" i="1"/>
  <c r="M154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48" i="1"/>
  <c r="N149" i="1"/>
  <c r="N150" i="1"/>
  <c r="N151" i="1"/>
  <c r="N152" i="1"/>
  <c r="N153" i="1"/>
  <c r="N154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U1306" i="1"/>
</calcChain>
</file>

<file path=xl/sharedStrings.xml><?xml version="1.0" encoding="utf-8"?>
<sst xmlns="http://schemas.openxmlformats.org/spreadsheetml/2006/main" count="4083" uniqueCount="1436">
  <si>
    <t>과제명</t>
  </si>
  <si>
    <t>LSBAT</t>
  </si>
  <si>
    <t>수행 단계</t>
  </si>
  <si>
    <t>3.1 라트 인수 시험</t>
  </si>
  <si>
    <t>상세 단계</t>
  </si>
  <si>
    <t>3.1.1 인수 육안 검사</t>
  </si>
  <si>
    <t>3.1.2 인수 치수 검사</t>
  </si>
  <si>
    <t>단위 [mm]</t>
  </si>
  <si>
    <t>자동 계산</t>
  </si>
  <si>
    <t>단위 [V]</t>
  </si>
  <si>
    <t>단위 [mΩ]</t>
  </si>
  <si>
    <t>EoC</t>
  </si>
  <si>
    <t>EoD</t>
  </si>
  <si>
    <t>Nominal</t>
  </si>
  <si>
    <t>단위[V]</t>
  </si>
  <si>
    <t>항목</t>
  </si>
  <si>
    <t>래핑 및 셀 프린팅 검사</t>
  </si>
  <si>
    <t>음극 및 양극 손상, 스크래치, 녹 및 오염</t>
  </si>
  <si>
    <t>전체 셀 손상, 스크래치, 녹 및 오염 검사</t>
  </si>
  <si>
    <t>비고</t>
  </si>
  <si>
    <t>무게 [g]</t>
  </si>
  <si>
    <t>높이 측정 1point</t>
  </si>
  <si>
    <t>높이 측정 2point</t>
  </si>
  <si>
    <t>높이 측정 3point</t>
  </si>
  <si>
    <t>높이 측정 4point</t>
  </si>
  <si>
    <t>높이 측정 최대값</t>
  </si>
  <si>
    <t>높이 측정 최솟값</t>
  </si>
  <si>
    <t>양극 지름 최대값</t>
  </si>
  <si>
    <t>양극 지름 최소값</t>
  </si>
  <si>
    <t>음극 지름 최대값</t>
  </si>
  <si>
    <t>음극 지름 최소값</t>
  </si>
  <si>
    <t>INITIAL</t>
  </si>
  <si>
    <t>voltage</t>
  </si>
  <si>
    <t>ac impedence</t>
  </si>
  <si>
    <t>4.2 [V]</t>
  </si>
  <si>
    <t>voltage2</t>
  </si>
  <si>
    <t>ac impedence3</t>
  </si>
  <si>
    <t>2.5 [V]</t>
  </si>
  <si>
    <t>voltage4</t>
  </si>
  <si>
    <t>ac impedence5</t>
  </si>
  <si>
    <t>3.6 [V]</t>
  </si>
  <si>
    <t>전압</t>
  </si>
  <si>
    <t>ACIR</t>
  </si>
  <si>
    <t>100%</t>
  </si>
  <si>
    <t>OCV0100</t>
  </si>
  <si>
    <t>DCIR100_start</t>
  </si>
  <si>
    <t>DCIR100_1s</t>
  </si>
  <si>
    <t>DCIR100_10s</t>
  </si>
  <si>
    <t>90%</t>
  </si>
  <si>
    <t>OCV90</t>
  </si>
  <si>
    <t>DCIR90_start</t>
  </si>
  <si>
    <t>DCIR90_1s</t>
  </si>
  <si>
    <t>DCIR90_10s</t>
  </si>
  <si>
    <t>50%</t>
  </si>
  <si>
    <t>OCV50</t>
  </si>
  <si>
    <t>DCIR50_start</t>
  </si>
  <si>
    <t>DCIR50_1s</t>
  </si>
  <si>
    <t>DCIR50_10s</t>
  </si>
  <si>
    <t>10%</t>
  </si>
  <si>
    <t>OCV10</t>
  </si>
  <si>
    <t>DCIR10_start</t>
  </si>
  <si>
    <t>DCIR10_1s</t>
  </si>
  <si>
    <t>DCIR10_10s</t>
  </si>
  <si>
    <t>0%</t>
  </si>
  <si>
    <t>OCV0</t>
  </si>
  <si>
    <t>DCIR0_start</t>
  </si>
  <si>
    <t>DCIR0_1s</t>
  </si>
  <si>
    <t>DCIR0_10s</t>
  </si>
  <si>
    <t>Used</t>
  </si>
  <si>
    <t>비고</t>
    <phoneticPr fontId="8" type="noConversion"/>
  </si>
  <si>
    <t>Capacity2</t>
    <phoneticPr fontId="8" type="noConversion"/>
  </si>
  <si>
    <t>Self-Discharge-Rate</t>
    <phoneticPr fontId="8" type="noConversion"/>
  </si>
  <si>
    <t>Capacity1</t>
    <phoneticPr fontId="8" type="noConversion"/>
  </si>
  <si>
    <t>단위[Ah]</t>
    <phoneticPr fontId="8" type="noConversion"/>
  </si>
  <si>
    <t>단위[%]</t>
    <phoneticPr fontId="8" type="noConversion"/>
  </si>
  <si>
    <t>SoC</t>
    <phoneticPr fontId="8" type="noConversion"/>
  </si>
  <si>
    <t>수정일자</t>
    <phoneticPr fontId="8" type="noConversion"/>
  </si>
  <si>
    <t>수정자</t>
    <phoneticPr fontId="8" type="noConversion"/>
  </si>
  <si>
    <t>수정위치</t>
    <phoneticPr fontId="8" type="noConversion"/>
  </si>
  <si>
    <t>수정내용</t>
    <phoneticPr fontId="8" type="noConversion"/>
  </si>
  <si>
    <t>Sheet</t>
    <phoneticPr fontId="8" type="noConversion"/>
  </si>
  <si>
    <t>-</t>
    <phoneticPr fontId="8" type="noConversion"/>
  </si>
  <si>
    <t>최초 생성</t>
    <phoneticPr fontId="8" type="noConversion"/>
  </si>
  <si>
    <t>임창현</t>
    <phoneticPr fontId="8" type="noConversion"/>
  </si>
  <si>
    <t>수정대상(행)</t>
    <phoneticPr fontId="8" type="noConversion"/>
  </si>
  <si>
    <t>BS-LSBAT-S260526-0001</t>
    <phoneticPr fontId="8" type="noConversion"/>
  </si>
  <si>
    <t>BS-LSBAT-S260526-0002</t>
  </si>
  <si>
    <t>BS-LSBAT-S260526-0003</t>
  </si>
  <si>
    <t>BS-LSBAT-S260526-0004</t>
  </si>
  <si>
    <t>BS-LSBAT-S260526-0005</t>
  </si>
  <si>
    <t>BS-LSBAT-S260526-0006</t>
  </si>
  <si>
    <t>BS-LSBAT-S260526-0007</t>
  </si>
  <si>
    <t>BS-LSBAT-S260526-0008</t>
  </si>
  <si>
    <t>BS-LSBAT-S260526-0009</t>
  </si>
  <si>
    <t>BS-LSBAT-S260526-0010</t>
  </si>
  <si>
    <t>BS-LSBAT-S260526-0011</t>
  </si>
  <si>
    <t>BS-LSBAT-S260526-0012</t>
  </si>
  <si>
    <t>BS-LSBAT-S260526-0013</t>
  </si>
  <si>
    <t>BS-LSBAT-S260526-0014</t>
  </si>
  <si>
    <t>BS-LSBAT-S260526-0015</t>
  </si>
  <si>
    <t>BS-LSBAT-S260526-0016</t>
  </si>
  <si>
    <t>BS-LSBAT-S260526-0017</t>
  </si>
  <si>
    <t>BS-LSBAT-S260526-0018</t>
  </si>
  <si>
    <t>BS-LSBAT-S260526-0019</t>
  </si>
  <si>
    <t>BS-LSBAT-S260526-0020</t>
  </si>
  <si>
    <t>BS-LSBAT-S260526-0021</t>
  </si>
  <si>
    <t>BS-LSBAT-S260526-0022</t>
  </si>
  <si>
    <t>BS-LSBAT-S260526-0023</t>
  </si>
  <si>
    <t>BS-LSBAT-S260526-0024</t>
  </si>
  <si>
    <t>BS-LSBAT-S260526-0025</t>
  </si>
  <si>
    <t>BS-LSBAT-S260526-0026</t>
  </si>
  <si>
    <t>BS-LSBAT-S260526-0027</t>
  </si>
  <si>
    <t>BS-LSBAT-S260526-0028</t>
  </si>
  <si>
    <t>BS-LSBAT-S260526-0029</t>
  </si>
  <si>
    <t>BS-LSBAT-S260526-0030</t>
  </si>
  <si>
    <t>BS-LSBAT-S260526-0031</t>
  </si>
  <si>
    <t>BS-LSBAT-S260526-0032</t>
  </si>
  <si>
    <t>BS-LSBAT-S260526-0033</t>
  </si>
  <si>
    <t>BS-LSBAT-S260526-0034</t>
  </si>
  <si>
    <t>BS-LSBAT-S260526-0035</t>
  </si>
  <si>
    <t>BS-LSBAT-S260526-0036</t>
  </si>
  <si>
    <t>BS-LSBAT-S260526-0037</t>
  </si>
  <si>
    <t>BS-LSBAT-S260526-0038</t>
  </si>
  <si>
    <t>BS-LSBAT-S260526-0039</t>
  </si>
  <si>
    <t>BS-LSBAT-S260526-0040</t>
  </si>
  <si>
    <t>BS-LSBAT-S260526-0041</t>
  </si>
  <si>
    <t>BS-LSBAT-S260526-0042</t>
  </si>
  <si>
    <t>BS-LSBAT-S260526-0043</t>
  </si>
  <si>
    <t>BS-LSBAT-S260526-0044</t>
  </si>
  <si>
    <t>BS-LSBAT-S260526-0045</t>
  </si>
  <si>
    <t>BS-LSBAT-S260526-0046</t>
  </si>
  <si>
    <t>BS-LSBAT-S260526-0047</t>
  </si>
  <si>
    <t>BS-LSBAT-S260526-0048</t>
  </si>
  <si>
    <t>BS-LSBAT-S260526-0049</t>
  </si>
  <si>
    <t>BS-LSBAT-S260526-0050</t>
  </si>
  <si>
    <t>BS-LSBAT-S260526-0051</t>
  </si>
  <si>
    <t>BS-LSBAT-S260526-0052</t>
  </si>
  <si>
    <t>BS-LSBAT-S260526-0053</t>
  </si>
  <si>
    <t>BS-LSBAT-S260526-0054</t>
  </si>
  <si>
    <t>BS-LSBAT-S260526-0055</t>
  </si>
  <si>
    <t>BS-LSBAT-S260526-0056</t>
  </si>
  <si>
    <t>BS-LSBAT-S260526-0057</t>
  </si>
  <si>
    <t>BS-LSBAT-S260526-0058</t>
  </si>
  <si>
    <t>BS-LSBAT-S260526-0059</t>
  </si>
  <si>
    <t>BS-LSBAT-S260526-0060</t>
  </si>
  <si>
    <t>BS-LSBAT-S260526-0061</t>
  </si>
  <si>
    <t>BS-LSBAT-S260526-0062</t>
  </si>
  <si>
    <t>BS-LSBAT-S260526-0063</t>
  </si>
  <si>
    <t>BS-LSBAT-S260526-0064</t>
  </si>
  <si>
    <t>BS-LSBAT-S260526-0065</t>
  </si>
  <si>
    <t>BS-LSBAT-S260526-0066</t>
  </si>
  <si>
    <t>BS-LSBAT-S260526-0067</t>
  </si>
  <si>
    <t>BS-LSBAT-S260526-0068</t>
  </si>
  <si>
    <t>BS-LSBAT-S260526-0069</t>
  </si>
  <si>
    <t>BS-LSBAT-S260526-0070</t>
  </si>
  <si>
    <t>BS-LSBAT-S260526-0071</t>
  </si>
  <si>
    <t>BS-LSBAT-S260526-0072</t>
  </si>
  <si>
    <t>BS-LSBAT-S260526-0073</t>
  </si>
  <si>
    <t>BS-LSBAT-S260526-0074</t>
  </si>
  <si>
    <t>BS-LSBAT-S260526-0075</t>
  </si>
  <si>
    <t>BS-LSBAT-S260526-0076</t>
  </si>
  <si>
    <t>BS-LSBAT-S260526-0077</t>
  </si>
  <si>
    <t>BS-LSBAT-S260526-0078</t>
  </si>
  <si>
    <t>BS-LSBAT-S260526-0079</t>
  </si>
  <si>
    <t>BS-LSBAT-S260526-0080</t>
  </si>
  <si>
    <t>BS-LSBAT-S260526-0081</t>
  </si>
  <si>
    <t>BS-LSBAT-S260526-0082</t>
  </si>
  <si>
    <t>BS-LSBAT-S260526-0083</t>
  </si>
  <si>
    <t>BS-LSBAT-S260526-0084</t>
  </si>
  <si>
    <t>BS-LSBAT-S260526-0085</t>
  </si>
  <si>
    <t>BS-LSBAT-S260526-0086</t>
  </si>
  <si>
    <t>BS-LSBAT-S260526-0087</t>
  </si>
  <si>
    <t>BS-LSBAT-S260526-0088</t>
  </si>
  <si>
    <t>BS-LSBAT-S260526-0089</t>
  </si>
  <si>
    <t>BS-LSBAT-S260526-0090</t>
  </si>
  <si>
    <t>BS-LSBAT-S260526-0091</t>
  </si>
  <si>
    <t>BS-LSBAT-S260526-0092</t>
  </si>
  <si>
    <t>BS-LSBAT-S260526-0093</t>
  </si>
  <si>
    <t>BS-LSBAT-S260526-0094</t>
  </si>
  <si>
    <t>BS-LSBAT-S260526-0095</t>
  </si>
  <si>
    <t>BS-LSBAT-S260526-0096</t>
  </si>
  <si>
    <t>BS-LSBAT-S260526-0097</t>
  </si>
  <si>
    <t>BS-LSBAT-S260526-0098</t>
  </si>
  <si>
    <t>BS-LSBAT-S260526-0099</t>
  </si>
  <si>
    <t>BS-LSBAT-S260526-0100</t>
  </si>
  <si>
    <t>BS-LSBAT-S260526-0101</t>
  </si>
  <si>
    <t>BS-LSBAT-S260526-0102</t>
  </si>
  <si>
    <t>BS-LSBAT-S260526-0103</t>
  </si>
  <si>
    <t>BS-LSBAT-S260526-0104</t>
  </si>
  <si>
    <t>BS-LSBAT-S260526-0105</t>
  </si>
  <si>
    <t>BS-LSBAT-S260526-0106</t>
  </si>
  <si>
    <t>BS-LSBAT-S260526-0107</t>
  </si>
  <si>
    <t>BS-LSBAT-S260526-0108</t>
  </si>
  <si>
    <t>BS-LSBAT-S260526-0109</t>
  </si>
  <si>
    <t>BS-LSBAT-S260526-0110</t>
  </si>
  <si>
    <t>BS-LSBAT-S260526-0111</t>
  </si>
  <si>
    <t>BS-LSBAT-S260526-0112</t>
  </si>
  <si>
    <t>BS-LSBAT-S260526-0113</t>
  </si>
  <si>
    <t>BS-LSBAT-S260526-0114</t>
  </si>
  <si>
    <t>BS-LSBAT-S260526-0115</t>
  </si>
  <si>
    <t>BS-LSBAT-S260526-0116</t>
  </si>
  <si>
    <t>BS-LSBAT-S260526-0117</t>
  </si>
  <si>
    <t>BS-LSBAT-S260526-0118</t>
  </si>
  <si>
    <t>BS-LSBAT-S260526-0119</t>
  </si>
  <si>
    <t>BS-LSBAT-S260526-0120</t>
  </si>
  <si>
    <t>BS-LSBAT-S260526-0121</t>
  </si>
  <si>
    <t>BS-LSBAT-S260526-0122</t>
  </si>
  <si>
    <t>BS-LSBAT-S260526-0123</t>
  </si>
  <si>
    <t>BS-LSBAT-S260526-0124</t>
  </si>
  <si>
    <t>BS-LSBAT-S260526-0125</t>
  </si>
  <si>
    <t>BS-LSBAT-S260526-0126</t>
  </si>
  <si>
    <t>BS-LSBAT-S260526-0127</t>
  </si>
  <si>
    <t>BS-LSBAT-S260526-0128</t>
  </si>
  <si>
    <t>BS-LSBAT-S260526-0129</t>
  </si>
  <si>
    <t>BS-LSBAT-S260526-0130</t>
  </si>
  <si>
    <t>BS-LSBAT-S260526-0131</t>
  </si>
  <si>
    <t>BS-LSBAT-S260526-0132</t>
  </si>
  <si>
    <t>BS-LSBAT-S260526-0133</t>
  </si>
  <si>
    <t>BS-LSBAT-S260526-0134</t>
  </si>
  <si>
    <t>BS-LSBAT-S260526-0135</t>
  </si>
  <si>
    <t>BS-LSBAT-S260526-0136</t>
  </si>
  <si>
    <t>BS-LSBAT-S260526-0137</t>
  </si>
  <si>
    <t>BS-LSBAT-S260526-0138</t>
  </si>
  <si>
    <t>BS-LSBAT-S260526-0139</t>
  </si>
  <si>
    <t>BS-LSBAT-S260526-0140</t>
  </si>
  <si>
    <t>BS-LSBAT-S260526-0141</t>
  </si>
  <si>
    <t>BS-LSBAT-S260526-0142</t>
  </si>
  <si>
    <t>BS-LSBAT-S260526-0143</t>
  </si>
  <si>
    <t>BS-LSBAT-S260526-0144</t>
  </si>
  <si>
    <t>BS-LSBAT-S260526-0145</t>
  </si>
  <si>
    <t>BS-LSBAT-S260526-0146</t>
  </si>
  <si>
    <t>BS-LSBAT-S260526-0147</t>
  </si>
  <si>
    <t>BS-LSBAT-S260526-0148</t>
  </si>
  <si>
    <t>BS-LSBAT-S260526-0149</t>
  </si>
  <si>
    <t>BS-LSBAT-S260526-0150</t>
  </si>
  <si>
    <t>BS-LSBAT-S260526-0151</t>
  </si>
  <si>
    <t>BS-LSBAT-S260526-0152</t>
  </si>
  <si>
    <t>BS-LSBAT-S260526-0153</t>
  </si>
  <si>
    <t>BS-LSBAT-S260526-0154</t>
  </si>
  <si>
    <t>BS-LSBAT-S260526-0155</t>
  </si>
  <si>
    <t>BS-LSBAT-S260526-0156</t>
  </si>
  <si>
    <t>BS-LSBAT-S260526-0157</t>
  </si>
  <si>
    <t>BS-LSBAT-S260526-0158</t>
  </si>
  <si>
    <t>BS-LSBAT-S260526-0159</t>
  </si>
  <si>
    <t>BS-LSBAT-S260526-0160</t>
  </si>
  <si>
    <t>BS-LSBAT-S260526-0161</t>
  </si>
  <si>
    <t>BS-LSBAT-S260526-0162</t>
  </si>
  <si>
    <t>BS-LSBAT-S260526-0163</t>
  </si>
  <si>
    <t>BS-LSBAT-S260526-0164</t>
  </si>
  <si>
    <t>BS-LSBAT-S260526-0165</t>
  </si>
  <si>
    <t>BS-LSBAT-S260526-0166</t>
  </si>
  <si>
    <t>BS-LSBAT-S260526-0167</t>
  </si>
  <si>
    <t>BS-LSBAT-S260526-0168</t>
  </si>
  <si>
    <t>BS-LSBAT-S260526-0169</t>
  </si>
  <si>
    <t>BS-LSBAT-S260526-0170</t>
  </si>
  <si>
    <t>BS-LSBAT-S260526-0171</t>
  </si>
  <si>
    <t>BS-LSBAT-S260526-0172</t>
  </si>
  <si>
    <t>BS-LSBAT-S260526-0173</t>
  </si>
  <si>
    <t>BS-LSBAT-S260526-0174</t>
  </si>
  <si>
    <t>BS-LSBAT-S260526-0175</t>
  </si>
  <si>
    <t>BS-LSBAT-S260526-0176</t>
  </si>
  <si>
    <t>BS-LSBAT-S260526-0177</t>
  </si>
  <si>
    <t>BS-LSBAT-S260526-0178</t>
  </si>
  <si>
    <t>BS-LSBAT-S260526-0179</t>
  </si>
  <si>
    <t>BS-LSBAT-S260526-0180</t>
  </si>
  <si>
    <t>BS-LSBAT-S260526-0181</t>
  </si>
  <si>
    <t>BS-LSBAT-S260526-0182</t>
  </si>
  <si>
    <t>BS-LSBAT-S260526-0183</t>
  </si>
  <si>
    <t>BS-LSBAT-S260526-0184</t>
  </si>
  <si>
    <t>BS-LSBAT-S260526-0185</t>
  </si>
  <si>
    <t>BS-LSBAT-S260526-0186</t>
  </si>
  <si>
    <t>BS-LSBAT-S260526-0187</t>
  </si>
  <si>
    <t>BS-LSBAT-S260526-0188</t>
  </si>
  <si>
    <t>BS-LSBAT-S260526-0189</t>
  </si>
  <si>
    <t>BS-LSBAT-S260526-0190</t>
  </si>
  <si>
    <t>BS-LSBAT-S260526-0191</t>
  </si>
  <si>
    <t>BS-LSBAT-S260526-0192</t>
  </si>
  <si>
    <t>BS-LSBAT-S260526-0193</t>
  </si>
  <si>
    <t>BS-LSBAT-S260526-0194</t>
  </si>
  <si>
    <t>BS-LSBAT-S260526-0195</t>
  </si>
  <si>
    <t>BS-LSBAT-S260526-0196</t>
  </si>
  <si>
    <t>BS-LSBAT-S260526-0197</t>
  </si>
  <si>
    <t>BS-LSBAT-S260526-0198</t>
  </si>
  <si>
    <t>BS-LSBAT-S260526-0199</t>
  </si>
  <si>
    <t>BS-LSBAT-S260526-0200</t>
  </si>
  <si>
    <t>BS-LSBAT-S260526-0201</t>
  </si>
  <si>
    <t>BS-LSBAT-S260526-0202</t>
  </si>
  <si>
    <t>BS-LSBAT-S260526-0203</t>
  </si>
  <si>
    <t>BS-LSBAT-S260526-0204</t>
  </si>
  <si>
    <t>BS-LSBAT-S260526-0205</t>
  </si>
  <si>
    <t>BS-LSBAT-S260526-0206</t>
  </si>
  <si>
    <t>BS-LSBAT-S260526-0207</t>
  </si>
  <si>
    <t>BS-LSBAT-S260526-0208</t>
  </si>
  <si>
    <t>BS-LSBAT-S260526-0209</t>
  </si>
  <si>
    <t>BS-LSBAT-S260526-0210</t>
  </si>
  <si>
    <t>BS-LSBAT-S260526-0211</t>
  </si>
  <si>
    <t>BS-LSBAT-S260526-0212</t>
  </si>
  <si>
    <t>BS-LSBAT-S260526-0213</t>
  </si>
  <si>
    <t>BS-LSBAT-S260526-0214</t>
  </si>
  <si>
    <t>BS-LSBAT-S260526-0215</t>
  </si>
  <si>
    <t>BS-LSBAT-S260526-0216</t>
  </si>
  <si>
    <t>BS-LSBAT-S260526-0217</t>
  </si>
  <si>
    <t>BS-LSBAT-S260526-0218</t>
  </si>
  <si>
    <t>BS-LSBAT-S260526-0219</t>
  </si>
  <si>
    <t>BS-LSBAT-S260526-0220</t>
  </si>
  <si>
    <t>BS-LSBAT-S260526-0221</t>
  </si>
  <si>
    <t>BS-LSBAT-S260526-0222</t>
  </si>
  <si>
    <t>BS-LSBAT-S260526-0223</t>
  </si>
  <si>
    <t>BS-LSBAT-S260526-0224</t>
  </si>
  <si>
    <t>BS-LSBAT-S260526-0225</t>
  </si>
  <si>
    <t>BS-LSBAT-S260526-0226</t>
  </si>
  <si>
    <t>BS-LSBAT-S260526-0227</t>
  </si>
  <si>
    <t>BS-LSBAT-S260526-0228</t>
  </si>
  <si>
    <t>BS-LSBAT-S260526-0229</t>
  </si>
  <si>
    <t>BS-LSBAT-S260526-0230</t>
  </si>
  <si>
    <t>BS-LSBAT-S260526-0231</t>
  </si>
  <si>
    <t>BS-LSBAT-S260526-0232</t>
  </si>
  <si>
    <t>BS-LSBAT-S260526-0233</t>
  </si>
  <si>
    <t>BS-LSBAT-S260526-0234</t>
  </si>
  <si>
    <t>BS-LSBAT-S260526-0235</t>
  </si>
  <si>
    <t>BS-LSBAT-S260526-0236</t>
  </si>
  <si>
    <t>BS-LSBAT-S260526-0237</t>
  </si>
  <si>
    <t>BS-LSBAT-S260526-0238</t>
  </si>
  <si>
    <t>BS-LSBAT-S260526-0239</t>
  </si>
  <si>
    <t>BS-LSBAT-S260526-0240</t>
  </si>
  <si>
    <t>BS-LSBAT-S260526-0241</t>
  </si>
  <si>
    <t>BS-LSBAT-S260526-0242</t>
  </si>
  <si>
    <t>BS-LSBAT-S260526-0243</t>
  </si>
  <si>
    <t>BS-LSBAT-S260526-0244</t>
  </si>
  <si>
    <t>BS-LSBAT-S260526-0245</t>
  </si>
  <si>
    <t>BS-LSBAT-S260526-0246</t>
  </si>
  <si>
    <t>BS-LSBAT-S260526-0248</t>
  </si>
  <si>
    <t>BS-LSBAT-S260526-0249</t>
  </si>
  <si>
    <t>BS-LSBAT-S260526-0250</t>
  </si>
  <si>
    <t>BS-LSBAT-S260526-0251</t>
  </si>
  <si>
    <t>BS-LSBAT-S260526-0252</t>
  </si>
  <si>
    <t>BS-LSBAT-S260526-0253</t>
  </si>
  <si>
    <t>BS-LSBAT-S260526-0254</t>
  </si>
  <si>
    <t>BS-LSBAT-S260526-0255</t>
  </si>
  <si>
    <t>BS-LSBAT-S260526-0256</t>
  </si>
  <si>
    <t>BS-LSBAT-S260526-0257</t>
  </si>
  <si>
    <t>BS-LSBAT-S260526-0258</t>
  </si>
  <si>
    <t>BS-LSBAT-S260526-0259</t>
  </si>
  <si>
    <t>BS-LSBAT-S260526-0260</t>
  </si>
  <si>
    <t>BS-LSBAT-S260526-0261</t>
  </si>
  <si>
    <t>BS-LSBAT-S260526-0262</t>
  </si>
  <si>
    <t>BS-LSBAT-S260526-0263</t>
  </si>
  <si>
    <t>BS-LSBAT-S260526-0264</t>
  </si>
  <si>
    <t>BS-LSBAT-S260526-0265</t>
  </si>
  <si>
    <t>BS-LSBAT-S260526-0266</t>
  </si>
  <si>
    <t>BS-LSBAT-S260526-0267</t>
  </si>
  <si>
    <t>BS-LSBAT-S260526-0268</t>
  </si>
  <si>
    <t>BS-LSBAT-S260526-0269</t>
  </si>
  <si>
    <t>BS-LSBAT-S260526-0270</t>
  </si>
  <si>
    <t>BS-LSBAT-S260526-0271</t>
  </si>
  <si>
    <t>BS-LSBAT-S260526-0272</t>
  </si>
  <si>
    <t>BS-LSBAT-S260526-0273</t>
  </si>
  <si>
    <t>BS-LSBAT-S260526-0274</t>
  </si>
  <si>
    <t>BS-LSBAT-S260526-0275</t>
  </si>
  <si>
    <t>BS-LSBAT-S260526-0276</t>
  </si>
  <si>
    <t>BS-LSBAT-S260526-0277</t>
  </si>
  <si>
    <t>BS-LSBAT-S260526-0278</t>
  </si>
  <si>
    <t>BS-LSBAT-S260526-0279</t>
  </si>
  <si>
    <t>BS-LSBAT-S260526-0280</t>
  </si>
  <si>
    <t>BS-LSBAT-S260526-0281</t>
  </si>
  <si>
    <t>BS-LSBAT-S260526-0282</t>
  </si>
  <si>
    <t>BS-LSBAT-S260526-0283</t>
  </si>
  <si>
    <t>BS-LSBAT-S260526-0284</t>
  </si>
  <si>
    <t>BS-LSBAT-S260526-0285</t>
  </si>
  <si>
    <t>BS-LSBAT-S260526-0286</t>
  </si>
  <si>
    <t>BS-LSBAT-S260526-0287</t>
  </si>
  <si>
    <t>BS-LSBAT-S260526-0288</t>
  </si>
  <si>
    <t>BS-LSBAT-S260526-0289</t>
  </si>
  <si>
    <t>BS-LSBAT-S260526-0290</t>
  </si>
  <si>
    <t>BS-LSBAT-S260526-0291</t>
  </si>
  <si>
    <t>BS-LSBAT-S260526-0292</t>
  </si>
  <si>
    <t>BS-LSBAT-S260526-0293</t>
  </si>
  <si>
    <t>BS-LSBAT-S260526-0294</t>
  </si>
  <si>
    <t>BS-LSBAT-S260526-0295</t>
  </si>
  <si>
    <t>BS-LSBAT-S260526-0296</t>
  </si>
  <si>
    <t>BS-LSBAT-S260526-0297</t>
  </si>
  <si>
    <t>BS-LSBAT-S260526-0298</t>
  </si>
  <si>
    <t>BS-LSBAT-S260526-0299</t>
  </si>
  <si>
    <t>BS-LSBAT-S260526-0300</t>
  </si>
  <si>
    <t>BS-LSBAT-S260526-0301</t>
  </si>
  <si>
    <t>BS-LSBAT-S260526-0302</t>
  </si>
  <si>
    <t>BS-LSBAT-S260526-0303</t>
  </si>
  <si>
    <t>BS-LSBAT-S260526-0304</t>
  </si>
  <si>
    <t>BS-LSBAT-S260526-0305</t>
  </si>
  <si>
    <t>BS-LSBAT-S260526-0306</t>
  </si>
  <si>
    <t>BS-LSBAT-S260526-0307</t>
  </si>
  <si>
    <t>BS-LSBAT-S260526-0308</t>
  </si>
  <si>
    <t>BS-LSBAT-S260526-0309</t>
  </si>
  <si>
    <t>BS-LSBAT-S260526-0310</t>
  </si>
  <si>
    <t>BS-LSBAT-S260526-0311</t>
  </si>
  <si>
    <t>BS-LSBAT-S260526-0312</t>
  </si>
  <si>
    <t>BS-LSBAT-S260526-0313</t>
  </si>
  <si>
    <t>BS-LSBAT-S260526-0314</t>
  </si>
  <si>
    <t>BS-LSBAT-S260526-0315</t>
  </si>
  <si>
    <t>BS-LSBAT-S260526-0316</t>
  </si>
  <si>
    <t>BS-LSBAT-S260526-0317</t>
  </si>
  <si>
    <t>BS-LSBAT-S260526-0318</t>
  </si>
  <si>
    <t>BS-LSBAT-S260526-0319</t>
  </si>
  <si>
    <t>BS-LSBAT-S260526-0320</t>
  </si>
  <si>
    <t>BS-LSBAT-S260526-0321</t>
  </si>
  <si>
    <t>BS-LSBAT-S260526-0322</t>
  </si>
  <si>
    <t>BS-LSBAT-S260526-0323</t>
  </si>
  <si>
    <t>BS-LSBAT-S260526-0324</t>
  </si>
  <si>
    <t>BS-LSBAT-S260526-0325</t>
  </si>
  <si>
    <t>BS-LSBAT-S260526-0326</t>
  </si>
  <si>
    <t>BS-LSBAT-S260526-0327</t>
  </si>
  <si>
    <t>BS-LSBAT-S260526-0328</t>
  </si>
  <si>
    <t>BS-LSBAT-S260526-0329</t>
  </si>
  <si>
    <t>BS-LSBAT-S260526-0330</t>
  </si>
  <si>
    <t>BS-LSBAT-S260526-0331</t>
  </si>
  <si>
    <t>BS-LSBAT-S260526-0332</t>
  </si>
  <si>
    <t>BS-LSBAT-S260526-0333</t>
  </si>
  <si>
    <t>BS-LSBAT-S260526-0334</t>
  </si>
  <si>
    <t>BS-LSBAT-S260526-0335</t>
  </si>
  <si>
    <t>BS-LSBAT-S260526-0336</t>
  </si>
  <si>
    <t>BS-LSBAT-S260526-0337</t>
  </si>
  <si>
    <t>BS-LSBAT-S260526-0338</t>
  </si>
  <si>
    <t>BS-LSBAT-S260526-0339</t>
  </si>
  <si>
    <t>BS-LSBAT-S260526-0340</t>
  </si>
  <si>
    <t>BS-LSBAT-S260526-0341</t>
  </si>
  <si>
    <t>BS-LSBAT-S260526-0342</t>
  </si>
  <si>
    <t>BS-LSBAT-S260526-0343</t>
  </si>
  <si>
    <t>BS-LSBAT-S260526-0344</t>
  </si>
  <si>
    <t>BS-LSBAT-S260526-0345</t>
  </si>
  <si>
    <t>BS-LSBAT-S260526-0346</t>
  </si>
  <si>
    <t>BS-LSBAT-S260526-0347</t>
  </si>
  <si>
    <t>BS-LSBAT-S260526-0348</t>
  </si>
  <si>
    <t>BS-LSBAT-S260526-0349</t>
  </si>
  <si>
    <t>BS-LSBAT-S260526-0350</t>
  </si>
  <si>
    <t>BS-LSBAT-S260526-0351</t>
  </si>
  <si>
    <t>BS-LSBAT-S260526-0352</t>
  </si>
  <si>
    <t>BS-LSBAT-S260526-0353</t>
  </si>
  <si>
    <t>BS-LSBAT-S260526-0354</t>
  </si>
  <si>
    <t>BS-LSBAT-S260526-0355</t>
  </si>
  <si>
    <t>BS-LSBAT-S260526-0356</t>
  </si>
  <si>
    <t>BS-LSBAT-S260526-0357</t>
  </si>
  <si>
    <t>BS-LSBAT-S260526-0358</t>
  </si>
  <si>
    <t>BS-LSBAT-S260526-0359</t>
  </si>
  <si>
    <t>BS-LSBAT-S260526-0360</t>
  </si>
  <si>
    <t>BS-LSBAT-S260526-0361</t>
  </si>
  <si>
    <t>BS-LSBAT-S260526-0362</t>
  </si>
  <si>
    <t>BS-LSBAT-S260526-0363</t>
  </si>
  <si>
    <t>BS-LSBAT-S260526-0364</t>
  </si>
  <si>
    <t>BS-LSBAT-S260526-0365</t>
  </si>
  <si>
    <t>BS-LSBAT-S260526-0366</t>
  </si>
  <si>
    <t>BS-LSBAT-S260526-0367</t>
  </si>
  <si>
    <t>BS-LSBAT-S260526-0368</t>
  </si>
  <si>
    <t>BS-LSBAT-S260526-0369</t>
  </si>
  <si>
    <t>BS-LSBAT-S260526-0370</t>
  </si>
  <si>
    <t>BS-LSBAT-S260526-0371</t>
  </si>
  <si>
    <t>BS-LSBAT-S260526-0372</t>
  </si>
  <si>
    <t>BS-LSBAT-S260526-0373</t>
  </si>
  <si>
    <t>BS-LSBAT-S260526-0374</t>
  </si>
  <si>
    <t>BS-LSBAT-S260526-0375</t>
  </si>
  <si>
    <t>BS-LSBAT-S260526-0376</t>
  </si>
  <si>
    <t>BS-LSBAT-S260526-0377</t>
  </si>
  <si>
    <t>BS-LSBAT-S260526-0378</t>
  </si>
  <si>
    <t>BS-LSBAT-S260526-0379</t>
  </si>
  <si>
    <t>BS-LSBAT-S260526-0380</t>
  </si>
  <si>
    <t>BS-LSBAT-S260526-0381</t>
  </si>
  <si>
    <t>BS-LSBAT-S260526-0382</t>
  </si>
  <si>
    <t>BS-LSBAT-S260526-0384</t>
  </si>
  <si>
    <t>BS-LSBAT-S260526-0385</t>
  </si>
  <si>
    <t>BS-LSBAT-S260526-0386</t>
  </si>
  <si>
    <t>BS-LSBAT-S260526-0387</t>
  </si>
  <si>
    <t>BS-LSBAT-S260526-0388</t>
  </si>
  <si>
    <t>BS-LSBAT-S260526-0389</t>
  </si>
  <si>
    <t>BS-LSBAT-S260526-0390</t>
  </si>
  <si>
    <t>BS-LSBAT-S260526-0391</t>
  </si>
  <si>
    <t>BS-LSBAT-S260526-0392</t>
  </si>
  <si>
    <t>BS-LSBAT-S260526-0393</t>
  </si>
  <si>
    <t>BS-LSBAT-S260526-0394</t>
  </si>
  <si>
    <t>BS-LSBAT-S260526-0395</t>
  </si>
  <si>
    <t>BS-LSBAT-S260526-0396</t>
  </si>
  <si>
    <t>BS-LSBAT-S260526-0397</t>
  </si>
  <si>
    <t>BS-LSBAT-S260526-0398</t>
  </si>
  <si>
    <t>BS-LSBAT-S260526-0399</t>
  </si>
  <si>
    <t>BS-LSBAT-S260526-0400</t>
  </si>
  <si>
    <t>BS-LSBAT-S260526-0401</t>
  </si>
  <si>
    <t>BS-LSBAT-S260526-0402</t>
  </si>
  <si>
    <t>BS-LSBAT-S260526-0403</t>
  </si>
  <si>
    <t>BS-LSBAT-S260526-0404</t>
  </si>
  <si>
    <t>BS-LSBAT-S260526-0405</t>
  </si>
  <si>
    <t>BS-LSBAT-S260526-0406</t>
  </si>
  <si>
    <t>BS-LSBAT-S260526-0407</t>
  </si>
  <si>
    <t>BS-LSBAT-S260526-0408</t>
  </si>
  <si>
    <t>BS-LSBAT-S260526-0409</t>
  </si>
  <si>
    <t>BS-LSBAT-S260526-0410</t>
  </si>
  <si>
    <t>BS-LSBAT-S260526-0411</t>
  </si>
  <si>
    <t>BS-LSBAT-S260526-0412</t>
  </si>
  <si>
    <t>BS-LSBAT-S260526-0413</t>
  </si>
  <si>
    <t>BS-LSBAT-S260526-0414</t>
  </si>
  <si>
    <t>BS-LSBAT-S260526-0415</t>
  </si>
  <si>
    <t>BS-LSBAT-S260526-0416</t>
  </si>
  <si>
    <t>BS-LSBAT-S260526-0417</t>
  </si>
  <si>
    <t>BS-LSBAT-S260526-0418</t>
  </si>
  <si>
    <t>BS-LSBAT-S260526-0419</t>
  </si>
  <si>
    <t>BS-LSBAT-S260526-0420</t>
  </si>
  <si>
    <t>BS-LSBAT-S260526-0421</t>
  </si>
  <si>
    <t>BS-LSBAT-S260526-0422</t>
  </si>
  <si>
    <t>BS-LSBAT-S260526-0423</t>
  </si>
  <si>
    <t>BS-LSBAT-S260526-0424</t>
  </si>
  <si>
    <t>BS-LSBAT-S260526-0425</t>
  </si>
  <si>
    <t>BS-LSBAT-S260526-0426</t>
  </si>
  <si>
    <t>BS-LSBAT-S260526-0427</t>
  </si>
  <si>
    <t>BS-LSBAT-S260526-0428</t>
  </si>
  <si>
    <t>BS-LSBAT-S260526-0429</t>
  </si>
  <si>
    <t>BS-LSBAT-S260526-0430</t>
  </si>
  <si>
    <t>BS-LSBAT-S260526-0431</t>
  </si>
  <si>
    <t>BS-LSBAT-S260526-0432</t>
  </si>
  <si>
    <t>BS-LSBAT-S260526-0433</t>
  </si>
  <si>
    <t>BS-LSBAT-S260526-0434</t>
  </si>
  <si>
    <t>BS-LSBAT-S260526-0435</t>
  </si>
  <si>
    <t>BS-LSBAT-S260526-0436</t>
  </si>
  <si>
    <t>BS-LSBAT-S260526-0437</t>
  </si>
  <si>
    <t>BS-LSBAT-S260526-0438</t>
  </si>
  <si>
    <t>BS-LSBAT-S260526-0439</t>
  </si>
  <si>
    <t>BS-LSBAT-S260526-0440</t>
  </si>
  <si>
    <t>BS-LSBAT-S260526-0441</t>
  </si>
  <si>
    <t>BS-LSBAT-S260526-0442</t>
  </si>
  <si>
    <t>BS-LSBAT-S260526-0443</t>
  </si>
  <si>
    <t>BS-LSBAT-S260526-0444</t>
  </si>
  <si>
    <t>BS-LSBAT-S260526-0445</t>
  </si>
  <si>
    <t>BS-LSBAT-S260526-0446</t>
  </si>
  <si>
    <t>BS-LSBAT-S260526-0447</t>
  </si>
  <si>
    <t>BS-LSBAT-S260526-0448</t>
  </si>
  <si>
    <t>BS-LSBAT-S260526-0449</t>
  </si>
  <si>
    <t>BS-LSBAT-S260526-0450</t>
  </si>
  <si>
    <t>BS-LSBAT-S260526-0451</t>
  </si>
  <si>
    <t>BS-LSBAT-S260526-0452</t>
  </si>
  <si>
    <t>BS-LSBAT-S260526-0453</t>
  </si>
  <si>
    <t>BS-LSBAT-S260526-0454</t>
  </si>
  <si>
    <t>BS-LSBAT-S260526-0455</t>
  </si>
  <si>
    <t>BS-LSBAT-S260526-0456</t>
  </si>
  <si>
    <t>BS-LSBAT-S260526-0457</t>
  </si>
  <si>
    <t>BS-LSBAT-S260526-0458</t>
  </si>
  <si>
    <t>BS-LSBAT-S260526-0459</t>
  </si>
  <si>
    <t>BS-LSBAT-S260526-0460</t>
  </si>
  <si>
    <t>BS-LSBAT-S260526-0461</t>
  </si>
  <si>
    <t>BS-LSBAT-S260526-0462</t>
  </si>
  <si>
    <t>BS-LSBAT-S260526-0463</t>
  </si>
  <si>
    <t>BS-LSBAT-S260526-0464</t>
  </si>
  <si>
    <t>BS-LSBAT-S260526-0465</t>
  </si>
  <si>
    <t>BS-LSBAT-S260526-0466</t>
  </si>
  <si>
    <t>BS-LSBAT-S260526-0467</t>
  </si>
  <si>
    <t>BS-LSBAT-S260526-0468</t>
  </si>
  <si>
    <t>BS-LSBAT-S260526-0469</t>
  </si>
  <si>
    <t>BS-LSBAT-S260526-0470</t>
  </si>
  <si>
    <t>BS-LSBAT-S260526-0471</t>
  </si>
  <si>
    <t>BS-LSBAT-S260526-0472</t>
  </si>
  <si>
    <t>BS-LSBAT-S260526-0473</t>
  </si>
  <si>
    <t>BS-LSBAT-S260526-0474</t>
  </si>
  <si>
    <t>BS-LSBAT-S260526-0475</t>
  </si>
  <si>
    <t>BS-LSBAT-S260526-0476</t>
  </si>
  <si>
    <t>BS-LSBAT-S260526-0477</t>
  </si>
  <si>
    <t>BS-LSBAT-S260526-0478</t>
  </si>
  <si>
    <t>BS-LSBAT-S260526-0479</t>
  </si>
  <si>
    <t>BS-LSBAT-S260526-0480</t>
  </si>
  <si>
    <t>BS-LSBAT-S260526-0481</t>
  </si>
  <si>
    <t>BS-LSBAT-S260526-0482</t>
  </si>
  <si>
    <t>BS-LSBAT-S260526-0483</t>
  </si>
  <si>
    <t>BS-LSBAT-S260526-0484</t>
  </si>
  <si>
    <t>BS-LSBAT-S260526-0485</t>
  </si>
  <si>
    <t>BS-LSBAT-S260526-0486</t>
  </si>
  <si>
    <t>BS-LSBAT-S260526-0487</t>
  </si>
  <si>
    <t>BS-LSBAT-S260526-0488</t>
  </si>
  <si>
    <t>BS-LSBAT-S260526-0489</t>
  </si>
  <si>
    <t>BS-LSBAT-S260526-0490</t>
  </si>
  <si>
    <t>BS-LSBAT-S260526-0491</t>
  </si>
  <si>
    <t>BS-LSBAT-S260526-0492</t>
  </si>
  <si>
    <t>BS-LSBAT-S260526-0493</t>
  </si>
  <si>
    <t>BS-LSBAT-S260526-0494</t>
  </si>
  <si>
    <t>BS-LSBAT-S260526-0495</t>
  </si>
  <si>
    <t>BS-LSBAT-S260526-0496</t>
  </si>
  <si>
    <t>BS-LSBAT-S260526-0497</t>
  </si>
  <si>
    <t>BS-LSBAT-S260526-0498</t>
  </si>
  <si>
    <t>BS-LSBAT-S260526-0499</t>
  </si>
  <si>
    <t>BS-LSBAT-S260526-0500</t>
  </si>
  <si>
    <t>BS-LSBAT-S260526-0501</t>
  </si>
  <si>
    <t>BS-LSBAT-S260526-0502</t>
  </si>
  <si>
    <t>BS-LSBAT-S260526-0503</t>
  </si>
  <si>
    <t>BS-LSBAT-S260526-0504</t>
  </si>
  <si>
    <t>BS-LSBAT-S260526-0505</t>
  </si>
  <si>
    <t>BS-LSBAT-S260526-0506</t>
  </si>
  <si>
    <t>BS-LSBAT-S260526-0507</t>
  </si>
  <si>
    <t>BS-LSBAT-S260526-0508</t>
  </si>
  <si>
    <t>BS-LSBAT-S260526-0509</t>
  </si>
  <si>
    <t>BS-LSBAT-S260526-0510</t>
  </si>
  <si>
    <t>BS-LSBAT-S260526-0511</t>
  </si>
  <si>
    <t>BS-LSBAT-S260526-0512</t>
  </si>
  <si>
    <t>BS-LSBAT-S260526-0513</t>
  </si>
  <si>
    <t>BS-LSBAT-S260526-0514</t>
  </si>
  <si>
    <t>BS-LSBAT-S260526-0515</t>
  </si>
  <si>
    <t>BS-LSBAT-S260526-0516</t>
  </si>
  <si>
    <t>BS-LSBAT-S260526-0517</t>
  </si>
  <si>
    <t>BS-LSBAT-S260526-0518</t>
  </si>
  <si>
    <t>BS-LSBAT-S260526-0519</t>
  </si>
  <si>
    <t>BS-LSBAT-S260526-0520</t>
  </si>
  <si>
    <t>BS-LSBAT-S260526-0521</t>
  </si>
  <si>
    <t>BS-LSBAT-S260526-0522</t>
  </si>
  <si>
    <t>BS-LSBAT-S260526-0523</t>
  </si>
  <si>
    <t>BS-LSBAT-S260526-0524</t>
  </si>
  <si>
    <t>BS-LSBAT-S260526-0525</t>
  </si>
  <si>
    <t>BS-LSBAT-S260526-0526</t>
  </si>
  <si>
    <t>BS-LSBAT-S260526-0527</t>
  </si>
  <si>
    <t>BS-LSBAT-S260526-0528</t>
  </si>
  <si>
    <t>BS-LSBAT-S260526-0529</t>
  </si>
  <si>
    <t>BS-LSBAT-S260526-0530</t>
  </si>
  <si>
    <t>BS-LSBAT-S260526-0531</t>
  </si>
  <si>
    <t>BS-LSBAT-S260526-0532</t>
  </si>
  <si>
    <t>BS-LSBAT-S260526-0533</t>
  </si>
  <si>
    <t>BS-LSBAT-S260526-0534</t>
  </si>
  <si>
    <t>BS-LSBAT-S260526-0535</t>
  </si>
  <si>
    <t>BS-LSBAT-S260526-0536</t>
  </si>
  <si>
    <t>BS-LSBAT-S260526-0537</t>
  </si>
  <si>
    <t>BS-LSBAT-S260526-0538</t>
  </si>
  <si>
    <t>BS-LSBAT-S260526-0539</t>
  </si>
  <si>
    <t>BS-LSBAT-S260526-0540</t>
  </si>
  <si>
    <t>BS-LSBAT-S260526-0541</t>
  </si>
  <si>
    <t>BS-LSBAT-S260526-0542</t>
  </si>
  <si>
    <t>BS-LSBAT-S260526-0543</t>
  </si>
  <si>
    <t>BS-LSBAT-S260526-0544</t>
  </si>
  <si>
    <t>BS-LSBAT-S260526-0545</t>
  </si>
  <si>
    <t>BS-LSBAT-S260526-0546</t>
  </si>
  <si>
    <t>BS-LSBAT-S260526-0547</t>
  </si>
  <si>
    <t>BS-LSBAT-S260526-0548</t>
  </si>
  <si>
    <t>BS-LSBAT-S260526-0549</t>
  </si>
  <si>
    <t>BS-LSBAT-S260526-0550</t>
  </si>
  <si>
    <t>BS-LSBAT-S260526-0551</t>
  </si>
  <si>
    <t>BS-LSBAT-S260526-0552</t>
  </si>
  <si>
    <t>BS-LSBAT-S260526-0553</t>
  </si>
  <si>
    <t>BS-LSBAT-S260526-0554</t>
  </si>
  <si>
    <t>BS-LSBAT-S260526-0555</t>
  </si>
  <si>
    <t>BS-LSBAT-S260526-0556</t>
  </si>
  <si>
    <t>BS-LSBAT-S260526-0557</t>
  </si>
  <si>
    <t>BS-LSBAT-S260526-0558</t>
  </si>
  <si>
    <t>BS-LSBAT-S260526-0559</t>
  </si>
  <si>
    <t>BS-LSBAT-S260526-0560</t>
  </si>
  <si>
    <t>BS-LSBAT-S260526-0561</t>
  </si>
  <si>
    <t>BS-LSBAT-S260526-0562</t>
  </si>
  <si>
    <t>BS-LSBAT-S260526-0563</t>
  </si>
  <si>
    <t>BS-LSBAT-S260526-0564</t>
  </si>
  <si>
    <t>BS-LSBAT-S260526-0565</t>
  </si>
  <si>
    <t>BS-LSBAT-S260526-0566</t>
  </si>
  <si>
    <t>BS-LSBAT-S260526-0567</t>
  </si>
  <si>
    <t>BS-LSBAT-S260526-0568</t>
  </si>
  <si>
    <t>BS-LSBAT-S260526-0569</t>
  </si>
  <si>
    <t>BS-LSBAT-S260526-0570</t>
  </si>
  <si>
    <t>BS-LSBAT-S260526-0571</t>
  </si>
  <si>
    <t>BS-LSBAT-S260526-0572</t>
  </si>
  <si>
    <t>BS-LSBAT-S260526-0573</t>
  </si>
  <si>
    <t>BS-LSBAT-S260526-0574</t>
  </si>
  <si>
    <t>BS-LSBAT-S260526-0575</t>
  </si>
  <si>
    <t>BS-LSBAT-S260526-0576</t>
  </si>
  <si>
    <t>BS-LSBAT-S260526-0577</t>
  </si>
  <si>
    <t>BS-LSBAT-S260526-0578</t>
  </si>
  <si>
    <t>BS-LSBAT-S260526-0579</t>
  </si>
  <si>
    <t>BS-LSBAT-S260526-0580</t>
  </si>
  <si>
    <t>BS-LSBAT-S260526-0581</t>
  </si>
  <si>
    <t>BS-LSBAT-S260526-0582</t>
  </si>
  <si>
    <t>BS-LSBAT-S260526-0583</t>
  </si>
  <si>
    <t>BS-LSBAT-S260526-0584</t>
  </si>
  <si>
    <t>BS-LSBAT-S260526-0585</t>
  </si>
  <si>
    <t>BS-LSBAT-S260526-0586</t>
  </si>
  <si>
    <t>BS-LSBAT-S260526-0587</t>
  </si>
  <si>
    <t>BS-LSBAT-S260526-0588</t>
  </si>
  <si>
    <t>BS-LSBAT-S260526-0589</t>
  </si>
  <si>
    <t>BS-LSBAT-S260526-0590</t>
  </si>
  <si>
    <t>BS-LSBAT-S260526-0591</t>
  </si>
  <si>
    <t>BS-LSBAT-S260526-0592</t>
  </si>
  <si>
    <t>BS-LSBAT-S260526-0593</t>
  </si>
  <si>
    <t>BS-LSBAT-S260526-0594</t>
  </si>
  <si>
    <t>BS-LSBAT-S260526-0595</t>
  </si>
  <si>
    <t>BS-LSBAT-S260526-0596</t>
  </si>
  <si>
    <t>BS-LSBAT-S260526-0597</t>
  </si>
  <si>
    <t>BS-LSBAT-S260526-0598</t>
  </si>
  <si>
    <t>BS-LSBAT-S260526-0599</t>
  </si>
  <si>
    <t>BS-LSBAT-S260526-0600</t>
  </si>
  <si>
    <t>BS-LSBAT-S260526-0601</t>
  </si>
  <si>
    <t>BS-LSBAT-S260526-0602</t>
  </si>
  <si>
    <t>BS-LSBAT-S260526-0603</t>
  </si>
  <si>
    <t>BS-LSBAT-S260526-0604</t>
  </si>
  <si>
    <t>BS-LSBAT-S260526-0605</t>
  </si>
  <si>
    <t>BS-LSBAT-S260526-0606</t>
  </si>
  <si>
    <t>BS-LSBAT-S260526-0607</t>
  </si>
  <si>
    <t>BS-LSBAT-S260526-0608</t>
  </si>
  <si>
    <t>BS-LSBAT-S260526-0609</t>
  </si>
  <si>
    <t>BS-LSBAT-S260526-0610</t>
  </si>
  <si>
    <t>BS-LSBAT-S260526-0611</t>
  </si>
  <si>
    <t>BS-LSBAT-S260526-0612</t>
  </si>
  <si>
    <t>BS-LSBAT-S260526-0613</t>
  </si>
  <si>
    <t>BS-LSBAT-S260526-0614</t>
  </si>
  <si>
    <t>BS-LSBAT-S260526-0615</t>
  </si>
  <si>
    <t>BS-LSBAT-S260526-0616</t>
  </si>
  <si>
    <t>BS-LSBAT-S260526-0617</t>
  </si>
  <si>
    <t>BS-LSBAT-S260526-0618</t>
  </si>
  <si>
    <t>BS-LSBAT-S260526-0619</t>
  </si>
  <si>
    <t>BS-LSBAT-S260526-0620</t>
  </si>
  <si>
    <t>BS-LSBAT-S260526-0621</t>
  </si>
  <si>
    <t>BS-LSBAT-S260526-0622</t>
  </si>
  <si>
    <t>BS-LSBAT-S260526-0623</t>
  </si>
  <si>
    <t>BS-LSBAT-S260526-0624</t>
  </si>
  <si>
    <t>BS-LSBAT-S260526-0625</t>
  </si>
  <si>
    <t>BS-LSBAT-S260526-0626</t>
  </si>
  <si>
    <t>BS-LSBAT-S260526-0627</t>
  </si>
  <si>
    <t>BS-LSBAT-S260526-0628</t>
  </si>
  <si>
    <t>BS-LSBAT-S260526-0629</t>
  </si>
  <si>
    <t>BS-LSBAT-S260526-0630</t>
  </si>
  <si>
    <t>BS-LSBAT-S260526-0631</t>
  </si>
  <si>
    <t>BS-LSBAT-S260526-0632</t>
  </si>
  <si>
    <t>BS-LSBAT-S260526-0633</t>
  </si>
  <si>
    <t>BS-LSBAT-S260526-0634</t>
  </si>
  <si>
    <t>BS-LSBAT-S260526-0635</t>
  </si>
  <si>
    <t>BS-LSBAT-S260526-0636</t>
  </si>
  <si>
    <t>BS-LSBAT-S260526-0637</t>
  </si>
  <si>
    <t>BS-LSBAT-S260526-0638</t>
  </si>
  <si>
    <t>BS-LSBAT-S260526-0639</t>
  </si>
  <si>
    <t>BS-LSBAT-S260526-0640</t>
  </si>
  <si>
    <t>BS-LSBAT-S260526-0641</t>
  </si>
  <si>
    <t>BS-LSBAT-S260526-0642</t>
  </si>
  <si>
    <t>BS-LSBAT-S260526-0643</t>
  </si>
  <si>
    <t>BS-LSBAT-S260526-0644</t>
  </si>
  <si>
    <t>BS-LSBAT-S260526-0645</t>
  </si>
  <si>
    <t>BS-LSBAT-S260526-0646</t>
  </si>
  <si>
    <t>BS-LSBAT-S260526-0647</t>
  </si>
  <si>
    <t>BS-LSBAT-S260526-0648</t>
  </si>
  <si>
    <t>BS-LSBAT-S260526-0649</t>
  </si>
  <si>
    <t>BS-LSBAT-S260526-0650</t>
  </si>
  <si>
    <t>BS-LSBAT-S260526-0651</t>
  </si>
  <si>
    <t>BS-LSBAT-S260526-0652</t>
  </si>
  <si>
    <t>BS-LSBAT-S260526-0653</t>
  </si>
  <si>
    <t>BS-LSBAT-S260526-0654</t>
  </si>
  <si>
    <t>BS-LSBAT-S260526-0655</t>
  </si>
  <si>
    <t>BS-LSBAT-S260526-0656</t>
  </si>
  <si>
    <t>BS-LSBAT-S260526-0657</t>
  </si>
  <si>
    <t>BS-LSBAT-S260526-0658</t>
  </si>
  <si>
    <t>BS-LSBAT-S260526-0659</t>
  </si>
  <si>
    <t>BS-LSBAT-S260526-0660</t>
  </si>
  <si>
    <t>BS-LSBAT-S260526-0661</t>
  </si>
  <si>
    <t>BS-LSBAT-S260526-0662</t>
  </si>
  <si>
    <t>BS-LSBAT-S260526-0663</t>
  </si>
  <si>
    <t>BS-LSBAT-S260526-0664</t>
  </si>
  <si>
    <t>BS-LSBAT-S260526-0665</t>
  </si>
  <si>
    <t>BS-LSBAT-S260526-0666</t>
  </si>
  <si>
    <t>BS-LSBAT-S260526-0667</t>
  </si>
  <si>
    <t>BS-LSBAT-S260526-0668</t>
  </si>
  <si>
    <t>BS-LSBAT-S260526-0669</t>
  </si>
  <si>
    <t>BS-LSBAT-S260526-0670</t>
  </si>
  <si>
    <t>BS-LSBAT-S260526-0671</t>
  </si>
  <si>
    <t>BS-LSBAT-S260526-0672</t>
  </si>
  <si>
    <t>BS-LSBAT-S260526-0673</t>
  </si>
  <si>
    <t>BS-LSBAT-S260526-0674</t>
  </si>
  <si>
    <t>BS-LSBAT-S260526-0675</t>
  </si>
  <si>
    <t>BS-LSBAT-S260526-0676</t>
  </si>
  <si>
    <t>BS-LSBAT-S260526-0677</t>
  </si>
  <si>
    <t>BS-LSBAT-S260526-0678</t>
  </si>
  <si>
    <t>BS-LSBAT-S260526-0679</t>
  </si>
  <si>
    <t>BS-LSBAT-S260526-0680</t>
  </si>
  <si>
    <t>BS-LSBAT-S260526-0681</t>
  </si>
  <si>
    <t>BS-LSBAT-S260526-0682</t>
  </si>
  <si>
    <t>BS-LSBAT-S260526-0683</t>
  </si>
  <si>
    <t>BS-LSBAT-S260526-0684</t>
  </si>
  <si>
    <t>BS-LSBAT-S260526-0685</t>
  </si>
  <si>
    <t>BS-LSBAT-S260526-0686</t>
  </si>
  <si>
    <t>BS-LSBAT-S260526-0687</t>
  </si>
  <si>
    <t>BS-LSBAT-S260526-0688</t>
  </si>
  <si>
    <t>BS-LSBAT-S260526-0689</t>
  </si>
  <si>
    <t>BS-LSBAT-S260526-0690</t>
  </si>
  <si>
    <t>BS-LSBAT-S260526-0691</t>
  </si>
  <si>
    <t>BS-LSBAT-S260526-0692</t>
  </si>
  <si>
    <t>BS-LSBAT-S260526-0693</t>
  </si>
  <si>
    <t>BS-LSBAT-S260526-0694</t>
  </si>
  <si>
    <t>BS-LSBAT-S260526-0695</t>
  </si>
  <si>
    <t>BS-LSBAT-S260526-0696</t>
  </si>
  <si>
    <t>BS-LSBAT-S260526-0697</t>
  </si>
  <si>
    <t>BS-LSBAT-S260526-0698</t>
  </si>
  <si>
    <t>BS-LSBAT-S260526-0699</t>
  </si>
  <si>
    <t>BS-LSBAT-S260526-0700</t>
  </si>
  <si>
    <t>BS-LSBAT-S260526-0701</t>
  </si>
  <si>
    <t>BS-LSBAT-S260526-0702</t>
  </si>
  <si>
    <t>BS-LSBAT-S260526-0703</t>
  </si>
  <si>
    <t>BS-LSBAT-S260526-0704</t>
  </si>
  <si>
    <t>BS-LSBAT-S260526-0705</t>
  </si>
  <si>
    <t>BS-LSBAT-S260526-0706</t>
  </si>
  <si>
    <t>BS-LSBAT-S260526-0707</t>
  </si>
  <si>
    <t>BS-LSBAT-S260526-0708</t>
  </si>
  <si>
    <t>BS-LSBAT-S260526-0709</t>
  </si>
  <si>
    <t>BS-LSBAT-S260526-0710</t>
  </si>
  <si>
    <t>BS-LSBAT-S260526-0711</t>
  </si>
  <si>
    <t>BS-LSBAT-S260526-0712</t>
  </si>
  <si>
    <t>BS-LSBAT-S260526-0713</t>
  </si>
  <si>
    <t>BS-LSBAT-S260526-0714</t>
  </si>
  <si>
    <t>BS-LSBAT-S260526-0715</t>
  </si>
  <si>
    <t>BS-LSBAT-S260526-0716</t>
  </si>
  <si>
    <t>BS-LSBAT-S260526-0717</t>
  </si>
  <si>
    <t>BS-LSBAT-S260526-0718</t>
  </si>
  <si>
    <t>BS-LSBAT-S260526-0719</t>
  </si>
  <si>
    <t>BS-LSBAT-S260526-0720</t>
  </si>
  <si>
    <t>BS-LSBAT-S260526-0721</t>
  </si>
  <si>
    <t>BS-LSBAT-S260526-0722</t>
  </si>
  <si>
    <t>BS-LSBAT-S260526-0723</t>
  </si>
  <si>
    <t>BS-LSBAT-S260526-0724</t>
  </si>
  <si>
    <t>BS-LSBAT-S260526-0725</t>
  </si>
  <si>
    <t>BS-LSBAT-S260526-0726</t>
  </si>
  <si>
    <t>BS-LSBAT-S260526-0727</t>
  </si>
  <si>
    <t>BS-LSBAT-S260526-0728</t>
  </si>
  <si>
    <t>BS-LSBAT-S260526-0729</t>
  </si>
  <si>
    <t>BS-LSBAT-S260526-0730</t>
  </si>
  <si>
    <t>BS-LSBAT-S260526-0731</t>
  </si>
  <si>
    <t>BS-LSBAT-S260526-0732</t>
  </si>
  <si>
    <t>BS-LSBAT-S260526-0733</t>
  </si>
  <si>
    <t>BS-LSBAT-S260526-0734</t>
  </si>
  <si>
    <t>BS-LSBAT-S260526-0735</t>
  </si>
  <si>
    <t>BS-LSBAT-S260526-0736</t>
  </si>
  <si>
    <t>BS-LSBAT-S260526-0737</t>
  </si>
  <si>
    <t>BS-LSBAT-S260526-0738</t>
  </si>
  <si>
    <t>BS-LSBAT-S260526-0739</t>
  </si>
  <si>
    <t>BS-LSBAT-S260526-0740</t>
  </si>
  <si>
    <t>BS-LSBAT-S260526-0741</t>
  </si>
  <si>
    <t>BS-LSBAT-S260526-0742</t>
  </si>
  <si>
    <t>BS-LSBAT-S260526-0743</t>
  </si>
  <si>
    <t>BS-LSBAT-S260526-0744</t>
  </si>
  <si>
    <t>BS-LSBAT-S260526-0745</t>
  </si>
  <si>
    <t>BS-LSBAT-S260526-0746</t>
  </si>
  <si>
    <t>BS-LSBAT-S260526-0747</t>
  </si>
  <si>
    <t>BS-LSBAT-S260526-0748</t>
  </si>
  <si>
    <t>BS-LSBAT-S260526-0749</t>
  </si>
  <si>
    <t>BS-LSBAT-S260526-0750</t>
  </si>
  <si>
    <t>BS-LSBAT-S260526-0751</t>
  </si>
  <si>
    <t>BS-LSBAT-S260526-0752</t>
  </si>
  <si>
    <t>BS-LSBAT-S260526-0753</t>
  </si>
  <si>
    <t>BS-LSBAT-S260526-0754</t>
  </si>
  <si>
    <t>BS-LSBAT-S260526-0755</t>
  </si>
  <si>
    <t>BS-LSBAT-S260526-0756</t>
  </si>
  <si>
    <t>BS-LSBAT-S260526-0757</t>
  </si>
  <si>
    <t>BS-LSBAT-S260526-0758</t>
  </si>
  <si>
    <t>BS-LSBAT-S260526-0759</t>
  </si>
  <si>
    <t>BS-LSBAT-S260526-0760</t>
  </si>
  <si>
    <t>BS-LSBAT-S260526-0761</t>
  </si>
  <si>
    <t>BS-LSBAT-S260526-0762</t>
  </si>
  <si>
    <t>BS-LSBAT-S260526-0763</t>
  </si>
  <si>
    <t>BS-LSBAT-S260526-0764</t>
  </si>
  <si>
    <t>BS-LSBAT-S260526-0765</t>
  </si>
  <si>
    <t>BS-LSBAT-S260526-0766</t>
  </si>
  <si>
    <t>BS-LSBAT-S260526-0767</t>
  </si>
  <si>
    <t>BS-LSBAT-S260526-0768</t>
  </si>
  <si>
    <t>BS-LSBAT-S260526-0769</t>
  </si>
  <si>
    <t>BS-LSBAT-S260526-0770</t>
  </si>
  <si>
    <t>BS-LSBAT-S260526-0771</t>
  </si>
  <si>
    <t>BS-LSBAT-S260526-0772</t>
  </si>
  <si>
    <t>BS-LSBAT-S260526-0773</t>
  </si>
  <si>
    <t>BS-LSBAT-S260526-0774</t>
  </si>
  <si>
    <t>BS-LSBAT-S260526-0775</t>
  </si>
  <si>
    <t>BS-LSBAT-S260526-0776</t>
  </si>
  <si>
    <t>BS-LSBAT-S260526-0777</t>
  </si>
  <si>
    <t>BS-LSBAT-S260526-0778</t>
  </si>
  <si>
    <t>BS-LSBAT-S260526-0779</t>
  </si>
  <si>
    <t>BS-LSBAT-S260526-0780</t>
  </si>
  <si>
    <t>BS-LSBAT-S260526-0781</t>
  </si>
  <si>
    <t>BS-LSBAT-S260526-0782</t>
  </si>
  <si>
    <t>BS-LSBAT-S260526-0783</t>
  </si>
  <si>
    <t>BS-LSBAT-S260526-0784</t>
  </si>
  <si>
    <t>BS-LSBAT-S260526-0785</t>
  </si>
  <si>
    <t>BS-LSBAT-S260526-0786</t>
  </si>
  <si>
    <t>BS-LSBAT-S260526-0787</t>
  </si>
  <si>
    <t>BS-LSBAT-S260526-0788</t>
  </si>
  <si>
    <t>BS-LSBAT-S260526-0789</t>
  </si>
  <si>
    <t>BS-LSBAT-S260526-0790</t>
  </si>
  <si>
    <t>BS-LSBAT-S260526-0791</t>
  </si>
  <si>
    <t>BS-LSBAT-S260526-0792</t>
  </si>
  <si>
    <t>BS-LSBAT-S260526-0793</t>
  </si>
  <si>
    <t>BS-LSBAT-S260526-0794</t>
  </si>
  <si>
    <t>BS-LSBAT-S260526-0795</t>
  </si>
  <si>
    <t>BS-LSBAT-S260526-0796</t>
  </si>
  <si>
    <t>BS-LSBAT-S260526-0797</t>
  </si>
  <si>
    <t>BS-LSBAT-S260526-0798</t>
  </si>
  <si>
    <t>BS-LSBAT-S260526-0799</t>
  </si>
  <si>
    <t>BS-LSBAT-S260526-0800</t>
  </si>
  <si>
    <t>BS-LSBAT-S260526-0801</t>
  </si>
  <si>
    <t>BS-LSBAT-S260526-0802</t>
  </si>
  <si>
    <t>BS-LSBAT-S260526-0803</t>
  </si>
  <si>
    <t>BS-LSBAT-S260526-0804</t>
  </si>
  <si>
    <t>BS-LSBAT-S260526-0805</t>
  </si>
  <si>
    <t>BS-LSBAT-S260526-0806</t>
  </si>
  <si>
    <t>BS-LSBAT-S260526-0807</t>
  </si>
  <si>
    <t>BS-LSBAT-S260526-0808</t>
  </si>
  <si>
    <t>BS-LSBAT-S260526-0809</t>
  </si>
  <si>
    <t>BS-LSBAT-S260526-0810</t>
  </si>
  <si>
    <t>BS-LSBAT-S260526-0811</t>
  </si>
  <si>
    <t>BS-LSBAT-S260526-0812</t>
  </si>
  <si>
    <t>BS-LSBAT-S260526-0813</t>
  </si>
  <si>
    <t>BS-LSBAT-S260526-0814</t>
  </si>
  <si>
    <t>BS-LSBAT-S260526-0815</t>
  </si>
  <si>
    <t>BS-LSBAT-S260526-0816</t>
  </si>
  <si>
    <t>BS-LSBAT-S260526-0817</t>
  </si>
  <si>
    <t>BS-LSBAT-S260526-0818</t>
  </si>
  <si>
    <t>BS-LSBAT-S260526-0819</t>
  </si>
  <si>
    <t>BS-LSBAT-S260526-0820</t>
  </si>
  <si>
    <t>BS-LSBAT-S260526-0821</t>
  </si>
  <si>
    <t>BS-LSBAT-S260526-0822</t>
  </si>
  <si>
    <t>BS-LSBAT-S260526-0823</t>
  </si>
  <si>
    <t>BS-LSBAT-S260526-0824</t>
  </si>
  <si>
    <t>BS-LSBAT-S260526-0825</t>
  </si>
  <si>
    <t>BS-LSBAT-S260526-0826</t>
  </si>
  <si>
    <t>BS-LSBAT-S260526-0827</t>
  </si>
  <si>
    <t>BS-LSBAT-S260526-0828</t>
  </si>
  <si>
    <t>BS-LSBAT-S260526-0829</t>
  </si>
  <si>
    <t>BS-LSBAT-S260526-0830</t>
  </si>
  <si>
    <t>BS-LSBAT-S260526-0831</t>
  </si>
  <si>
    <t>BS-LSBAT-S260526-0832</t>
  </si>
  <si>
    <t>BS-LSBAT-S260526-0833</t>
  </si>
  <si>
    <t>BS-LSBAT-S260526-0834</t>
  </si>
  <si>
    <t>BS-LSBAT-S260526-0835</t>
  </si>
  <si>
    <t>BS-LSBAT-S260526-0836</t>
  </si>
  <si>
    <t>BS-LSBAT-S260526-0837</t>
  </si>
  <si>
    <t>BS-LSBAT-S260526-0838</t>
  </si>
  <si>
    <t>BS-LSBAT-S260526-0839</t>
  </si>
  <si>
    <t>BS-LSBAT-S260526-0840</t>
  </si>
  <si>
    <t>BS-LSBAT-S260526-0841</t>
  </si>
  <si>
    <t>BS-LSBAT-S260526-0842</t>
  </si>
  <si>
    <t>BS-LSBAT-S260526-0843</t>
  </si>
  <si>
    <t>BS-LSBAT-S260526-0844</t>
  </si>
  <si>
    <t>BS-LSBAT-S260526-0845</t>
  </si>
  <si>
    <t>BS-LSBAT-S260526-0846</t>
  </si>
  <si>
    <t>BS-LSBAT-S260526-0847</t>
  </si>
  <si>
    <t>BS-LSBAT-S260526-0848</t>
  </si>
  <si>
    <t>BS-LSBAT-S260526-0849</t>
  </si>
  <si>
    <t>BS-LSBAT-S260526-0850</t>
  </si>
  <si>
    <t>BS-LSBAT-S260526-0851</t>
  </si>
  <si>
    <t>BS-LSBAT-S260526-0852</t>
  </si>
  <si>
    <t>BS-LSBAT-S260526-0853</t>
  </si>
  <si>
    <t>BS-LSBAT-S260526-0854</t>
  </si>
  <si>
    <t>BS-LSBAT-S260526-0855</t>
  </si>
  <si>
    <t>BS-LSBAT-S260526-0856</t>
  </si>
  <si>
    <t>BS-LSBAT-S260526-0857</t>
  </si>
  <si>
    <t>BS-LSBAT-S260526-0858</t>
  </si>
  <si>
    <t>BS-LSBAT-S260526-0859</t>
  </si>
  <si>
    <t>BS-LSBAT-S260526-0860</t>
  </si>
  <si>
    <t>BS-LSBAT-S260526-0861</t>
  </si>
  <si>
    <t>BS-LSBAT-S260526-0862</t>
  </si>
  <si>
    <t>BS-LSBAT-S260526-0863</t>
  </si>
  <si>
    <t>BS-LSBAT-S260526-0864</t>
  </si>
  <si>
    <t>BS-LSBAT-S260526-0865</t>
  </si>
  <si>
    <t>BS-LSBAT-S260526-0866</t>
  </si>
  <si>
    <t>BS-LSBAT-S260526-0867</t>
  </si>
  <si>
    <t>BS-LSBAT-S260526-0868</t>
  </si>
  <si>
    <t>BS-LSBAT-S260526-0869</t>
  </si>
  <si>
    <t>BS-LSBAT-S260526-0870</t>
  </si>
  <si>
    <t>BS-LSBAT-S260526-0871</t>
  </si>
  <si>
    <t>BS-LSBAT-S260526-0872</t>
  </si>
  <si>
    <t>BS-LSBAT-S260526-0873</t>
  </si>
  <si>
    <t>BS-LSBAT-S260526-0874</t>
  </si>
  <si>
    <t>BS-LSBAT-S260526-0875</t>
  </si>
  <si>
    <t>BS-LSBAT-S260526-0876</t>
  </si>
  <si>
    <t>BS-LSBAT-S260526-0877</t>
  </si>
  <si>
    <t>BS-LSBAT-S260526-0878</t>
  </si>
  <si>
    <t>BS-LSBAT-S260526-0879</t>
  </si>
  <si>
    <t>BS-LSBAT-S260526-0880</t>
  </si>
  <si>
    <t>BS-LSBAT-S260526-0881</t>
  </si>
  <si>
    <t>BS-LSBAT-S260526-0882</t>
  </si>
  <si>
    <t>BS-LSBAT-S260526-0883</t>
  </si>
  <si>
    <t>BS-LSBAT-S260526-0884</t>
  </si>
  <si>
    <t>BS-LSBAT-S260526-0885</t>
  </si>
  <si>
    <t>BS-LSBAT-S260526-0886</t>
  </si>
  <si>
    <t>BS-LSBAT-S260526-0887</t>
  </si>
  <si>
    <t>BS-LSBAT-S260526-0888</t>
  </si>
  <si>
    <t>BS-LSBAT-S260526-0889</t>
  </si>
  <si>
    <t>BS-LSBAT-S260526-0890</t>
  </si>
  <si>
    <t>BS-LSBAT-S260526-0891</t>
  </si>
  <si>
    <t>BS-LSBAT-S260526-0892</t>
  </si>
  <si>
    <t>BS-LSBAT-S260526-0893</t>
  </si>
  <si>
    <t>BS-LSBAT-S260526-0894</t>
  </si>
  <si>
    <t>BS-LSBAT-S260526-0895</t>
  </si>
  <si>
    <t>BS-LSBAT-S260526-0896</t>
  </si>
  <si>
    <t>BS-LSBAT-S260526-0897</t>
  </si>
  <si>
    <t>BS-LSBAT-S260526-0898</t>
  </si>
  <si>
    <t>BS-LSBAT-S260526-0899</t>
  </si>
  <si>
    <t>BS-LSBAT-S260526-0900</t>
  </si>
  <si>
    <t>BS-LSBAT-S260526-0901</t>
  </si>
  <si>
    <t>BS-LSBAT-S260526-0902</t>
  </si>
  <si>
    <t>BS-LSBAT-S260526-0903</t>
  </si>
  <si>
    <t>BS-LSBAT-S260526-0904</t>
  </si>
  <si>
    <t>BS-LSBAT-S260526-0905</t>
  </si>
  <si>
    <t>BS-LSBAT-S260526-0906</t>
  </si>
  <si>
    <t>BS-LSBAT-S260526-0907</t>
  </si>
  <si>
    <t>BS-LSBAT-S260526-0908</t>
  </si>
  <si>
    <t>BS-LSBAT-S260526-0909</t>
  </si>
  <si>
    <t>BS-LSBAT-S260526-0910</t>
  </si>
  <si>
    <t>BS-LSBAT-S260526-0911</t>
  </si>
  <si>
    <t>BS-LSBAT-S260526-0912</t>
  </si>
  <si>
    <t>BS-LSBAT-S260526-0913</t>
  </si>
  <si>
    <t>BS-LSBAT-S260526-0914</t>
  </si>
  <si>
    <t>BS-LSBAT-S260526-0915</t>
  </si>
  <si>
    <t>BS-LSBAT-S260526-0916</t>
  </si>
  <si>
    <t>BS-LSBAT-S260526-0917</t>
  </si>
  <si>
    <t>BS-LSBAT-S260526-0918</t>
  </si>
  <si>
    <t>BS-LSBAT-S260526-0919</t>
  </si>
  <si>
    <t>BS-LSBAT-S260526-0920</t>
  </si>
  <si>
    <t>BS-LSBAT-S260526-0921</t>
  </si>
  <si>
    <t>BS-LSBAT-S260526-0922</t>
  </si>
  <si>
    <t>BS-LSBAT-S260526-0923</t>
  </si>
  <si>
    <t>BS-LSBAT-S260526-0924</t>
  </si>
  <si>
    <t>BS-LSBAT-S260526-0925</t>
  </si>
  <si>
    <t>BS-LSBAT-S260526-0926</t>
  </si>
  <si>
    <t>BS-LSBAT-S260526-0927</t>
  </si>
  <si>
    <t>BS-LSBAT-S260526-0928</t>
  </si>
  <si>
    <t>BS-LSBAT-S260526-0929</t>
  </si>
  <si>
    <t>BS-LSBAT-S260526-0930</t>
  </si>
  <si>
    <t>BS-LSBAT-S260526-0931</t>
  </si>
  <si>
    <t>BS-LSBAT-S260526-0932</t>
  </si>
  <si>
    <t>BS-LSBAT-S260526-0933</t>
  </si>
  <si>
    <t>BS-LSBAT-S260526-0934</t>
  </si>
  <si>
    <t>BS-LSBAT-S260526-0935</t>
  </si>
  <si>
    <t>BS-LSBAT-S260526-0936</t>
  </si>
  <si>
    <t>BS-LSBAT-S260526-0937</t>
  </si>
  <si>
    <t>BS-LSBAT-S260526-0938</t>
  </si>
  <si>
    <t>BS-LSBAT-S260526-0939</t>
  </si>
  <si>
    <t>BS-LSBAT-S260526-0940</t>
  </si>
  <si>
    <t>BS-LSBAT-S260526-0941</t>
  </si>
  <si>
    <t>BS-LSBAT-S260526-0942</t>
  </si>
  <si>
    <t>BS-LSBAT-S260526-0943</t>
  </si>
  <si>
    <t>BS-LSBAT-S260526-0944</t>
  </si>
  <si>
    <t>BS-LSBAT-S260526-0945</t>
  </si>
  <si>
    <t>BS-LSBAT-S260526-0946</t>
  </si>
  <si>
    <t>BS-LSBAT-S260526-0947</t>
  </si>
  <si>
    <t>BS-LSBAT-S260526-0948</t>
  </si>
  <si>
    <t>BS-LSBAT-S260526-0949</t>
  </si>
  <si>
    <t>BS-LSBAT-S260526-0950</t>
  </si>
  <si>
    <t>BS-LSBAT-S260526-0951</t>
  </si>
  <si>
    <t>BS-LSBAT-S260526-0952</t>
  </si>
  <si>
    <t>BS-LSBAT-S260526-0953</t>
  </si>
  <si>
    <t>BS-LSBAT-S260526-0954</t>
  </si>
  <si>
    <t>BS-LSBAT-S260526-0955</t>
  </si>
  <si>
    <t>BS-LSBAT-S260526-0956</t>
  </si>
  <si>
    <t>BS-LSBAT-S260526-0957</t>
  </si>
  <si>
    <t>BS-LSBAT-S260526-0958</t>
  </si>
  <si>
    <t>BS-LSBAT-S260526-0959</t>
  </si>
  <si>
    <t>BS-LSBAT-S260526-0960</t>
  </si>
  <si>
    <t>BS-LSBAT-S260526-0961</t>
  </si>
  <si>
    <t>BS-LSBAT-S260526-0962</t>
  </si>
  <si>
    <t>BS-LSBAT-S260526-0963</t>
  </si>
  <si>
    <t>BS-LSBAT-S260526-0964</t>
  </si>
  <si>
    <t>BS-LSBAT-S260526-0965</t>
  </si>
  <si>
    <t>BS-LSBAT-S260526-0966</t>
  </si>
  <si>
    <t>BS-LSBAT-S260526-0967</t>
  </si>
  <si>
    <t>BS-LSBAT-S260526-0968</t>
  </si>
  <si>
    <t>BS-LSBAT-S260526-0969</t>
  </si>
  <si>
    <t>BS-LSBAT-S260526-0970</t>
  </si>
  <si>
    <t>BS-LSBAT-S260526-0971</t>
  </si>
  <si>
    <t>BS-LSBAT-S260526-0972</t>
  </si>
  <si>
    <t>BS-LSBAT-S260526-0973</t>
  </si>
  <si>
    <t>BS-LSBAT-S260526-0974</t>
  </si>
  <si>
    <t>BS-LSBAT-S260526-0975</t>
  </si>
  <si>
    <t>BS-LSBAT-S260526-0976</t>
  </si>
  <si>
    <t>BS-LSBAT-S260526-0977</t>
  </si>
  <si>
    <t>BS-LSBAT-S260526-0978</t>
  </si>
  <si>
    <t>BS-LSBAT-S260526-0979</t>
  </si>
  <si>
    <t>BS-LSBAT-S260526-0980</t>
  </si>
  <si>
    <t>BS-LSBAT-S260526-0981</t>
  </si>
  <si>
    <t>BS-LSBAT-S260526-0982</t>
  </si>
  <si>
    <t>BS-LSBAT-S260526-0983</t>
  </si>
  <si>
    <t>BS-LSBAT-S260526-0984</t>
  </si>
  <si>
    <t>BS-LSBAT-S260526-0985</t>
  </si>
  <si>
    <t>BS-LSBAT-S260526-0986</t>
  </si>
  <si>
    <t>BS-LSBAT-S260526-0987</t>
  </si>
  <si>
    <t>BS-LSBAT-S260526-0988</t>
  </si>
  <si>
    <t>BS-LSBAT-S260526-0989</t>
  </si>
  <si>
    <t>BS-LSBAT-S260526-0990</t>
  </si>
  <si>
    <t>BS-LSBAT-S260526-0991</t>
  </si>
  <si>
    <t>BS-LSBAT-S260526-0992</t>
  </si>
  <si>
    <t>BS-LSBAT-S260526-0993</t>
  </si>
  <si>
    <t>BS-LSBAT-S260526-0994</t>
  </si>
  <si>
    <t>BS-LSBAT-S260526-0995</t>
  </si>
  <si>
    <t>BS-LSBAT-S260526-0996</t>
  </si>
  <si>
    <t>BS-LSBAT-S260526-0997</t>
  </si>
  <si>
    <t>BS-LSBAT-S260526-0998</t>
  </si>
  <si>
    <t>BS-LSBAT-S260526-0999</t>
  </si>
  <si>
    <t>BS-LSBAT-S260526-1000</t>
  </si>
  <si>
    <t>BS-LSBAT-S260526-1001</t>
  </si>
  <si>
    <t>BS-LSBAT-S260526-1002</t>
  </si>
  <si>
    <t>BS-LSBAT-S260526-1003</t>
  </si>
  <si>
    <t>BS-LSBAT-S260526-1004</t>
  </si>
  <si>
    <t>BS-LSBAT-S260526-1005</t>
  </si>
  <si>
    <t>BS-LSBAT-S260526-1006</t>
  </si>
  <si>
    <t>BS-LSBAT-S260526-1007</t>
  </si>
  <si>
    <t>BS-LSBAT-S260526-1008</t>
  </si>
  <si>
    <t>BS-LSBAT-S260526-1009</t>
  </si>
  <si>
    <t>BS-LSBAT-S260526-1010</t>
  </si>
  <si>
    <t>BS-LSBAT-S260526-1011</t>
  </si>
  <si>
    <t>BS-LSBAT-S260526-1012</t>
  </si>
  <si>
    <t>BS-LSBAT-S260526-1013</t>
  </si>
  <si>
    <t>BS-LSBAT-S260526-1014</t>
  </si>
  <si>
    <t>BS-LSBAT-S260526-1015</t>
  </si>
  <si>
    <t>BS-LSBAT-S260526-1016</t>
  </si>
  <si>
    <t>BS-LSBAT-S260526-1017</t>
  </si>
  <si>
    <t>BS-LSBAT-S260526-1018</t>
  </si>
  <si>
    <t>BS-LSBAT-S260526-1019</t>
  </si>
  <si>
    <t>BS-LSBAT-S260526-1020</t>
  </si>
  <si>
    <t>BS-LSBAT-S260526-1021</t>
  </si>
  <si>
    <t>BS-LSBAT-S260526-1022</t>
  </si>
  <si>
    <t>BS-LSBAT-S260526-1023</t>
  </si>
  <si>
    <t>BS-LSBAT-S260526-1024</t>
  </si>
  <si>
    <t>BS-LSBAT-S260526-1025</t>
  </si>
  <si>
    <t>BS-LSBAT-S260526-1026</t>
  </si>
  <si>
    <t>BS-LSBAT-S260526-1027</t>
  </si>
  <si>
    <t>BS-LSBAT-S260526-1028</t>
  </si>
  <si>
    <t>BS-LSBAT-S260526-1029</t>
  </si>
  <si>
    <t>BS-LSBAT-S260526-1030</t>
  </si>
  <si>
    <t>BS-LSBAT-S260526-1031</t>
  </si>
  <si>
    <t>BS-LSBAT-S260526-1032</t>
  </si>
  <si>
    <t>BS-LSBAT-S260526-1033</t>
  </si>
  <si>
    <t>BS-LSBAT-S260526-1034</t>
  </si>
  <si>
    <t>BS-LSBAT-S260526-1035</t>
  </si>
  <si>
    <t>BS-LSBAT-S260526-1036</t>
  </si>
  <si>
    <t>BS-LSBAT-S260526-1037</t>
  </si>
  <si>
    <t>BS-LSBAT-S260526-1038</t>
  </si>
  <si>
    <t>BS-LSBAT-S260526-1039</t>
  </si>
  <si>
    <t>BS-LSBAT-S260526-1040</t>
  </si>
  <si>
    <t>BS-LSBAT-S260526-1041</t>
  </si>
  <si>
    <t>BS-LSBAT-S260526-1042</t>
  </si>
  <si>
    <t>BS-LSBAT-S260526-1043</t>
  </si>
  <si>
    <t>BS-LSBAT-S260526-1044</t>
  </si>
  <si>
    <t>BS-LSBAT-S260526-1045</t>
  </si>
  <si>
    <t>BS-LSBAT-S260526-1046</t>
  </si>
  <si>
    <t>BS-LSBAT-S260526-1047</t>
  </si>
  <si>
    <t>BS-LSBAT-S260526-1048</t>
  </si>
  <si>
    <t>BS-LSBAT-S260526-1049</t>
  </si>
  <si>
    <t>BS-LSBAT-S260526-1050</t>
  </si>
  <si>
    <t>BS-LSBAT-S260526-1051</t>
  </si>
  <si>
    <t>BS-LSBAT-S260526-1052</t>
  </si>
  <si>
    <t>BS-LSBAT-S260526-1053</t>
  </si>
  <si>
    <t>BS-LSBAT-S260526-1054</t>
  </si>
  <si>
    <t>BS-LSBAT-S260526-1055</t>
  </si>
  <si>
    <t>BS-LSBAT-S260526-1056</t>
  </si>
  <si>
    <t>BS-LSBAT-S260526-1057</t>
  </si>
  <si>
    <t>BS-LSBAT-S260526-1058</t>
  </si>
  <si>
    <t>BS-LSBAT-S260526-1059</t>
  </si>
  <si>
    <t>BS-LSBAT-S260526-1060</t>
  </si>
  <si>
    <t>BS-LSBAT-S260526-1061</t>
  </si>
  <si>
    <t>BS-LSBAT-S260526-1062</t>
  </si>
  <si>
    <t>BS-LSBAT-S260526-1063</t>
  </si>
  <si>
    <t>BS-LSBAT-S260526-1064</t>
  </si>
  <si>
    <t>BS-LSBAT-S260526-1065</t>
  </si>
  <si>
    <t>BS-LSBAT-S260526-1066</t>
  </si>
  <si>
    <t>BS-LSBAT-S260526-1067</t>
  </si>
  <si>
    <t>BS-LSBAT-S260526-1068</t>
  </si>
  <si>
    <t>BS-LSBAT-S260526-1069</t>
  </si>
  <si>
    <t>BS-LSBAT-S260526-1070</t>
  </si>
  <si>
    <t>BS-LSBAT-S260526-1071</t>
  </si>
  <si>
    <t>BS-LSBAT-S260526-1072</t>
  </si>
  <si>
    <t>BS-LSBAT-S260526-1073</t>
  </si>
  <si>
    <t>BS-LSBAT-S260526-1074</t>
  </si>
  <si>
    <t>BS-LSBAT-S260526-1075</t>
  </si>
  <si>
    <t>BS-LSBAT-S260526-1076</t>
  </si>
  <si>
    <t>BS-LSBAT-S260526-1077</t>
  </si>
  <si>
    <t>BS-LSBAT-S260526-1078</t>
  </si>
  <si>
    <t>BS-LSBAT-S260526-1079</t>
  </si>
  <si>
    <t>BS-LSBAT-S260526-1080</t>
  </si>
  <si>
    <t>BS-LSBAT-S260526-1081</t>
  </si>
  <si>
    <t>BS-LSBAT-S260526-1082</t>
  </si>
  <si>
    <t>BS-LSBAT-S260526-1083</t>
  </si>
  <si>
    <t>BS-LSBAT-S260526-1084</t>
  </si>
  <si>
    <t>BS-LSBAT-S260526-1085</t>
  </si>
  <si>
    <t>BS-LSBAT-S260526-1086</t>
  </si>
  <si>
    <t>BS-LSBAT-S260526-1087</t>
  </si>
  <si>
    <t>BS-LSBAT-S260526-1088</t>
  </si>
  <si>
    <t>BS-LSBAT-S260526-1089</t>
  </si>
  <si>
    <t>BS-LSBAT-S260526-1090</t>
  </si>
  <si>
    <t>BS-LSBAT-S260526-1091</t>
  </si>
  <si>
    <t>BS-LSBAT-S260526-1092</t>
  </si>
  <si>
    <t>BS-LSBAT-S260526-1093</t>
  </si>
  <si>
    <t>BS-LSBAT-S260526-1094</t>
  </si>
  <si>
    <t>BS-LSBAT-S260526-1095</t>
  </si>
  <si>
    <t>BS-LSBAT-S260526-1096</t>
  </si>
  <si>
    <t>BS-LSBAT-S260526-1097</t>
  </si>
  <si>
    <t>BS-LSBAT-S260526-1098</t>
  </si>
  <si>
    <t>BS-LSBAT-S260526-1099</t>
  </si>
  <si>
    <t>BS-LSBAT-S260526-1100</t>
  </si>
  <si>
    <t>BS-LSBAT-S260526-1101</t>
  </si>
  <si>
    <t>BS-LSBAT-S260526-1102</t>
  </si>
  <si>
    <t>BS-LSBAT-S260526-1103</t>
  </si>
  <si>
    <t>BS-LSBAT-S260526-1104</t>
  </si>
  <si>
    <t>BS-LSBAT-S260526-1105</t>
  </si>
  <si>
    <t>BS-LSBAT-S260526-1106</t>
  </si>
  <si>
    <t>BS-LSBAT-S260526-1107</t>
  </si>
  <si>
    <t>BS-LSBAT-S260526-1108</t>
  </si>
  <si>
    <t>BS-LSBAT-S260526-1109</t>
  </si>
  <si>
    <t>BS-LSBAT-S260526-1110</t>
  </si>
  <si>
    <t>BS-LSBAT-S260526-1111</t>
  </si>
  <si>
    <t>BS-LSBAT-S260526-1112</t>
  </si>
  <si>
    <t>BS-LSBAT-S260526-1113</t>
  </si>
  <si>
    <t>BS-LSBAT-S260526-1114</t>
  </si>
  <si>
    <t>BS-LSBAT-S260526-1115</t>
  </si>
  <si>
    <t>BS-LSBAT-S260526-1116</t>
  </si>
  <si>
    <t>BS-LSBAT-S260526-1117</t>
  </si>
  <si>
    <t>BS-LSBAT-S260526-1118</t>
  </si>
  <si>
    <t>BS-LSBAT-S260526-1119</t>
  </si>
  <si>
    <t>BS-LSBAT-S260526-1120</t>
  </si>
  <si>
    <t>BS-LSBAT-S260526-1121</t>
  </si>
  <si>
    <t>BS-LSBAT-S260526-1122</t>
  </si>
  <si>
    <t>BS-LSBAT-S260526-1123</t>
  </si>
  <si>
    <t>BS-LSBAT-S260526-1124</t>
  </si>
  <si>
    <t>BS-LSBAT-S260526-1125</t>
  </si>
  <si>
    <t>BS-LSBAT-S260526-1126</t>
  </si>
  <si>
    <t>BS-LSBAT-S260526-1127</t>
  </si>
  <si>
    <t>BS-LSBAT-S260526-1128</t>
  </si>
  <si>
    <t>BS-LSBAT-S260526-1129</t>
  </si>
  <si>
    <t>BS-LSBAT-S260526-1130</t>
  </si>
  <si>
    <t>BS-LSBAT-S260526-1131</t>
  </si>
  <si>
    <t>BS-LSBAT-S260526-1132</t>
  </si>
  <si>
    <t>BS-LSBAT-S260526-1133</t>
  </si>
  <si>
    <t>BS-LSBAT-S260526-1134</t>
  </si>
  <si>
    <t>BS-LSBAT-S260526-1135</t>
  </si>
  <si>
    <t>BS-LSBAT-S260526-1136</t>
  </si>
  <si>
    <t>BS-LSBAT-S260526-1137</t>
  </si>
  <si>
    <t>BS-LSBAT-S260526-1138</t>
  </si>
  <si>
    <t>BS-LSBAT-S260526-1139</t>
  </si>
  <si>
    <t>BS-LSBAT-S260526-1140</t>
  </si>
  <si>
    <t>BS-LSBAT-S260526-1141</t>
  </si>
  <si>
    <t>BS-LSBAT-S260526-1142</t>
  </si>
  <si>
    <t>BS-LSBAT-S260526-1143</t>
  </si>
  <si>
    <t>BS-LSBAT-S260526-1144</t>
  </si>
  <si>
    <t>BS-LSBAT-S260526-1145</t>
  </si>
  <si>
    <t>BS-LSBAT-S260526-1146</t>
  </si>
  <si>
    <t>BS-LSBAT-S260526-1147</t>
  </si>
  <si>
    <t>BS-LSBAT-S260526-1148</t>
  </si>
  <si>
    <t>BS-LSBAT-S260526-1149</t>
  </si>
  <si>
    <t>BS-LSBAT-S260526-1150</t>
  </si>
  <si>
    <t>BS-LSBAT-S260526-1151</t>
  </si>
  <si>
    <t>BS-LSBAT-S260526-1152</t>
  </si>
  <si>
    <t>BS-LSBAT-S260526-1153</t>
  </si>
  <si>
    <t>BS-LSBAT-S260526-1154</t>
  </si>
  <si>
    <t>BS-LSBAT-S260526-1155</t>
  </si>
  <si>
    <t>BS-LSBAT-S260526-1156</t>
  </si>
  <si>
    <t>BS-LSBAT-S260526-1157</t>
  </si>
  <si>
    <t>BS-LSBAT-S260526-1158</t>
  </si>
  <si>
    <t>BS-LSBAT-S260526-1159</t>
  </si>
  <si>
    <t>BS-LSBAT-S260526-1160</t>
  </si>
  <si>
    <t>BS-LSBAT-S260526-1161</t>
  </si>
  <si>
    <t>BS-LSBAT-S260526-1162</t>
  </si>
  <si>
    <t>BS-LSBAT-S260526-1163</t>
  </si>
  <si>
    <t>BS-LSBAT-S260526-1164</t>
  </si>
  <si>
    <t>BS-LSBAT-S260526-1165</t>
  </si>
  <si>
    <t>BS-LSBAT-S260526-1166</t>
  </si>
  <si>
    <t>BS-LSBAT-S260526-1167</t>
  </si>
  <si>
    <t>BS-LSBAT-S260526-1168</t>
  </si>
  <si>
    <t>BS-LSBAT-S260526-1169</t>
  </si>
  <si>
    <t>BS-LSBAT-S260526-1170</t>
  </si>
  <si>
    <t>BS-LSBAT-S260526-1171</t>
  </si>
  <si>
    <t>BS-LSBAT-S260526-1172</t>
  </si>
  <si>
    <t>BS-LSBAT-S260526-1173</t>
  </si>
  <si>
    <t>BS-LSBAT-S260526-1174</t>
  </si>
  <si>
    <t>BS-LSBAT-S260526-1175</t>
  </si>
  <si>
    <t>BS-LSBAT-S260526-1176</t>
  </si>
  <si>
    <t>BS-LSBAT-S260526-1177</t>
  </si>
  <si>
    <t>BS-LSBAT-S260526-1178</t>
  </si>
  <si>
    <t>BS-LSBAT-S260526-1179</t>
  </si>
  <si>
    <t>BS-LSBAT-S260526-1180</t>
  </si>
  <si>
    <t>BS-LSBAT-S260526-1181</t>
  </si>
  <si>
    <t>BS-LSBAT-S260526-1182</t>
  </si>
  <si>
    <t>BS-LSBAT-S260526-1183</t>
  </si>
  <si>
    <t>BS-LSBAT-S260526-1184</t>
  </si>
  <si>
    <t>BS-LSBAT-S260526-1185</t>
  </si>
  <si>
    <t>BS-LSBAT-S260526-1186</t>
  </si>
  <si>
    <t>BS-LSBAT-S260526-1187</t>
  </si>
  <si>
    <t>BS-LSBAT-S260526-1188</t>
  </si>
  <si>
    <t>BS-LSBAT-S260526-1189</t>
  </si>
  <si>
    <t>BS-LSBAT-S260526-1190</t>
  </si>
  <si>
    <t>BS-LSBAT-S260526-1191</t>
  </si>
  <si>
    <t>BS-LSBAT-S260526-1192</t>
  </si>
  <si>
    <t>BS-LSBAT-S260526-1193</t>
  </si>
  <si>
    <t>BS-LSBAT-S260526-1194</t>
  </si>
  <si>
    <t>BS-LSBAT-S260526-1195</t>
  </si>
  <si>
    <t>BS-LSBAT-S260526-1196</t>
  </si>
  <si>
    <t>BS-LSBAT-S260526-1197</t>
  </si>
  <si>
    <t>BS-LSBAT-S260526-1198</t>
  </si>
  <si>
    <t>BS-LSBAT-S260526-1199</t>
  </si>
  <si>
    <t>BS-LSBAT-S260526-1200</t>
  </si>
  <si>
    <t>BS-LSBAT-S260526-1201</t>
  </si>
  <si>
    <t>BS-LSBAT-S260526-1202</t>
  </si>
  <si>
    <t>BS-LSBAT-S260526-1203</t>
  </si>
  <si>
    <t>BS-LSBAT-S260526-1204</t>
  </si>
  <si>
    <t>BS-LSBAT-S260526-1205</t>
  </si>
  <si>
    <t>BS-LSBAT-S260526-1206</t>
  </si>
  <si>
    <t>BS-LSBAT-S260526-1207</t>
  </si>
  <si>
    <t>BS-LSBAT-S260526-1208</t>
  </si>
  <si>
    <t>BS-LSBAT-S260526-1209</t>
  </si>
  <si>
    <t>BS-LSBAT-S260526-1210</t>
  </si>
  <si>
    <t>BS-LSBAT-S260526-1211</t>
  </si>
  <si>
    <t>BS-LSBAT-S260526-1212</t>
  </si>
  <si>
    <t>BS-LSBAT-S260526-1213</t>
  </si>
  <si>
    <t>BS-LSBAT-S260526-1214</t>
  </si>
  <si>
    <t>BS-LSBAT-S260526-1215</t>
  </si>
  <si>
    <t>BS-LSBAT-S260526-1216</t>
  </si>
  <si>
    <t>BS-LSBAT-S260526-1217</t>
  </si>
  <si>
    <t>BS-LSBAT-S260526-1218</t>
  </si>
  <si>
    <t>BS-LSBAT-S260526-1219</t>
  </si>
  <si>
    <t>BS-LSBAT-S260526-1220</t>
  </si>
  <si>
    <t>BS-LSBAT-S260526-1221</t>
  </si>
  <si>
    <t>BS-LSBAT-S260526-1222</t>
  </si>
  <si>
    <t>BS-LSBAT-S260526-1223</t>
  </si>
  <si>
    <t>BS-LSBAT-S260526-1224</t>
  </si>
  <si>
    <t>BS-LSBAT-S260526-1225</t>
  </si>
  <si>
    <t>BS-LSBAT-S260526-1226</t>
  </si>
  <si>
    <t>BS-LSBAT-S260526-1227</t>
  </si>
  <si>
    <t>BS-LSBAT-S260526-1228</t>
  </si>
  <si>
    <t>BS-LSBAT-S260526-1229</t>
  </si>
  <si>
    <t>BS-LSBAT-S260526-1230</t>
  </si>
  <si>
    <t>BS-LSBAT-S260526-1231</t>
  </si>
  <si>
    <t>BS-LSBAT-S260526-1232</t>
  </si>
  <si>
    <t>BS-LSBAT-S260526-1233</t>
  </si>
  <si>
    <t>BS-LSBAT-S260526-1234</t>
  </si>
  <si>
    <t>BS-LSBAT-S260526-1235</t>
  </si>
  <si>
    <t>BS-LSBAT-S260526-1236</t>
  </si>
  <si>
    <t>BS-LSBAT-S260526-1237</t>
  </si>
  <si>
    <t>BS-LSBAT-S260526-1238</t>
  </si>
  <si>
    <t>BS-LSBAT-S260526-1239</t>
  </si>
  <si>
    <t>BS-LSBAT-S260526-1240</t>
  </si>
  <si>
    <t>BS-LSBAT-S260526-1241</t>
  </si>
  <si>
    <t>BS-LSBAT-S260526-1242</t>
  </si>
  <si>
    <t>BS-LSBAT-S260526-1243</t>
  </si>
  <si>
    <t>BS-LSBAT-S260526-1244</t>
  </si>
  <si>
    <t>BS-LSBAT-S260526-1245</t>
  </si>
  <si>
    <t>BS-LSBAT-S260526-1246</t>
  </si>
  <si>
    <t>BS-LSBAT-S260526-1247</t>
  </si>
  <si>
    <t>BS-LSBAT-S260526-1248</t>
  </si>
  <si>
    <t>BS-LSBAT-S260526-1249</t>
  </si>
  <si>
    <t>BS-LSBAT-S260526-1250</t>
  </si>
  <si>
    <t>BS-LSBAT-S260526-1251</t>
  </si>
  <si>
    <t>BS-LSBAT-S260526-1252</t>
  </si>
  <si>
    <t>BS-LSBAT-S260526-1253</t>
  </si>
  <si>
    <t>BS-LSBAT-S260526-1254</t>
  </si>
  <si>
    <t>BS-LSBAT-S260526-1255</t>
  </si>
  <si>
    <t>BS-LSBAT-S260526-1256</t>
  </si>
  <si>
    <t>BS-LSBAT-S260526-1257</t>
  </si>
  <si>
    <t>BS-LSBAT-S260526-1258</t>
  </si>
  <si>
    <t>BS-LSBAT-S260526-1259</t>
  </si>
  <si>
    <t>BS-LSBAT-S260526-1260</t>
  </si>
  <si>
    <t>BS-LSBAT-S260526-1261</t>
  </si>
  <si>
    <t>BS-LSBAT-S260526-1262</t>
  </si>
  <si>
    <t>BS-LSBAT-S260526-1263</t>
  </si>
  <si>
    <t>BS-LSBAT-S260526-1264</t>
  </si>
  <si>
    <t>BS-LSBAT-S260526-1265</t>
  </si>
  <si>
    <t>BS-LSBAT-S260526-1266</t>
  </si>
  <si>
    <t>BS-LSBAT-S260526-1267</t>
  </si>
  <si>
    <t>BS-LSBAT-S260526-1268</t>
  </si>
  <si>
    <t>BS-LSBAT-S260526-1269</t>
  </si>
  <si>
    <t>BS-LSBAT-S260526-1270</t>
  </si>
  <si>
    <t>BS-LSBAT-S260526-1271</t>
  </si>
  <si>
    <t>BS-LSBAT-S260526-1272</t>
  </si>
  <si>
    <t>BS-LSBAT-S260526-1273</t>
  </si>
  <si>
    <t>BS-LSBAT-S260526-1274</t>
  </si>
  <si>
    <t>BS-LSBAT-S260526-1275</t>
  </si>
  <si>
    <t>BS-LSBAT-S260526-1276</t>
  </si>
  <si>
    <t>BS-LSBAT-S260526-1277</t>
  </si>
  <si>
    <t>BS-LSBAT-S260526-1278</t>
  </si>
  <si>
    <t>BS-LSBAT-S260526-1279</t>
  </si>
  <si>
    <t>BS-LSBAT-S260526-1280</t>
  </si>
  <si>
    <t>BS-LSBAT-S260526-1281</t>
  </si>
  <si>
    <t>BS-LSBAT-S260526-1282</t>
  </si>
  <si>
    <t>BS-LSBAT-S260526-1283</t>
  </si>
  <si>
    <t>BS-LSBAT-S260526-1284</t>
  </si>
  <si>
    <t>BS-LSBAT-S260526-1285</t>
  </si>
  <si>
    <t>BS-LSBAT-S260526-1286</t>
  </si>
  <si>
    <t>BS-LSBAT-S260526-1287</t>
  </si>
  <si>
    <t>BS-LSBAT-S260526-1288</t>
  </si>
  <si>
    <t>BS-LSBAT-S260526-1289</t>
  </si>
  <si>
    <t>BS-LSBAT-S260526-1290</t>
  </si>
  <si>
    <t>BS-LSBAT-S260526-1291</t>
  </si>
  <si>
    <t>BS-LSBAT-S260526-1292</t>
  </si>
  <si>
    <t>BS-LSBAT-S260526-1293</t>
  </si>
  <si>
    <t>BS-LSBAT-S260526-1294</t>
  </si>
  <si>
    <t>BS-LSBAT-S260526-1295</t>
  </si>
  <si>
    <t>BS-LSBAT-S260526-1296</t>
  </si>
  <si>
    <t>BS-LSBAT-S260526-1297</t>
  </si>
  <si>
    <t>BS-LSBAT-S260526-1298</t>
  </si>
  <si>
    <t>BS-LSBAT-S260526-1299</t>
  </si>
  <si>
    <t>BS-LSBAT-S260526-1300</t>
  </si>
  <si>
    <t>2026.05.26</t>
    <phoneticPr fontId="8" type="noConversion"/>
  </si>
  <si>
    <t>BS-LSBAT-S260526-0247</t>
    <phoneticPr fontId="8" type="noConversion"/>
  </si>
  <si>
    <t>BS-LSBAT-S260526-0383</t>
    <phoneticPr fontId="8" type="noConversion"/>
  </si>
  <si>
    <t>BS-LSBAT-S260526-0385 ~ 448</t>
    <phoneticPr fontId="8" type="noConversion"/>
  </si>
  <si>
    <t>09:00</t>
    <phoneticPr fontId="8" type="noConversion"/>
  </si>
  <si>
    <t>위</t>
    <phoneticPr fontId="8" type="noConversion"/>
  </si>
  <si>
    <t>아래</t>
    <phoneticPr fontId="8" type="noConversion"/>
  </si>
  <si>
    <t>시간대별 온도 측정</t>
    <phoneticPr fontId="8" type="noConversion"/>
  </si>
  <si>
    <t>27.1</t>
    <phoneticPr fontId="8" type="noConversion"/>
  </si>
  <si>
    <t>25.3</t>
    <phoneticPr fontId="8" type="noConversion"/>
  </si>
  <si>
    <t>2026.06.04</t>
    <phoneticPr fontId="8" type="noConversion"/>
  </si>
  <si>
    <t>25.7</t>
    <phoneticPr fontId="8" type="noConversion"/>
  </si>
  <si>
    <t>2026.06.10</t>
    <phoneticPr fontId="8" type="noConversion"/>
  </si>
  <si>
    <t>BS-LSBAT-S260526-1025 ~ 1087</t>
    <phoneticPr fontId="8" type="noConversion"/>
  </si>
  <si>
    <t>2026.06.11</t>
    <phoneticPr fontId="8" type="noConversion"/>
  </si>
  <si>
    <t>25.6</t>
    <phoneticPr fontId="8" type="noConversion"/>
  </si>
  <si>
    <t>2026.06.09</t>
    <phoneticPr fontId="8" type="noConversion"/>
  </si>
  <si>
    <t>25.4</t>
    <phoneticPr fontId="8" type="noConversion"/>
  </si>
  <si>
    <t>BS-LSBAT-S260526-0513 ~ 0576</t>
    <phoneticPr fontId="8" type="noConversion"/>
  </si>
  <si>
    <t>BS-LSBAT-S260526-0577 ~ 0640</t>
    <phoneticPr fontId="8" type="noConversion"/>
  </si>
  <si>
    <t>2026.06.03</t>
    <phoneticPr fontId="8" type="noConversion"/>
  </si>
  <si>
    <t>2026.06.02</t>
    <phoneticPr fontId="8" type="noConversion"/>
  </si>
  <si>
    <t>2026.06.01</t>
    <phoneticPr fontId="8" type="noConversion"/>
  </si>
  <si>
    <t>BS-LSBAT-S260526-0449 ~ 0512</t>
    <phoneticPr fontId="8" type="noConversion"/>
  </si>
  <si>
    <t>BS-LSBAT-S260526-0641 ~ 0704</t>
    <phoneticPr fontId="8" type="noConversion"/>
  </si>
  <si>
    <t>BS-LSBAT-S260526-0705 ~ 0768</t>
    <phoneticPr fontId="8" type="noConversion"/>
  </si>
  <si>
    <t>BS-LSBAT-S260526-0769 ~ 0832</t>
    <phoneticPr fontId="8" type="noConversion"/>
  </si>
  <si>
    <t>BS-LSBAT-S260526-0833 ~ 0896</t>
    <phoneticPr fontId="8" type="noConversion"/>
  </si>
  <si>
    <t>BS-LSBAT-S260526-0897 ~ 0960</t>
    <phoneticPr fontId="8" type="noConversion"/>
  </si>
  <si>
    <t>BS-LSBAT-S260526-0961 ~ 1024</t>
    <phoneticPr fontId="8" type="noConversion"/>
  </si>
  <si>
    <t>2026.06.05</t>
    <phoneticPr fontId="8" type="noConversion"/>
  </si>
  <si>
    <t>2026.06.06</t>
    <phoneticPr fontId="8" type="noConversion"/>
  </si>
  <si>
    <t>2026.06.07</t>
    <phoneticPr fontId="8" type="noConversion"/>
  </si>
  <si>
    <t>2026.06.08</t>
    <phoneticPr fontId="8" type="noConversion"/>
  </si>
  <si>
    <t>26.8</t>
    <phoneticPr fontId="8" type="noConversion"/>
  </si>
  <si>
    <t>27.2</t>
    <phoneticPr fontId="8" type="noConversion"/>
  </si>
  <si>
    <t>25.9</t>
    <phoneticPr fontId="8" type="noConversion"/>
  </si>
  <si>
    <t>시험 날짜</t>
    <phoneticPr fontId="8" type="noConversion"/>
  </si>
  <si>
    <t>2026.06.12</t>
    <phoneticPr fontId="8" type="noConversion"/>
  </si>
  <si>
    <t>BS-LSBAT-S260526-1088 ~ 1150</t>
    <phoneticPr fontId="8" type="noConversion"/>
  </si>
  <si>
    <t>26.0</t>
    <phoneticPr fontId="8" type="noConversion"/>
  </si>
  <si>
    <t>2026.06.13</t>
  </si>
  <si>
    <t>2026.06.14</t>
  </si>
  <si>
    <t>2026.06.15</t>
  </si>
  <si>
    <t>BS-LSBAT-S260526-1151 ~ 1213</t>
    <phoneticPr fontId="8" type="noConversion"/>
  </si>
  <si>
    <t>BS-LSBAT-S260526-1277 ~ 1300</t>
    <phoneticPr fontId="8" type="noConversion"/>
  </si>
  <si>
    <t>BS-LSBAT-S260526-1214 ~ 1276</t>
    <phoneticPr fontId="8" type="noConversion"/>
  </si>
  <si>
    <t>28.0</t>
    <phoneticPr fontId="8" type="noConversion"/>
  </si>
  <si>
    <t>27.8</t>
    <phoneticPr fontId="8" type="noConversion"/>
  </si>
  <si>
    <t>2026.06.30</t>
    <phoneticPr fontId="8" type="noConversion"/>
  </si>
  <si>
    <t>BS-LSBAT-S260526-0001</t>
  </si>
  <si>
    <t>BS-LSBAT-S260526-0247</t>
  </si>
  <si>
    <t>BS-LSBAT-S260526-0383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</si>
</sst>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"/>
    <numFmt numFmtId="177" formatCode="0.00_);[Red]\(0.00\)"/>
    <numFmt numFmtId="178" formatCode="0.000_);[Red]\(0.000\)"/>
    <numFmt numFmtId="179" formatCode="0.000_ "/>
    <numFmt numFmtId="180" formatCode="0.0000_);[Red]\(0.0000\)"/>
    <numFmt numFmtId="181" formatCode="0.00_ "/>
    <numFmt numFmtId="182" formatCode="0.0_ "/>
    <numFmt numFmtId="183" formatCode="h:mm;@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2CAE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5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double">
        <color rgb="FF3F3F3F"/>
      </top>
      <bottom/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4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184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7" fillId="5" borderId="4" xfId="4" applyFill="1" applyBorder="1">
      <alignment vertical="center"/>
    </xf>
    <xf numFmtId="0" fontId="0" fillId="0" borderId="4" xfId="0" applyBorder="1">
      <alignment vertical="center"/>
    </xf>
    <xf numFmtId="0" fontId="4" fillId="3" borderId="5" xfId="2" applyFont="1" applyFill="1" applyBorder="1">
      <alignment vertical="center"/>
    </xf>
    <xf numFmtId="0" fontId="4" fillId="3" borderId="6" xfId="2" applyFont="1" applyFill="1" applyBorder="1">
      <alignment vertical="center"/>
    </xf>
    <xf numFmtId="0" fontId="4" fillId="3" borderId="7" xfId="2" applyFont="1" applyFill="1" applyBorder="1">
      <alignment vertical="center"/>
    </xf>
    <xf numFmtId="0" fontId="7" fillId="5" borderId="8" xfId="4" applyFill="1" applyBorder="1">
      <alignment vertical="center"/>
    </xf>
    <xf numFmtId="0" fontId="7" fillId="5" borderId="9" xfId="4" applyFill="1" applyBorder="1">
      <alignment vertical="center"/>
    </xf>
    <xf numFmtId="0" fontId="7" fillId="4" borderId="8" xfId="3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22" xfId="2" applyFont="1" applyFill="1" applyBorder="1">
      <alignment vertical="center"/>
    </xf>
    <xf numFmtId="0" fontId="7" fillId="5" borderId="23" xfId="4" applyFill="1" applyBorder="1">
      <alignment vertical="center"/>
    </xf>
    <xf numFmtId="0" fontId="4" fillId="3" borderId="24" xfId="2" applyFont="1" applyFill="1" applyBorder="1">
      <alignment vertical="center"/>
    </xf>
    <xf numFmtId="0" fontId="7" fillId="5" borderId="25" xfId="4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7" fillId="4" borderId="33" xfId="3" applyFill="1" applyBorder="1">
      <alignment vertical="center"/>
    </xf>
    <xf numFmtId="0" fontId="7" fillId="4" borderId="34" xfId="3" applyFill="1" applyBorder="1">
      <alignment vertical="center"/>
    </xf>
    <xf numFmtId="0" fontId="3" fillId="2" borderId="38" xfId="1" applyFont="1" applyFill="1" applyBorder="1">
      <alignment vertical="center"/>
    </xf>
    <xf numFmtId="0" fontId="4" fillId="3" borderId="39" xfId="2" applyFont="1" applyFill="1" applyBorder="1">
      <alignment vertical="center"/>
    </xf>
    <xf numFmtId="0" fontId="7" fillId="5" borderId="40" xfId="4" applyFill="1" applyBorder="1">
      <alignment vertical="center"/>
    </xf>
    <xf numFmtId="0" fontId="7" fillId="4" borderId="41" xfId="3" applyFill="1" applyBorder="1">
      <alignment vertical="center"/>
    </xf>
    <xf numFmtId="0" fontId="7" fillId="4" borderId="35" xfId="3" applyFill="1" applyBorder="1">
      <alignment vertical="center"/>
    </xf>
    <xf numFmtId="0" fontId="7" fillId="4" borderId="37" xfId="3" applyFill="1" applyBorder="1">
      <alignment vertical="center"/>
    </xf>
    <xf numFmtId="0" fontId="3" fillId="2" borderId="4" xfId="1" applyFont="1" applyFill="1" applyBorder="1">
      <alignment vertical="center"/>
    </xf>
    <xf numFmtId="0" fontId="5" fillId="2" borderId="4" xfId="1" applyFont="1" applyFill="1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3" fillId="2" borderId="45" xfId="1" applyFont="1" applyFill="1" applyBorder="1">
      <alignment vertical="center"/>
    </xf>
    <xf numFmtId="0" fontId="0" fillId="0" borderId="46" xfId="0" applyBorder="1">
      <alignment vertical="center"/>
    </xf>
    <xf numFmtId="0" fontId="0" fillId="0" borderId="4" xfId="0" applyBorder="1" applyAlignment="1">
      <alignment horizontal="center" vertical="center"/>
    </xf>
    <xf numFmtId="177" fontId="0" fillId="0" borderId="4" xfId="0" applyNumberFormat="1" applyBorder="1">
      <alignment vertical="center"/>
    </xf>
    <xf numFmtId="0" fontId="2" fillId="0" borderId="42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7" fontId="6" fillId="2" borderId="4" xfId="1" applyNumberFormat="1" applyFont="1" applyFill="1" applyBorder="1">
      <alignment vertical="center"/>
    </xf>
    <xf numFmtId="177" fontId="0" fillId="0" borderId="9" xfId="0" applyNumberFormat="1" applyBorder="1">
      <alignment vertical="center"/>
    </xf>
    <xf numFmtId="180" fontId="6" fillId="2" borderId="4" xfId="1" applyNumberFormat="1" applyFont="1" applyFill="1" applyBorder="1">
      <alignment vertical="center"/>
    </xf>
    <xf numFmtId="180" fontId="0" fillId="0" borderId="4" xfId="0" applyNumberFormat="1" applyBorder="1">
      <alignment vertical="center"/>
    </xf>
    <xf numFmtId="0" fontId="0" fillId="0" borderId="1" xfId="0" applyBorder="1">
      <alignment vertical="center"/>
    </xf>
    <xf numFmtId="0" fontId="4" fillId="3" borderId="47" xfId="2" applyFont="1" applyFill="1" applyBorder="1">
      <alignment vertical="center"/>
    </xf>
    <xf numFmtId="0" fontId="7" fillId="5" borderId="48" xfId="4" applyFill="1" applyBorder="1">
      <alignment vertical="center"/>
    </xf>
    <xf numFmtId="0" fontId="3" fillId="2" borderId="48" xfId="1" applyFont="1" applyFill="1" applyBorder="1">
      <alignment vertical="center"/>
    </xf>
    <xf numFmtId="0" fontId="0" fillId="0" borderId="48" xfId="0" applyBorder="1">
      <alignment vertical="center"/>
    </xf>
    <xf numFmtId="0" fontId="2" fillId="0" borderId="48" xfId="0" applyFont="1" applyBorder="1">
      <alignment vertical="center"/>
    </xf>
    <xf numFmtId="0" fontId="0" fillId="0" borderId="49" xfId="0" applyBorder="1">
      <alignment vertical="center"/>
    </xf>
    <xf numFmtId="0" fontId="2" fillId="0" borderId="2" xfId="0" applyFont="1" applyBorder="1">
      <alignment vertical="center"/>
    </xf>
    <xf numFmtId="0" fontId="0" fillId="0" borderId="48" xfId="0" applyBorder="1" applyAlignment="1">
      <alignment vertical="center" wrapText="1"/>
    </xf>
    <xf numFmtId="180" fontId="0" fillId="0" borderId="4" xfId="0" applyNumberFormat="1" applyBorder="1" applyAlignment="1"/>
    <xf numFmtId="177" fontId="0" fillId="0" borderId="4" xfId="0" applyNumberFormat="1" applyBorder="1" applyAlignment="1"/>
    <xf numFmtId="9" fontId="5" fillId="2" borderId="8" xfId="1" applyNumberFormat="1" applyFont="1" applyFill="1" applyBorder="1">
      <alignment vertical="center"/>
    </xf>
    <xf numFmtId="177" fontId="6" fillId="2" borderId="9" xfId="1" applyNumberFormat="1" applyFont="1" applyFill="1" applyBorder="1">
      <alignment vertical="center"/>
    </xf>
    <xf numFmtId="177" fontId="0" fillId="0" borderId="9" xfId="0" applyNumberFormat="1" applyBorder="1" applyAlignment="1"/>
    <xf numFmtId="180" fontId="0" fillId="0" borderId="8" xfId="0" applyNumberFormat="1" applyBorder="1" applyAlignment="1"/>
    <xf numFmtId="0" fontId="0" fillId="0" borderId="4" xfId="0" applyBorder="1" applyAlignment="1"/>
    <xf numFmtId="0" fontId="0" fillId="0" borderId="9" xfId="0" applyBorder="1" applyAlignment="1"/>
    <xf numFmtId="177" fontId="0" fillId="0" borderId="8" xfId="0" applyNumberFormat="1" applyBorder="1" applyAlignment="1"/>
    <xf numFmtId="177" fontId="6" fillId="2" borderId="4" xfId="1" applyNumberFormat="1" applyFont="1" applyFill="1" applyBorder="1" applyAlignment="1">
      <alignment horizontal="right" vertical="center"/>
    </xf>
    <xf numFmtId="177" fontId="0" fillId="0" borderId="4" xfId="0" applyNumberFormat="1" applyBorder="1" applyAlignment="1">
      <alignment horizontal="right" vertical="center"/>
    </xf>
    <xf numFmtId="9" fontId="5" fillId="2" borderId="11" xfId="1" applyNumberFormat="1" applyFont="1" applyFill="1" applyBorder="1">
      <alignment vertical="center"/>
    </xf>
    <xf numFmtId="176" fontId="0" fillId="0" borderId="11" xfId="0" applyNumberFormat="1" applyBorder="1" applyAlignment="1">
      <alignment horizontal="right" vertical="center"/>
    </xf>
    <xf numFmtId="177" fontId="0" fillId="0" borderId="4" xfId="0" applyNumberFormat="1" applyBorder="1" applyAlignment="1">
      <alignment horizontal="right"/>
    </xf>
    <xf numFmtId="0" fontId="5" fillId="2" borderId="8" xfId="1" applyFont="1" applyFill="1" applyBorder="1">
      <alignment vertical="center"/>
    </xf>
    <xf numFmtId="177" fontId="6" fillId="2" borderId="9" xfId="1" applyNumberFormat="1" applyFont="1" applyFill="1" applyBorder="1" applyAlignment="1">
      <alignment horizontal="right" vertical="center"/>
    </xf>
    <xf numFmtId="177" fontId="0" fillId="0" borderId="9" xfId="0" applyNumberFormat="1" applyBorder="1" applyAlignment="1">
      <alignment horizontal="right" vertical="center"/>
    </xf>
    <xf numFmtId="181" fontId="0" fillId="0" borderId="4" xfId="0" applyNumberFormat="1" applyBorder="1" applyAlignment="1">
      <alignment horizontal="right" vertical="center"/>
    </xf>
    <xf numFmtId="0" fontId="2" fillId="0" borderId="49" xfId="0" applyFont="1" applyBorder="1">
      <alignment vertical="center"/>
    </xf>
    <xf numFmtId="0" fontId="2" fillId="0" borderId="48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3" fillId="2" borderId="10" xfId="1" applyFont="1" applyFill="1" applyBorder="1">
      <alignment vertical="center"/>
    </xf>
    <xf numFmtId="178" fontId="0" fillId="0" borderId="4" xfId="0" applyNumberFormat="1" applyBorder="1" applyAlignment="1">
      <alignment horizontal="right" vertical="center"/>
    </xf>
    <xf numFmtId="0" fontId="0" fillId="0" borderId="50" xfId="0" applyBorder="1">
      <alignment vertical="center"/>
    </xf>
    <xf numFmtId="177" fontId="0" fillId="0" borderId="51" xfId="0" applyNumberFormat="1" applyBorder="1" applyAlignment="1">
      <alignment horizontal="right"/>
    </xf>
    <xf numFmtId="177" fontId="0" fillId="0" borderId="52" xfId="0" applyNumberFormat="1" applyBorder="1" applyAlignment="1">
      <alignment horizontal="right" vertical="center"/>
    </xf>
    <xf numFmtId="0" fontId="0" fillId="0" borderId="53" xfId="0" applyBorder="1">
      <alignment vertical="center"/>
    </xf>
    <xf numFmtId="180" fontId="0" fillId="0" borderId="51" xfId="0" applyNumberFormat="1" applyBorder="1">
      <alignment vertical="center"/>
    </xf>
    <xf numFmtId="177" fontId="0" fillId="0" borderId="51" xfId="0" applyNumberFormat="1" applyBorder="1">
      <alignment vertical="center"/>
    </xf>
    <xf numFmtId="177" fontId="0" fillId="0" borderId="52" xfId="0" applyNumberFormat="1" applyBorder="1">
      <alignment vertical="center"/>
    </xf>
    <xf numFmtId="177" fontId="4" fillId="3" borderId="24" xfId="2" applyNumberFormat="1" applyFont="1" applyFill="1" applyBorder="1" applyAlignment="1">
      <alignment horizontal="right" vertical="center"/>
    </xf>
    <xf numFmtId="177" fontId="4" fillId="3" borderId="47" xfId="2" applyNumberFormat="1" applyFont="1" applyFill="1" applyBorder="1" applyAlignment="1">
      <alignment horizontal="right" vertical="center"/>
    </xf>
    <xf numFmtId="177" fontId="7" fillId="5" borderId="25" xfId="4" applyNumberFormat="1" applyFill="1" applyBorder="1" applyAlignment="1">
      <alignment horizontal="right" vertical="center"/>
    </xf>
    <xf numFmtId="177" fontId="7" fillId="5" borderId="48" xfId="4" applyNumberFormat="1" applyFill="1" applyBorder="1" applyAlignment="1">
      <alignment horizontal="right" vertical="center"/>
    </xf>
    <xf numFmtId="180" fontId="4" fillId="3" borderId="24" xfId="2" applyNumberFormat="1" applyFont="1" applyFill="1" applyBorder="1">
      <alignment vertical="center"/>
    </xf>
    <xf numFmtId="177" fontId="4" fillId="3" borderId="24" xfId="2" applyNumberFormat="1" applyFont="1" applyFill="1" applyBorder="1">
      <alignment vertical="center"/>
    </xf>
    <xf numFmtId="177" fontId="4" fillId="3" borderId="47" xfId="2" applyNumberFormat="1" applyFont="1" applyFill="1" applyBorder="1">
      <alignment vertical="center"/>
    </xf>
    <xf numFmtId="180" fontId="7" fillId="5" borderId="25" xfId="4" applyNumberFormat="1" applyFill="1" applyBorder="1">
      <alignment vertical="center"/>
    </xf>
    <xf numFmtId="177" fontId="7" fillId="5" borderId="25" xfId="4" applyNumberFormat="1" applyFill="1" applyBorder="1">
      <alignment vertical="center"/>
    </xf>
    <xf numFmtId="177" fontId="7" fillId="5" borderId="48" xfId="4" applyNumberFormat="1" applyFill="1" applyBorder="1">
      <alignment vertical="center"/>
    </xf>
    <xf numFmtId="0" fontId="7" fillId="4" borderId="4" xfId="3" applyFill="1" applyBorder="1" applyAlignment="1">
      <alignment horizontal="center" vertical="center"/>
    </xf>
    <xf numFmtId="0" fontId="7" fillId="4" borderId="9" xfId="3" applyFill="1" applyBorder="1" applyAlignment="1">
      <alignment horizontal="center" vertical="center"/>
    </xf>
    <xf numFmtId="0" fontId="7" fillId="4" borderId="36" xfId="3" applyFill="1" applyBorder="1" applyAlignment="1">
      <alignment horizontal="center" vertical="center"/>
    </xf>
    <xf numFmtId="0" fontId="7" fillId="4" borderId="34" xfId="3" applyFill="1" applyBorder="1" applyAlignment="1">
      <alignment horizontal="center" vertical="center"/>
    </xf>
    <xf numFmtId="0" fontId="7" fillId="4" borderId="20" xfId="3" applyFill="1" applyBorder="1" applyAlignment="1">
      <alignment horizontal="center" vertical="center"/>
    </xf>
    <xf numFmtId="0" fontId="7" fillId="4" borderId="33" xfId="3" applyFill="1" applyBorder="1" applyAlignment="1">
      <alignment horizontal="center" vertical="center"/>
    </xf>
    <xf numFmtId="0" fontId="7" fillId="4" borderId="35" xfId="3" applyFill="1" applyBorder="1" applyAlignment="1">
      <alignment horizontal="center" vertical="center"/>
    </xf>
    <xf numFmtId="0" fontId="7" fillId="4" borderId="8" xfId="3" applyFill="1" applyBorder="1" applyAlignment="1">
      <alignment horizontal="center" vertical="center"/>
    </xf>
    <xf numFmtId="177" fontId="7" fillId="4" borderId="4" xfId="3" applyNumberFormat="1" applyFill="1" applyBorder="1" applyAlignment="1">
      <alignment horizontal="center" vertical="center"/>
    </xf>
    <xf numFmtId="177" fontId="7" fillId="4" borderId="9" xfId="3" applyNumberFormat="1" applyFill="1" applyBorder="1" applyAlignment="1">
      <alignment horizontal="center" vertical="center"/>
    </xf>
    <xf numFmtId="180" fontId="7" fillId="4" borderId="4" xfId="3" applyNumberFormat="1" applyFill="1" applyBorder="1" applyAlignment="1">
      <alignment horizontal="center" vertical="center"/>
    </xf>
    <xf numFmtId="0" fontId="7" fillId="4" borderId="49" xfId="3" applyFill="1" applyBorder="1" applyAlignment="1">
      <alignment horizontal="center" vertical="center"/>
    </xf>
    <xf numFmtId="0" fontId="7" fillId="4" borderId="43" xfId="3" applyFill="1" applyBorder="1" applyAlignment="1">
      <alignment horizontal="center" vertical="center"/>
    </xf>
    <xf numFmtId="0" fontId="2" fillId="4" borderId="8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9" xfId="3" applyFont="1" applyFill="1" applyBorder="1" applyAlignment="1">
      <alignment horizontal="center" vertical="center"/>
    </xf>
    <xf numFmtId="0" fontId="2" fillId="4" borderId="11" xfId="3" applyFont="1" applyFill="1" applyBorder="1" applyAlignment="1">
      <alignment horizontal="center" vertical="center"/>
    </xf>
    <xf numFmtId="0" fontId="6" fillId="2" borderId="9" xfId="1" applyFont="1" applyFill="1" applyBorder="1">
      <alignment vertical="center"/>
    </xf>
    <xf numFmtId="176" fontId="0" fillId="0" borderId="9" xfId="0" applyNumberFormat="1" applyBorder="1" applyAlignment="1">
      <alignment horizontal="right" vertical="center"/>
    </xf>
    <xf numFmtId="178" fontId="0" fillId="0" borderId="9" xfId="0" applyNumberFormat="1" applyBorder="1">
      <alignment vertical="center"/>
    </xf>
    <xf numFmtId="178" fontId="0" fillId="0" borderId="9" xfId="0" applyNumberFormat="1" applyBorder="1" applyAlignment="1">
      <alignment horizontal="right" vertical="center"/>
    </xf>
    <xf numFmtId="0" fontId="2" fillId="4" borderId="23" xfId="3" applyFont="1" applyFill="1" applyBorder="1" applyAlignment="1">
      <alignment horizontal="center" vertical="center"/>
    </xf>
    <xf numFmtId="176" fontId="0" fillId="0" borderId="10" xfId="0" applyNumberFormat="1" applyBorder="1" applyAlignment="1">
      <alignment horizontal="right" vertical="center"/>
    </xf>
    <xf numFmtId="176" fontId="7" fillId="0" borderId="10" xfId="4" applyNumberForma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76" fontId="0" fillId="0" borderId="27" xfId="0" applyNumberFormat="1" applyBorder="1" applyAlignment="1">
      <alignment horizontal="right" vertical="center"/>
    </xf>
    <xf numFmtId="0" fontId="6" fillId="2" borderId="4" xfId="1" applyFont="1" applyFill="1" applyBorder="1">
      <alignment vertical="center"/>
    </xf>
    <xf numFmtId="182" fontId="0" fillId="0" borderId="0" xfId="0" applyNumberFormat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82" fontId="2" fillId="0" borderId="4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81" fontId="0" fillId="0" borderId="0" xfId="0" applyNumberFormat="1" applyAlignment="1"/>
    <xf numFmtId="181" fontId="4" fillId="3" borderId="6" xfId="2" applyNumberFormat="1" applyFont="1" applyFill="1" applyBorder="1">
      <alignment vertical="center"/>
    </xf>
    <xf numFmtId="181" fontId="7" fillId="5" borderId="4" xfId="4" applyNumberFormat="1" applyFill="1" applyBorder="1">
      <alignment vertical="center"/>
    </xf>
    <xf numFmtId="181" fontId="7" fillId="4" borderId="34" xfId="3" applyNumberFormat="1" applyFill="1" applyBorder="1">
      <alignment vertical="center"/>
    </xf>
    <xf numFmtId="181" fontId="3" fillId="2" borderId="38" xfId="1" applyNumberFormat="1" applyFont="1" applyFill="1" applyBorder="1">
      <alignment vertical="center"/>
    </xf>
    <xf numFmtId="181" fontId="0" fillId="0" borderId="4" xfId="0" applyNumberFormat="1" applyBorder="1" applyAlignment="1"/>
    <xf numFmtId="179" fontId="0" fillId="0" borderId="0" xfId="0" applyNumberFormat="1" applyAlignment="1"/>
    <xf numFmtId="179" fontId="4" fillId="3" borderId="6" xfId="2" applyNumberFormat="1" applyFont="1" applyFill="1" applyBorder="1">
      <alignment vertical="center"/>
    </xf>
    <xf numFmtId="179" fontId="7" fillId="5" borderId="4" xfId="4" applyNumberFormat="1" applyFill="1" applyBorder="1">
      <alignment vertical="center"/>
    </xf>
    <xf numFmtId="179" fontId="7" fillId="4" borderId="34" xfId="3" applyNumberFormat="1" applyFill="1" applyBorder="1">
      <alignment vertical="center"/>
    </xf>
    <xf numFmtId="179" fontId="3" fillId="2" borderId="38" xfId="1" applyNumberFormat="1" applyFont="1" applyFill="1" applyBorder="1">
      <alignment vertical="center"/>
    </xf>
    <xf numFmtId="179" fontId="0" fillId="0" borderId="4" xfId="0" applyNumberFormat="1" applyBorder="1" applyAlignment="1"/>
    <xf numFmtId="181" fontId="2" fillId="0" borderId="4" xfId="0" applyNumberFormat="1" applyFont="1" applyBorder="1" applyAlignment="1"/>
    <xf numFmtId="179" fontId="2" fillId="0" borderId="4" xfId="0" applyNumberFormat="1" applyFont="1" applyBorder="1" applyAlignment="1"/>
    <xf numFmtId="181" fontId="0" fillId="0" borderId="54" xfId="0" applyNumberFormat="1" applyBorder="1" applyAlignment="1"/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0" fillId="0" borderId="4" xfId="0" applyNumberFormat="1" applyBorder="1" applyAlignment="1"/>
    <xf numFmtId="0" fontId="2" fillId="0" borderId="55" xfId="0" applyFont="1" applyBorder="1">
      <alignment vertical="center"/>
    </xf>
    <xf numFmtId="0" fontId="0" fillId="0" borderId="54" xfId="0" applyBorder="1" applyAlignment="1"/>
    <xf numFmtId="0" fontId="2" fillId="0" borderId="34" xfId="0" applyFont="1" applyBorder="1">
      <alignment vertical="center"/>
    </xf>
    <xf numFmtId="177" fontId="9" fillId="6" borderId="4" xfId="1" applyNumberFormat="1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10" fillId="7" borderId="34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83" fontId="0" fillId="0" borderId="0" xfId="0" applyNumberFormat="1" applyAlignment="1">
      <alignment horizontal="center" vertical="center"/>
    </xf>
  </cellXfs>
  <cellStyles count="6">
    <cellStyle name="20% - 강조색1" xfId="2" builtinId="30"/>
    <cellStyle name="40% - 강조색1" xfId="3" builtinId="31"/>
    <cellStyle name="강조색1" xfId="1" builtinId="29"/>
    <cellStyle name="표준" xfId="0" builtinId="0"/>
    <cellStyle name="표준 2" xfId="4" xr:uid="{00000000-0005-0000-0000-000005000000}"/>
    <cellStyle name="표준 3" xfId="5" xr:uid="{8ABE1F1D-E7DF-4143-B9CD-704B5311B9F8}"/>
  </cellStyles>
  <dxfs count="115"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  <horizontal/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80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/>
        <right/>
        <top style="thin">
          <color auto="1"/>
        </top>
        <bottom/>
      </border>
    </dxf>
    <dxf>
      <numFmt numFmtId="0" formatCode="General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 outline="0">
        <left/>
        <right/>
        <top style="thin">
          <color auto="1"/>
        </top>
        <bottom/>
      </border>
    </dxf>
    <dxf>
      <numFmt numFmtId="180" formatCode="0.0000_);[Red]\(0.0000\)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</border>
    </dxf>
    <dxf>
      <border>
        <left style="medium">
          <color auto="1"/>
        </left>
      </border>
    </dxf>
    <dxf>
      <fill>
        <patternFill>
          <fgColor auto="1"/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</border>
    </dxf>
    <dxf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0" formatCode="General"/>
      <border>
        <top style="double">
          <color rgb="FF3F3F3F"/>
        </top>
        <horizontal/>
      </border>
    </dxf>
    <dxf>
      <numFmt numFmtId="0" formatCode="General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81" formatCode="0.00_ "/>
      <border>
        <top style="double">
          <color rgb="FF3F3F3F"/>
        </top>
        <horizontal/>
      </border>
    </dxf>
    <dxf>
      <numFmt numFmtId="179" formatCode="0.000_ "/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fill>
        <patternFill patternType="solid">
          <fgColor rgb="FFC1E5F5"/>
          <bgColor rgb="FFC1E5F5"/>
        </patternFill>
      </fill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5:E1305" totalsRowShown="0" headerRowDxfId="114" headerRowBorderDxfId="113" tableBorderDxfId="112">
  <tableColumns count="5">
    <tableColumn id="1" xr3:uid="{00000000-0010-0000-0000-000001000000}" name="항목" dataDxfId="111"/>
    <tableColumn id="2" xr3:uid="{00000000-0010-0000-0000-000002000000}" name="래핑 및 셀 프린팅 검사" dataDxfId="110"/>
    <tableColumn id="3" xr3:uid="{00000000-0010-0000-0000-000003000000}" name="음극 및 양극 손상, 스크래치, 녹 및 오염" dataDxfId="109"/>
    <tableColumn id="4" xr3:uid="{00000000-0010-0000-0000-000004000000}" name="전체 셀 손상, 스크래치, 녹 및 오염 검사" dataDxfId="108"/>
    <tableColumn id="5" xr3:uid="{00000000-0010-0000-0000-000005000000}" name="비고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G5:S1305" totalsRowShown="0" headerRowDxfId="106" dataDxfId="104" headerRowBorderDxfId="105" tableBorderDxfId="103">
  <tableColumns count="13">
    <tableColumn id="1" xr3:uid="{00000000-0010-0000-0100-000001000000}" name="항목" dataDxfId="102"/>
    <tableColumn id="2" xr3:uid="{00000000-0010-0000-0100-000002000000}" name="무게 [g]" dataDxfId="101"/>
    <tableColumn id="3" xr3:uid="{00000000-0010-0000-0100-000003000000}" name="높이 측정 1point" dataDxfId="100"/>
    <tableColumn id="4" xr3:uid="{00000000-0010-0000-0100-000004000000}" name="높이 측정 2point" dataDxfId="99"/>
    <tableColumn id="5" xr3:uid="{00000000-0010-0000-0100-000005000000}" name="높이 측정 3point" dataDxfId="98"/>
    <tableColumn id="6" xr3:uid="{00000000-0010-0000-0100-000006000000}" name="높이 측정 4point" dataDxfId="97"/>
    <tableColumn id="7" xr3:uid="{00000000-0010-0000-0100-000007000000}" name="높이 측정 최대값" dataDxfId="96">
      <calculatedColumnFormula>MAX(I6:L6)</calculatedColumnFormula>
    </tableColumn>
    <tableColumn id="8" xr3:uid="{00000000-0010-0000-0100-000008000000}" name="높이 측정 최솟값" dataDxfId="95">
      <calculatedColumnFormula>MIN(I6:L6)</calculatedColumnFormula>
    </tableColumn>
    <tableColumn id="9" xr3:uid="{00000000-0010-0000-0100-000009000000}" name="양극 지름 최대값" dataDxfId="94"/>
    <tableColumn id="10" xr3:uid="{00000000-0010-0000-0100-00000A000000}" name="양극 지름 최소값" dataDxfId="93"/>
    <tableColumn id="11" xr3:uid="{00000000-0010-0000-0100-00000B000000}" name="음극 지름 최대값" dataDxfId="92"/>
    <tableColumn id="12" xr3:uid="{00000000-0010-0000-0100-00000C000000}" name="음극 지름 최소값" dataDxfId="91"/>
    <tableColumn id="13" xr3:uid="{00000000-0010-0000-0100-00000D000000}" name="비고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U5:BK1306" totalsRowCount="1" headerRowDxfId="89" dataDxfId="87" totalsRowDxfId="85" headerRowBorderDxfId="88" tableBorderDxfId="86">
  <autoFilter ref="U5:BK1305" xr:uid="{00000000-0009-0000-0100-000003000000}"/>
  <sortState xmlns:xlrd2="http://schemas.microsoft.com/office/spreadsheetml/2017/richdata2" ref="U6:BJ1045">
    <sortCondition ref="U5:U1045"/>
  </sortState>
  <tableColumns count="43">
    <tableColumn id="1" xr3:uid="{00000000-0010-0000-0200-000001000000}" name="항목" totalsRowFunction="count" dataDxfId="84"/>
    <tableColumn id="2" xr3:uid="{00000000-0010-0000-0200-000002000000}" name="INITIAL" dataDxfId="83" totalsRowDxfId="82"/>
    <tableColumn id="3" xr3:uid="{00000000-0010-0000-0200-000003000000}" name="voltage" dataDxfId="81" totalsRowDxfId="80"/>
    <tableColumn id="4" xr3:uid="{00000000-0010-0000-0200-000004000000}" name="ac impedence" dataDxfId="79" totalsRowDxfId="78"/>
    <tableColumn id="5" xr3:uid="{00000000-0010-0000-0200-000005000000}" name="4.2 [V]" dataDxfId="77" totalsRowDxfId="76"/>
    <tableColumn id="6" xr3:uid="{00000000-0010-0000-0200-000006000000}" name="voltage2" dataDxfId="75" totalsRowDxfId="74"/>
    <tableColumn id="7" xr3:uid="{00000000-0010-0000-0200-000007000000}" name="ac impedence3" dataDxfId="73" totalsRowDxfId="72"/>
    <tableColumn id="8" xr3:uid="{00000000-0010-0000-0200-000008000000}" name="2.5 [V]" dataDxfId="71" totalsRowDxfId="70"/>
    <tableColumn id="9" xr3:uid="{00000000-0010-0000-0200-000009000000}" name="voltage4" dataDxfId="69" totalsRowDxfId="68"/>
    <tableColumn id="10" xr3:uid="{00000000-0010-0000-0200-00000A000000}" name="ac impedence5" dataDxfId="67" totalsRowDxfId="66"/>
    <tableColumn id="42" xr3:uid="{DBC7338D-2A75-47F8-8A0C-A485DD2C33C0}" name="Capacity1" dataDxfId="65" totalsRowDxfId="64"/>
    <tableColumn id="11" xr3:uid="{00000000-0010-0000-0200-00000B000000}" name="Capacity2" dataDxfId="63" totalsRowDxfId="62"/>
    <tableColumn id="43" xr3:uid="{9496F080-D564-4299-A209-0C0F2E36BB37}" name="Self-Discharge-Rate" dataDxfId="61" totalsRowDxfId="60"/>
    <tableColumn id="12" xr3:uid="{00000000-0010-0000-0200-00000C000000}" name="3.6 [V]" dataDxfId="59" totalsRowDxfId="58"/>
    <tableColumn id="13" xr3:uid="{00000000-0010-0000-0200-00000D000000}" name="전압" dataDxfId="57" totalsRowDxfId="56"/>
    <tableColumn id="14" xr3:uid="{00000000-0010-0000-0200-00000E000000}" name="ACIR" dataDxfId="55" totalsRowDxfId="54"/>
    <tableColumn id="15" xr3:uid="{00000000-0010-0000-0200-00000F000000}" name="100%" dataDxfId="53" totalsRowDxfId="52"/>
    <tableColumn id="16" xr3:uid="{00000000-0010-0000-0200-000010000000}" name="OCV0100" dataDxfId="51" totalsRowDxfId="50"/>
    <tableColumn id="17" xr3:uid="{00000000-0010-0000-0200-000011000000}" name="DCIR100_start" dataDxfId="49" totalsRowDxfId="48"/>
    <tableColumn id="18" xr3:uid="{00000000-0010-0000-0200-000012000000}" name="DCIR100_1s" dataDxfId="47" totalsRowDxfId="46"/>
    <tableColumn id="19" xr3:uid="{00000000-0010-0000-0200-000013000000}" name="DCIR100_10s" dataDxfId="45" totalsRowDxfId="44"/>
    <tableColumn id="20" xr3:uid="{00000000-0010-0000-0200-000014000000}" name="90%" dataDxfId="43" totalsRowDxfId="42"/>
    <tableColumn id="21" xr3:uid="{00000000-0010-0000-0200-000015000000}" name="OCV90" dataDxfId="41" totalsRowDxfId="40"/>
    <tableColumn id="22" xr3:uid="{00000000-0010-0000-0200-000016000000}" name="DCIR90_start" dataDxfId="39" totalsRowDxfId="38"/>
    <tableColumn id="23" xr3:uid="{00000000-0010-0000-0200-000017000000}" name="DCIR90_1s" dataDxfId="37" totalsRowDxfId="36"/>
    <tableColumn id="24" xr3:uid="{00000000-0010-0000-0200-000018000000}" name="DCIR90_10s" dataDxfId="35" totalsRowDxfId="34"/>
    <tableColumn id="25" xr3:uid="{00000000-0010-0000-0200-000019000000}" name="50%" dataDxfId="33" totalsRowDxfId="32"/>
    <tableColumn id="26" xr3:uid="{00000000-0010-0000-0200-00001A000000}" name="OCV50" dataDxfId="31" totalsRowDxfId="30"/>
    <tableColumn id="27" xr3:uid="{00000000-0010-0000-0200-00001B000000}" name="DCIR50_start" dataDxfId="29" totalsRowDxfId="28"/>
    <tableColumn id="28" xr3:uid="{00000000-0010-0000-0200-00001C000000}" name="DCIR50_1s" dataDxfId="27" totalsRowDxfId="26"/>
    <tableColumn id="29" xr3:uid="{00000000-0010-0000-0200-00001D000000}" name="DCIR50_10s" dataDxfId="25" totalsRowDxfId="24"/>
    <tableColumn id="30" xr3:uid="{00000000-0010-0000-0200-00001E000000}" name="10%" dataDxfId="23" totalsRowDxfId="22"/>
    <tableColumn id="31" xr3:uid="{00000000-0010-0000-0200-00001F000000}" name="OCV10" dataDxfId="21" totalsRowDxfId="20"/>
    <tableColumn id="32" xr3:uid="{00000000-0010-0000-0200-000020000000}" name="DCIR10_start" dataDxfId="19" totalsRowDxfId="18"/>
    <tableColumn id="33" xr3:uid="{00000000-0010-0000-0200-000021000000}" name="DCIR10_1s" dataDxfId="17" totalsRowDxfId="16"/>
    <tableColumn id="34" xr3:uid="{00000000-0010-0000-0200-000022000000}" name="DCIR10_10s" dataDxfId="15" totalsRowDxfId="14"/>
    <tableColumn id="35" xr3:uid="{00000000-0010-0000-0200-000023000000}" name="0%" dataDxfId="13" totalsRowDxfId="12"/>
    <tableColumn id="36" xr3:uid="{00000000-0010-0000-0200-000024000000}" name="OCV0" dataDxfId="11" totalsRowDxfId="10"/>
    <tableColumn id="37" xr3:uid="{00000000-0010-0000-0200-000025000000}" name="DCIR0_start" dataDxfId="9" totalsRowDxfId="8"/>
    <tableColumn id="38" xr3:uid="{00000000-0010-0000-0200-000026000000}" name="DCIR0_1s" dataDxfId="7" totalsRowDxfId="6"/>
    <tableColumn id="39" xr3:uid="{00000000-0010-0000-0200-000027000000}" name="DCIR0_10s" dataDxfId="5" totalsRowDxfId="4"/>
    <tableColumn id="40" xr3:uid="{00000000-0010-0000-0200-000028000000}" name="Used" dataDxfId="3" totalsRowDxfId="2"/>
    <tableColumn id="41" xr3:uid="{00000000-0010-0000-0200-000029000000}" name="비고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1E97-B25B-4EF7-B61F-F9207CF0E638}">
  <dimension ref="B1:G30"/>
  <sheetViews>
    <sheetView workbookViewId="0">
      <selection activeCell="C5" sqref="C5"/>
    </sheetView>
  </sheetViews>
  <sheetFormatPr defaultRowHeight="17.399999999999999" x14ac:dyDescent="0.4"/>
  <cols>
    <col min="1" max="1" width="1.59765625" customWidth="1"/>
    <col min="2" max="2" width="11.59765625" style="141" customWidth="1"/>
    <col min="3" max="4" width="9" style="59"/>
    <col min="5" max="5" width="31.09765625" style="59" customWidth="1"/>
    <col min="6" max="6" width="74.8984375" style="59" customWidth="1"/>
    <col min="7" max="7" width="11.8984375" style="59" customWidth="1"/>
  </cols>
  <sheetData>
    <row r="1" spans="2:7" ht="9.9" customHeight="1" x14ac:dyDescent="0.4"/>
    <row r="2" spans="2:7" ht="20.25" customHeight="1" x14ac:dyDescent="0.4">
      <c r="B2" s="177" t="s">
        <v>76</v>
      </c>
      <c r="C2" s="173" t="s">
        <v>77</v>
      </c>
      <c r="D2" s="175" t="s">
        <v>78</v>
      </c>
      <c r="E2" s="176"/>
      <c r="F2" s="173" t="s">
        <v>79</v>
      </c>
      <c r="G2" s="173" t="s">
        <v>69</v>
      </c>
    </row>
    <row r="3" spans="2:7" ht="20.25" customHeight="1" x14ac:dyDescent="0.4">
      <c r="B3" s="178"/>
      <c r="C3" s="174"/>
      <c r="D3" s="142" t="s">
        <v>80</v>
      </c>
      <c r="E3" s="143" t="s">
        <v>84</v>
      </c>
      <c r="F3" s="174"/>
      <c r="G3" s="174"/>
    </row>
    <row r="4" spans="2:7" x14ac:dyDescent="0.4">
      <c r="B4" s="146" t="s">
        <v>1383</v>
      </c>
      <c r="C4" s="58" t="s">
        <v>83</v>
      </c>
      <c r="D4" s="58" t="s">
        <v>81</v>
      </c>
      <c r="E4" s="58" t="s">
        <v>81</v>
      </c>
      <c r="F4" s="58" t="s">
        <v>82</v>
      </c>
      <c r="G4" s="58" t="s">
        <v>81</v>
      </c>
    </row>
    <row r="5" spans="2:7" x14ac:dyDescent="0.4">
      <c r="B5" s="146" t="s">
        <v>1432</v>
      </c>
      <c r="C5" s="58"/>
      <c r="D5" s="58"/>
      <c r="E5" s="145"/>
      <c r="F5" s="58"/>
      <c r="G5" s="55"/>
    </row>
    <row r="6" spans="2:7" x14ac:dyDescent="0.4">
      <c r="B6" s="146"/>
      <c r="C6" s="58"/>
      <c r="D6" s="58"/>
      <c r="E6" s="145"/>
      <c r="F6" s="145"/>
      <c r="G6" s="55"/>
    </row>
    <row r="7" spans="2:7" x14ac:dyDescent="0.4">
      <c r="B7" s="144"/>
      <c r="C7" s="55"/>
      <c r="D7" s="55"/>
      <c r="E7" s="55"/>
      <c r="F7" s="55"/>
      <c r="G7" s="55"/>
    </row>
    <row r="8" spans="2:7" x14ac:dyDescent="0.4">
      <c r="B8" s="144"/>
      <c r="C8" s="55"/>
      <c r="D8" s="55"/>
      <c r="E8" s="55"/>
      <c r="F8" s="55"/>
      <c r="G8" s="55"/>
    </row>
    <row r="9" spans="2:7" x14ac:dyDescent="0.4">
      <c r="B9" s="144"/>
      <c r="C9" s="55"/>
      <c r="D9" s="55"/>
      <c r="E9" s="55"/>
      <c r="F9" s="55"/>
      <c r="G9" s="55"/>
    </row>
    <row r="10" spans="2:7" x14ac:dyDescent="0.4">
      <c r="B10" s="144"/>
      <c r="C10" s="55"/>
      <c r="D10" s="55"/>
      <c r="E10" s="55"/>
      <c r="F10" s="55"/>
      <c r="G10" s="55"/>
    </row>
    <row r="11" spans="2:7" x14ac:dyDescent="0.4">
      <c r="B11" s="144"/>
      <c r="C11" s="55"/>
      <c r="D11" s="55"/>
      <c r="E11" s="55"/>
      <c r="F11" s="55"/>
      <c r="G11" s="55"/>
    </row>
    <row r="12" spans="2:7" x14ac:dyDescent="0.4">
      <c r="B12" s="144"/>
      <c r="C12" s="55"/>
      <c r="D12" s="55"/>
      <c r="E12" s="55"/>
      <c r="F12" s="55"/>
      <c r="G12" s="55"/>
    </row>
    <row r="13" spans="2:7" x14ac:dyDescent="0.4">
      <c r="B13" s="144"/>
      <c r="C13" s="55"/>
      <c r="D13" s="55"/>
      <c r="E13" s="55"/>
      <c r="F13" s="55"/>
      <c r="G13" s="55"/>
    </row>
    <row r="14" spans="2:7" x14ac:dyDescent="0.4">
      <c r="B14" s="144"/>
      <c r="C14" s="55"/>
      <c r="D14" s="55"/>
      <c r="E14" s="55"/>
      <c r="F14" s="55"/>
      <c r="G14" s="55"/>
    </row>
    <row r="15" spans="2:7" x14ac:dyDescent="0.4">
      <c r="B15" s="144"/>
      <c r="C15" s="55"/>
      <c r="D15" s="55"/>
      <c r="E15" s="55"/>
      <c r="F15" s="55"/>
      <c r="G15" s="55"/>
    </row>
    <row r="16" spans="2:7" x14ac:dyDescent="0.4">
      <c r="B16" s="144"/>
      <c r="C16" s="55"/>
      <c r="D16" s="55"/>
      <c r="E16" s="55"/>
      <c r="F16" s="55"/>
      <c r="G16" s="55"/>
    </row>
    <row r="17" spans="2:7" x14ac:dyDescent="0.4">
      <c r="B17" s="144"/>
      <c r="C17" s="55"/>
      <c r="D17" s="55"/>
      <c r="E17" s="55"/>
      <c r="F17" s="55"/>
      <c r="G17" s="55"/>
    </row>
    <row r="18" spans="2:7" x14ac:dyDescent="0.4">
      <c r="B18" s="144"/>
      <c r="C18" s="55"/>
      <c r="D18" s="55"/>
      <c r="E18" s="55"/>
      <c r="F18" s="55"/>
      <c r="G18" s="55"/>
    </row>
    <row r="19" spans="2:7" x14ac:dyDescent="0.4">
      <c r="B19" s="144"/>
      <c r="C19" s="55"/>
      <c r="D19" s="55"/>
      <c r="E19" s="55"/>
      <c r="F19" s="55"/>
      <c r="G19" s="55"/>
    </row>
    <row r="20" spans="2:7" x14ac:dyDescent="0.4">
      <c r="B20" s="144"/>
      <c r="C20" s="55"/>
      <c r="D20" s="55"/>
      <c r="E20" s="55"/>
      <c r="F20" s="55"/>
      <c r="G20" s="55"/>
    </row>
    <row r="21" spans="2:7" x14ac:dyDescent="0.4">
      <c r="B21" s="144"/>
      <c r="C21" s="55"/>
      <c r="D21" s="55"/>
      <c r="E21" s="55"/>
      <c r="F21" s="55"/>
      <c r="G21" s="55"/>
    </row>
    <row r="22" spans="2:7" x14ac:dyDescent="0.4">
      <c r="B22" s="144"/>
      <c r="C22" s="55"/>
      <c r="D22" s="55"/>
      <c r="E22" s="55"/>
      <c r="F22" s="55"/>
      <c r="G22" s="55"/>
    </row>
    <row r="23" spans="2:7" x14ac:dyDescent="0.4">
      <c r="B23" s="144"/>
      <c r="C23" s="55"/>
      <c r="D23" s="55"/>
      <c r="E23" s="55"/>
      <c r="F23" s="55"/>
      <c r="G23" s="55"/>
    </row>
    <row r="24" spans="2:7" x14ac:dyDescent="0.4">
      <c r="B24" s="144"/>
      <c r="C24" s="55"/>
      <c r="D24" s="55"/>
      <c r="E24" s="55"/>
      <c r="F24" s="55"/>
      <c r="G24" s="55"/>
    </row>
    <row r="25" spans="2:7" x14ac:dyDescent="0.4">
      <c r="B25" s="144"/>
      <c r="C25" s="55"/>
      <c r="D25" s="55"/>
      <c r="E25" s="55"/>
      <c r="F25" s="55"/>
      <c r="G25" s="55"/>
    </row>
    <row r="26" spans="2:7" x14ac:dyDescent="0.4">
      <c r="B26" s="144"/>
      <c r="C26" s="55"/>
      <c r="D26" s="55"/>
      <c r="E26" s="55"/>
      <c r="F26" s="55"/>
      <c r="G26" s="55"/>
    </row>
    <row r="27" spans="2:7" x14ac:dyDescent="0.4">
      <c r="B27" s="144"/>
      <c r="C27" s="55"/>
      <c r="D27" s="55"/>
      <c r="E27" s="55"/>
      <c r="F27" s="55"/>
      <c r="G27" s="55"/>
    </row>
    <row r="28" spans="2:7" x14ac:dyDescent="0.4">
      <c r="B28" s="144"/>
      <c r="C28" s="55"/>
      <c r="D28" s="55"/>
      <c r="E28" s="55"/>
      <c r="F28" s="55"/>
      <c r="G28" s="55"/>
    </row>
    <row r="29" spans="2:7" x14ac:dyDescent="0.4">
      <c r="B29" s="144"/>
      <c r="C29" s="55"/>
      <c r="D29" s="55"/>
      <c r="E29" s="55"/>
      <c r="F29" s="55"/>
      <c r="G29" s="55"/>
    </row>
    <row r="30" spans="2:7" x14ac:dyDescent="0.4">
      <c r="B30" s="144"/>
      <c r="C30" s="55"/>
      <c r="D30" s="55"/>
      <c r="E30" s="55"/>
      <c r="F30" s="55"/>
      <c r="G30" s="55"/>
    </row>
  </sheetData>
  <mergeCells count="5">
    <mergeCell ref="C2:C3"/>
    <mergeCell ref="D2:E2"/>
    <mergeCell ref="F2:F3"/>
    <mergeCell ref="G2:G3"/>
    <mergeCell ref="B2:B3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1306"/>
  <sheetViews>
    <sheetView tabSelected="1" zoomScale="70" zoomScaleNormal="70" zoomScaleSheetLayoutView="86" workbookViewId="0">
      <pane ySplit="5" topLeftCell="A6" activePane="bottomLeft" state="frozen"/>
      <selection pane="bottomLeft" activeCell="B74" sqref="B74"/>
    </sheetView>
  </sheetViews>
  <sheetFormatPr defaultColWidth="8.59765625" defaultRowHeight="17.399999999999999" x14ac:dyDescent="0.4"/>
  <cols>
    <col min="1" max="1" width="27.69921875" style="60" customWidth="1"/>
    <col min="2" max="2" width="22.3984375" style="60" customWidth="1"/>
    <col min="3" max="4" width="38.19921875" style="60" customWidth="1"/>
    <col min="5" max="5" width="20.19921875" style="60" customWidth="1"/>
    <col min="6" max="6" width="8.59765625" style="60"/>
    <col min="7" max="7" width="27.69921875" style="60" bestFit="1" customWidth="1"/>
    <col min="8" max="8" width="18.19921875" style="154" customWidth="1"/>
    <col min="9" max="12" width="17.19921875" style="148" customWidth="1"/>
    <col min="13" max="14" width="17.19921875" style="60" customWidth="1"/>
    <col min="15" max="18" width="17.19921875" style="148" customWidth="1"/>
    <col min="20" max="20" width="10.69921875" style="60" customWidth="1"/>
    <col min="21" max="21" width="25.5" style="60" customWidth="1"/>
    <col min="22" max="22" width="9.09765625" style="1" customWidth="1"/>
    <col min="23" max="23" width="10.69921875" style="60" customWidth="1"/>
    <col min="24" max="24" width="8.19921875" style="2" customWidth="1"/>
    <col min="25" max="25" width="6.59765625" style="60" customWidth="1"/>
    <col min="26" max="26" width="7.5" style="60" customWidth="1"/>
    <col min="27" max="27" width="6.19921875" style="60" customWidth="1"/>
    <col min="28" max="28" width="6.19921875" style="1" customWidth="1"/>
    <col min="29" max="29" width="6.8984375" style="60" customWidth="1"/>
    <col min="30" max="30" width="6.69921875" style="2" customWidth="1"/>
    <col min="31" max="31" width="9.69921875" customWidth="1"/>
    <col min="32" max="32" width="8.19921875" style="60" customWidth="1"/>
    <col min="33" max="33" width="10.69921875" style="60" customWidth="1"/>
    <col min="34" max="34" width="5.5" style="11" customWidth="1"/>
    <col min="35" max="35" width="8.69921875" style="87" customWidth="1"/>
    <col min="36" max="36" width="7.59765625" style="90" customWidth="1"/>
    <col min="37" max="37" width="7.59765625" style="14" customWidth="1"/>
    <col min="38" max="38" width="10.3984375" style="64" customWidth="1"/>
    <col min="39" max="39" width="9" style="56" customWidth="1"/>
    <col min="40" max="40" width="7.59765625" style="56" customWidth="1"/>
    <col min="41" max="41" width="7.09765625" style="62" customWidth="1"/>
    <col min="42" max="42" width="7.59765625" style="11" customWidth="1"/>
    <col min="43" max="43" width="9.8984375" style="64" customWidth="1"/>
    <col min="44" max="45" width="7.59765625" style="56" customWidth="1"/>
    <col min="46" max="46" width="7.59765625" style="62" customWidth="1"/>
    <col min="47" max="47" width="7.59765625" style="11" customWidth="1"/>
    <col min="48" max="48" width="7.59765625" style="64" customWidth="1"/>
    <col min="49" max="50" width="7.59765625" style="56" customWidth="1"/>
    <col min="51" max="51" width="7.59765625" style="62" customWidth="1"/>
    <col min="52" max="52" width="7.59765625" style="11" customWidth="1"/>
    <col min="53" max="53" width="7.59765625" style="64" customWidth="1"/>
    <col min="54" max="55" width="7.59765625" style="56" customWidth="1"/>
    <col min="56" max="56" width="7.59765625" style="62" customWidth="1"/>
    <col min="57" max="57" width="7.59765625" style="11" customWidth="1"/>
    <col min="58" max="58" width="7.59765625" style="64" customWidth="1"/>
    <col min="59" max="60" width="7.59765625" style="56" customWidth="1"/>
    <col min="61" max="61" width="7.59765625" style="62" customWidth="1"/>
    <col min="62" max="62" width="14" style="2" bestFit="1" customWidth="1"/>
    <col min="63" max="63" width="15.09765625" style="54" bestFit="1" customWidth="1"/>
  </cols>
  <sheetData>
    <row r="1" spans="1:63" ht="17.25" customHeight="1" thickBot="1" x14ac:dyDescent="0.45">
      <c r="H1" s="154">
        <v>7</v>
      </c>
      <c r="K1" s="148">
        <v>10</v>
      </c>
      <c r="P1" s="148">
        <v>15</v>
      </c>
      <c r="U1" s="60">
        <v>20</v>
      </c>
      <c r="Z1" s="60">
        <v>25</v>
      </c>
      <c r="AE1">
        <v>30</v>
      </c>
      <c r="AH1" s="97"/>
      <c r="AI1" s="98"/>
      <c r="AJ1" s="99">
        <v>35</v>
      </c>
      <c r="AK1" s="100"/>
      <c r="AL1" s="101"/>
      <c r="AM1" s="102"/>
      <c r="AN1" s="102"/>
      <c r="AO1" s="103">
        <v>40</v>
      </c>
      <c r="AP1" s="97"/>
      <c r="AQ1" s="101"/>
      <c r="AR1" s="102"/>
      <c r="AS1" s="102"/>
      <c r="AT1" s="103">
        <v>45</v>
      </c>
      <c r="AU1" s="97"/>
      <c r="AV1" s="101"/>
      <c r="AW1" s="102"/>
      <c r="AX1" s="102"/>
      <c r="AY1" s="103">
        <v>50</v>
      </c>
      <c r="AZ1" s="97"/>
      <c r="BA1" s="101"/>
      <c r="BB1" s="102"/>
      <c r="BC1" s="102"/>
      <c r="BD1" s="103">
        <v>55</v>
      </c>
      <c r="BE1" s="97"/>
      <c r="BF1" s="101"/>
      <c r="BG1" s="102"/>
      <c r="BH1" s="102"/>
      <c r="BI1" s="103">
        <v>60</v>
      </c>
      <c r="BJ1" s="65">
        <v>61</v>
      </c>
      <c r="BK1" s="52"/>
    </row>
    <row r="2" spans="1:63" x14ac:dyDescent="0.4">
      <c r="A2" s="44" t="s">
        <v>0</v>
      </c>
      <c r="B2" s="44" t="s">
        <v>1</v>
      </c>
      <c r="C2" s="44"/>
      <c r="D2" s="44"/>
      <c r="E2" s="44"/>
      <c r="G2" s="5" t="s">
        <v>0</v>
      </c>
      <c r="H2" s="155" t="s">
        <v>1</v>
      </c>
      <c r="I2" s="149"/>
      <c r="J2" s="149"/>
      <c r="K2" s="149"/>
      <c r="L2" s="149"/>
      <c r="M2" s="6"/>
      <c r="N2" s="6"/>
      <c r="O2" s="149"/>
      <c r="P2" s="149"/>
      <c r="Q2" s="149"/>
      <c r="R2" s="149"/>
      <c r="S2" s="7"/>
      <c r="U2" s="25" t="s">
        <v>0</v>
      </c>
      <c r="V2" s="25" t="s">
        <v>1</v>
      </c>
      <c r="W2" s="27"/>
      <c r="X2" s="66"/>
      <c r="Y2" s="25"/>
      <c r="Z2" s="27"/>
      <c r="AA2" s="66"/>
      <c r="AB2" s="25"/>
      <c r="AC2" s="27"/>
      <c r="AD2" s="66"/>
      <c r="AE2" s="27"/>
      <c r="AF2" s="27"/>
      <c r="AG2" s="27"/>
      <c r="AH2" s="25"/>
      <c r="AI2" s="104"/>
      <c r="AJ2" s="105"/>
      <c r="AK2" s="25"/>
      <c r="AL2" s="108"/>
      <c r="AM2" s="109"/>
      <c r="AN2" s="109"/>
      <c r="AO2" s="110"/>
      <c r="AP2" s="25"/>
      <c r="AQ2" s="108"/>
      <c r="AR2" s="109"/>
      <c r="AS2" s="109"/>
      <c r="AT2" s="110"/>
      <c r="AU2" s="25"/>
      <c r="AV2" s="108"/>
      <c r="AW2" s="109"/>
      <c r="AX2" s="109"/>
      <c r="AY2" s="110"/>
      <c r="AZ2" s="25"/>
      <c r="BA2" s="108"/>
      <c r="BB2" s="109"/>
      <c r="BC2" s="109"/>
      <c r="BD2" s="110"/>
      <c r="BE2" s="25"/>
      <c r="BF2" s="108"/>
      <c r="BG2" s="109"/>
      <c r="BH2" s="109"/>
      <c r="BI2" s="110"/>
      <c r="BJ2" s="25"/>
      <c r="BK2" s="66"/>
    </row>
    <row r="3" spans="1:63" ht="17.25" customHeight="1" x14ac:dyDescent="0.4">
      <c r="A3" s="45" t="s">
        <v>2</v>
      </c>
      <c r="B3" s="45" t="s">
        <v>3</v>
      </c>
      <c r="C3" s="45"/>
      <c r="D3" s="45"/>
      <c r="E3" s="45"/>
      <c r="G3" s="8" t="s">
        <v>2</v>
      </c>
      <c r="H3" s="156" t="s">
        <v>3</v>
      </c>
      <c r="I3" s="150"/>
      <c r="J3" s="150"/>
      <c r="K3" s="150"/>
      <c r="L3" s="150"/>
      <c r="M3" s="3"/>
      <c r="N3" s="3"/>
      <c r="O3" s="150"/>
      <c r="P3" s="150"/>
      <c r="Q3" s="150"/>
      <c r="R3" s="150"/>
      <c r="S3" s="9"/>
      <c r="U3" s="26" t="s">
        <v>2</v>
      </c>
      <c r="V3" s="26"/>
      <c r="W3" s="28"/>
      <c r="X3" s="67"/>
      <c r="Y3" s="26"/>
      <c r="Z3" s="28"/>
      <c r="AA3" s="67"/>
      <c r="AB3" s="26"/>
      <c r="AC3" s="28"/>
      <c r="AD3" s="67"/>
      <c r="AE3" s="28"/>
      <c r="AF3" s="28"/>
      <c r="AG3" s="28"/>
      <c r="AH3" s="26"/>
      <c r="AI3" s="106"/>
      <c r="AJ3" s="107"/>
      <c r="AK3" s="26"/>
      <c r="AL3" s="111"/>
      <c r="AM3" s="112"/>
      <c r="AN3" s="112"/>
      <c r="AO3" s="113"/>
      <c r="AP3" s="26"/>
      <c r="AQ3" s="111"/>
      <c r="AR3" s="112"/>
      <c r="AS3" s="112"/>
      <c r="AT3" s="113"/>
      <c r="AU3" s="26"/>
      <c r="AV3" s="111"/>
      <c r="AW3" s="112"/>
      <c r="AX3" s="112"/>
      <c r="AY3" s="113"/>
      <c r="AZ3" s="26"/>
      <c r="BA3" s="111"/>
      <c r="BB3" s="112"/>
      <c r="BC3" s="112"/>
      <c r="BD3" s="113"/>
      <c r="BE3" s="26"/>
      <c r="BF3" s="111"/>
      <c r="BG3" s="112"/>
      <c r="BH3" s="112"/>
      <c r="BI3" s="113"/>
      <c r="BJ3" s="26"/>
      <c r="BK3" s="67"/>
    </row>
    <row r="4" spans="1:63" ht="18" customHeight="1" x14ac:dyDescent="0.4">
      <c r="A4" s="46" t="s">
        <v>4</v>
      </c>
      <c r="B4" s="46" t="s">
        <v>5</v>
      </c>
      <c r="C4" s="46"/>
      <c r="D4" s="46"/>
      <c r="E4" s="46"/>
      <c r="G4" s="41" t="s">
        <v>4</v>
      </c>
      <c r="H4" s="157" t="s">
        <v>6</v>
      </c>
      <c r="I4" s="151" t="s">
        <v>7</v>
      </c>
      <c r="J4" s="151"/>
      <c r="K4" s="151"/>
      <c r="L4" s="151"/>
      <c r="M4" s="42" t="s">
        <v>8</v>
      </c>
      <c r="N4" s="42" t="s">
        <v>8</v>
      </c>
      <c r="O4" s="151" t="s">
        <v>7</v>
      </c>
      <c r="P4" s="151"/>
      <c r="Q4" s="151"/>
      <c r="R4" s="151"/>
      <c r="S4" s="47"/>
      <c r="U4" s="48" t="s">
        <v>4</v>
      </c>
      <c r="V4" s="10"/>
      <c r="W4" s="114" t="s">
        <v>9</v>
      </c>
      <c r="X4" s="115" t="s">
        <v>10</v>
      </c>
      <c r="Y4" s="116" t="s">
        <v>11</v>
      </c>
      <c r="Z4" s="117" t="s">
        <v>9</v>
      </c>
      <c r="AA4" s="118" t="s">
        <v>10</v>
      </c>
      <c r="AB4" s="119" t="s">
        <v>12</v>
      </c>
      <c r="AC4" s="117" t="s">
        <v>9</v>
      </c>
      <c r="AD4" s="120" t="s">
        <v>10</v>
      </c>
      <c r="AE4" s="135" t="s">
        <v>73</v>
      </c>
      <c r="AF4" s="128" t="s">
        <v>73</v>
      </c>
      <c r="AG4" s="129" t="s">
        <v>74</v>
      </c>
      <c r="AH4" s="121" t="s">
        <v>13</v>
      </c>
      <c r="AI4" s="122" t="s">
        <v>9</v>
      </c>
      <c r="AJ4" s="123" t="s">
        <v>10</v>
      </c>
      <c r="AK4" s="130" t="s">
        <v>75</v>
      </c>
      <c r="AL4" s="124" t="s">
        <v>14</v>
      </c>
      <c r="AM4" s="170" t="s">
        <v>10</v>
      </c>
      <c r="AN4" s="171"/>
      <c r="AO4" s="172"/>
      <c r="AP4" s="127" t="s">
        <v>75</v>
      </c>
      <c r="AQ4" s="124" t="s">
        <v>14</v>
      </c>
      <c r="AR4" s="170" t="s">
        <v>10</v>
      </c>
      <c r="AS4" s="171"/>
      <c r="AT4" s="172"/>
      <c r="AU4" s="127" t="s">
        <v>75</v>
      </c>
      <c r="AV4" s="124" t="s">
        <v>14</v>
      </c>
      <c r="AW4" s="170" t="s">
        <v>10</v>
      </c>
      <c r="AX4" s="171"/>
      <c r="AY4" s="172"/>
      <c r="AZ4" s="127" t="s">
        <v>75</v>
      </c>
      <c r="BA4" s="124" t="s">
        <v>14</v>
      </c>
      <c r="BB4" s="170" t="s">
        <v>10</v>
      </c>
      <c r="BC4" s="171"/>
      <c r="BD4" s="172"/>
      <c r="BE4" s="127" t="s">
        <v>75</v>
      </c>
      <c r="BF4" s="124" t="s">
        <v>14</v>
      </c>
      <c r="BG4" s="170" t="s">
        <v>10</v>
      </c>
      <c r="BH4" s="171"/>
      <c r="BI4" s="172"/>
      <c r="BJ4" s="125"/>
      <c r="BK4" s="126"/>
    </row>
    <row r="5" spans="1:63" ht="17.25" customHeight="1" x14ac:dyDescent="0.4">
      <c r="A5" s="43" t="s">
        <v>15</v>
      </c>
      <c r="B5" s="43" t="s">
        <v>16</v>
      </c>
      <c r="C5" s="43" t="s">
        <v>17</v>
      </c>
      <c r="D5" s="43" t="s">
        <v>18</v>
      </c>
      <c r="E5" s="43" t="s">
        <v>19</v>
      </c>
      <c r="G5" s="43" t="s">
        <v>15</v>
      </c>
      <c r="H5" s="158" t="s">
        <v>20</v>
      </c>
      <c r="I5" s="152" t="s">
        <v>21</v>
      </c>
      <c r="J5" s="152" t="s">
        <v>22</v>
      </c>
      <c r="K5" s="152" t="s">
        <v>23</v>
      </c>
      <c r="L5" s="152" t="s">
        <v>24</v>
      </c>
      <c r="M5" s="43" t="s">
        <v>25</v>
      </c>
      <c r="N5" s="43" t="s">
        <v>26</v>
      </c>
      <c r="O5" s="152" t="s">
        <v>27</v>
      </c>
      <c r="P5" s="152" t="s">
        <v>28</v>
      </c>
      <c r="Q5" s="152" t="s">
        <v>29</v>
      </c>
      <c r="R5" s="152" t="s">
        <v>30</v>
      </c>
      <c r="S5" s="43" t="s">
        <v>19</v>
      </c>
      <c r="U5" s="49" t="s">
        <v>15</v>
      </c>
      <c r="V5" s="50" t="s">
        <v>31</v>
      </c>
      <c r="W5" s="49" t="s">
        <v>32</v>
      </c>
      <c r="X5" s="49" t="s">
        <v>33</v>
      </c>
      <c r="Y5" s="50" t="s">
        <v>34</v>
      </c>
      <c r="Z5" s="49" t="s">
        <v>35</v>
      </c>
      <c r="AA5" s="49" t="s">
        <v>36</v>
      </c>
      <c r="AB5" s="50" t="s">
        <v>37</v>
      </c>
      <c r="AC5" s="49" t="s">
        <v>38</v>
      </c>
      <c r="AD5" s="49" t="s">
        <v>39</v>
      </c>
      <c r="AE5" s="95" t="s">
        <v>72</v>
      </c>
      <c r="AF5" s="140" t="s">
        <v>70</v>
      </c>
      <c r="AG5" s="131" t="s">
        <v>71</v>
      </c>
      <c r="AH5" s="88" t="s">
        <v>40</v>
      </c>
      <c r="AI5" s="83" t="s">
        <v>41</v>
      </c>
      <c r="AJ5" s="89" t="s">
        <v>42</v>
      </c>
      <c r="AK5" s="85" t="s">
        <v>43</v>
      </c>
      <c r="AL5" s="63" t="s">
        <v>44</v>
      </c>
      <c r="AM5" s="61" t="s">
        <v>45</v>
      </c>
      <c r="AN5" s="61" t="s">
        <v>46</v>
      </c>
      <c r="AO5" s="77" t="s">
        <v>47</v>
      </c>
      <c r="AP5" s="76" t="s">
        <v>48</v>
      </c>
      <c r="AQ5" s="63" t="s">
        <v>49</v>
      </c>
      <c r="AR5" s="61" t="s">
        <v>50</v>
      </c>
      <c r="AS5" s="61" t="s">
        <v>51</v>
      </c>
      <c r="AT5" s="77" t="s">
        <v>52</v>
      </c>
      <c r="AU5" s="76" t="s">
        <v>53</v>
      </c>
      <c r="AV5" s="63" t="s">
        <v>54</v>
      </c>
      <c r="AW5" s="61" t="s">
        <v>55</v>
      </c>
      <c r="AX5" s="61" t="s">
        <v>56</v>
      </c>
      <c r="AY5" s="77" t="s">
        <v>57</v>
      </c>
      <c r="AZ5" s="76" t="s">
        <v>58</v>
      </c>
      <c r="BA5" s="63" t="s">
        <v>59</v>
      </c>
      <c r="BB5" s="61" t="s">
        <v>60</v>
      </c>
      <c r="BC5" s="61" t="s">
        <v>61</v>
      </c>
      <c r="BD5" s="77" t="s">
        <v>62</v>
      </c>
      <c r="BE5" s="76" t="s">
        <v>63</v>
      </c>
      <c r="BF5" s="63" t="s">
        <v>64</v>
      </c>
      <c r="BG5" s="61" t="s">
        <v>65</v>
      </c>
      <c r="BH5" s="61" t="s">
        <v>66</v>
      </c>
      <c r="BI5" s="77" t="s">
        <v>67</v>
      </c>
      <c r="BJ5" s="68" t="s">
        <v>68</v>
      </c>
      <c r="BK5" s="53" t="s">
        <v>69</v>
      </c>
    </row>
    <row r="6" spans="1:63" x14ac:dyDescent="0.4">
      <c r="A6" s="19" t="s">
        <v>1433</v>
      </c>
      <c r="B6" s="20"/>
      <c r="C6" s="20"/>
      <c r="D6" s="20"/>
      <c r="E6" s="22"/>
      <c r="G6" s="147" t="s">
        <v>85</v>
      </c>
      <c r="H6" s="159">
        <v>69.977000000000004</v>
      </c>
      <c r="I6" s="153">
        <v>70.38</v>
      </c>
      <c r="J6" s="153">
        <v>70.3</v>
      </c>
      <c r="K6" s="153">
        <v>70.319999999999993</v>
      </c>
      <c r="L6" s="153">
        <v>70.28</v>
      </c>
      <c r="M6" s="15">
        <f t="shared" ref="M6:M69" si="0">MAX(I6:L6)</f>
        <v>70.38</v>
      </c>
      <c r="N6" s="15">
        <f t="shared" ref="N6:N69" si="1">MIN(I6:L6)</f>
        <v>70.28</v>
      </c>
      <c r="O6" s="153">
        <v>21.02</v>
      </c>
      <c r="P6" s="153">
        <v>21.01</v>
      </c>
      <c r="Q6" s="153">
        <v>20.98</v>
      </c>
      <c r="R6" s="153">
        <v>20.96</v>
      </c>
      <c r="S6" s="4"/>
      <c r="U6" s="147" t="s">
        <v>85</v>
      </c>
      <c r="V6" s="19"/>
      <c r="W6" s="20"/>
      <c r="X6" s="22"/>
      <c r="Y6" s="31"/>
      <c r="Z6" s="20"/>
      <c r="AA6" s="21"/>
      <c r="AB6" s="19"/>
      <c r="AC6" s="20"/>
      <c r="AD6" s="22"/>
      <c r="AE6" s="136"/>
      <c r="AF6" s="14">
        <v>4.9972000000000003</v>
      </c>
      <c r="AG6" s="132"/>
      <c r="AI6" s="84"/>
      <c r="AL6" s="166">
        <v>4.1726453499999998</v>
      </c>
      <c r="AM6" s="56">
        <v>15.16000000000002</v>
      </c>
      <c r="AN6" s="56">
        <v>17.18000000000011</v>
      </c>
      <c r="AO6" s="62">
        <v>23.4</v>
      </c>
      <c r="AQ6" s="64">
        <v>4.0815016999999987</v>
      </c>
      <c r="AR6" s="56">
        <v>15.039999999999941</v>
      </c>
      <c r="AS6" s="56">
        <v>16.560000000000041</v>
      </c>
      <c r="AT6" s="62">
        <v>20.820000000000061</v>
      </c>
      <c r="AV6" s="166">
        <v>3.727403433333333</v>
      </c>
      <c r="AW6" s="56">
        <v>14.63999999999999</v>
      </c>
      <c r="AX6" s="56">
        <v>16.180000000000039</v>
      </c>
      <c r="AY6" s="62">
        <v>21.159999999999979</v>
      </c>
      <c r="BA6" s="64">
        <v>3.1782619666666672</v>
      </c>
      <c r="BB6" s="56">
        <v>17.600000000000019</v>
      </c>
      <c r="BC6" s="56">
        <v>20.180000000000039</v>
      </c>
      <c r="BD6" s="62">
        <v>32.720000000000041</v>
      </c>
      <c r="BF6" s="64">
        <v>2.9386993499999998</v>
      </c>
      <c r="BG6" s="56">
        <v>21.679999999999922</v>
      </c>
      <c r="BH6" s="56">
        <v>29.159999999999989</v>
      </c>
      <c r="BI6" s="62">
        <v>59.779999999999937</v>
      </c>
      <c r="BJ6" s="69"/>
      <c r="BK6" s="51"/>
    </row>
    <row r="7" spans="1:63" x14ac:dyDescent="0.4">
      <c r="A7" s="11" t="s">
        <v>86</v>
      </c>
      <c r="B7" s="4"/>
      <c r="C7" s="4"/>
      <c r="D7" s="4"/>
      <c r="E7" s="12"/>
      <c r="G7" s="147" t="s">
        <v>86</v>
      </c>
      <c r="H7" s="159">
        <v>70.025999999999996</v>
      </c>
      <c r="I7" s="153">
        <v>70.400000000000006</v>
      </c>
      <c r="J7" s="153">
        <v>70.25</v>
      </c>
      <c r="K7" s="153">
        <v>70.42</v>
      </c>
      <c r="L7" s="153">
        <v>70.3</v>
      </c>
      <c r="M7" s="80">
        <f t="shared" si="0"/>
        <v>70.42</v>
      </c>
      <c r="N7" s="80">
        <f t="shared" si="1"/>
        <v>70.25</v>
      </c>
      <c r="O7" s="153">
        <v>21.19</v>
      </c>
      <c r="P7" s="153">
        <v>21.18</v>
      </c>
      <c r="Q7" s="153">
        <v>21.15</v>
      </c>
      <c r="R7" s="153">
        <v>21.14</v>
      </c>
      <c r="S7" s="4"/>
      <c r="U7" s="147" t="s">
        <v>86</v>
      </c>
      <c r="V7" s="11"/>
      <c r="W7" s="4"/>
      <c r="X7" s="12"/>
      <c r="Y7" s="14"/>
      <c r="Z7" s="4"/>
      <c r="AA7" s="13"/>
      <c r="AB7" s="11"/>
      <c r="AC7" s="4"/>
      <c r="AD7" s="12"/>
      <c r="AE7" s="136"/>
      <c r="AF7" s="14">
        <v>5.0115999999999996</v>
      </c>
      <c r="AG7" s="132"/>
      <c r="AI7" s="84"/>
      <c r="AL7" s="166">
        <v>4.1714530500000002</v>
      </c>
      <c r="AM7" s="56">
        <v>15.680000000000049</v>
      </c>
      <c r="AN7" s="56">
        <v>17.740000000000041</v>
      </c>
      <c r="AO7" s="62">
        <v>24.14000000000005</v>
      </c>
      <c r="AQ7" s="64">
        <v>4.0809011999999996</v>
      </c>
      <c r="AR7" s="56">
        <v>15.240000000000011</v>
      </c>
      <c r="AS7" s="56">
        <v>16.780000000000062</v>
      </c>
      <c r="AT7" s="62">
        <v>21.06000000000012</v>
      </c>
      <c r="AV7" s="166">
        <v>3.7270884666666668</v>
      </c>
      <c r="AW7" s="56">
        <v>14.739999999999929</v>
      </c>
      <c r="AX7" s="56">
        <v>16.27999999999998</v>
      </c>
      <c r="AY7" s="62">
        <v>21.319999999999961</v>
      </c>
      <c r="BA7" s="64">
        <v>3.1840989666666668</v>
      </c>
      <c r="BB7" s="56">
        <v>17.400000000000041</v>
      </c>
      <c r="BC7" s="56">
        <v>20.000000000000021</v>
      </c>
      <c r="BD7" s="62">
        <v>32.399999999999977</v>
      </c>
      <c r="BF7" s="64">
        <v>2.9445181499999999</v>
      </c>
      <c r="BG7" s="56">
        <v>21.199999999999971</v>
      </c>
      <c r="BH7" s="56">
        <v>27.979999999999979</v>
      </c>
      <c r="BI7" s="62">
        <v>56.899999999999991</v>
      </c>
      <c r="BJ7" s="69"/>
      <c r="BK7" s="51"/>
    </row>
    <row r="8" spans="1:63" x14ac:dyDescent="0.4">
      <c r="A8" s="11" t="s">
        <v>87</v>
      </c>
      <c r="B8" s="4"/>
      <c r="C8" s="4"/>
      <c r="D8" s="4"/>
      <c r="E8" s="12"/>
      <c r="G8" s="147" t="s">
        <v>87</v>
      </c>
      <c r="H8" s="159">
        <v>70.045000000000002</v>
      </c>
      <c r="I8" s="153">
        <v>70.36</v>
      </c>
      <c r="J8" s="153">
        <v>70.37</v>
      </c>
      <c r="K8" s="153">
        <v>70.28</v>
      </c>
      <c r="L8" s="153">
        <v>70.38</v>
      </c>
      <c r="M8" s="80">
        <f t="shared" si="0"/>
        <v>70.38</v>
      </c>
      <c r="N8" s="80">
        <f t="shared" si="1"/>
        <v>70.28</v>
      </c>
      <c r="O8" s="153">
        <v>21</v>
      </c>
      <c r="P8" s="153">
        <v>20.97</v>
      </c>
      <c r="Q8" s="153">
        <v>21.14</v>
      </c>
      <c r="R8" s="153">
        <v>21.13</v>
      </c>
      <c r="S8" s="4"/>
      <c r="U8" s="147" t="s">
        <v>87</v>
      </c>
      <c r="V8" s="11"/>
      <c r="W8" s="4"/>
      <c r="X8" s="12"/>
      <c r="Y8" s="14"/>
      <c r="Z8" s="4"/>
      <c r="AA8" s="13"/>
      <c r="AB8" s="11"/>
      <c r="AC8" s="4"/>
      <c r="AD8" s="12"/>
      <c r="AE8" s="136"/>
      <c r="AF8" s="14">
        <v>5.0073999999999996</v>
      </c>
      <c r="AG8" s="132"/>
      <c r="AI8" s="84"/>
      <c r="AL8" s="166">
        <v>4.1721645333333326</v>
      </c>
      <c r="AM8" s="56">
        <v>15.10000000000016</v>
      </c>
      <c r="AN8" s="56">
        <v>17.120000000000068</v>
      </c>
      <c r="AO8" s="62">
        <v>23.440000000000079</v>
      </c>
      <c r="AQ8" s="64">
        <v>4.0807937999999986</v>
      </c>
      <c r="AR8" s="56">
        <v>14.700000000000021</v>
      </c>
      <c r="AS8" s="56">
        <v>16.16</v>
      </c>
      <c r="AT8" s="62">
        <v>20.439999999999969</v>
      </c>
      <c r="AV8" s="166">
        <v>3.7266465333333341</v>
      </c>
      <c r="AW8" s="56">
        <v>14.32000000000002</v>
      </c>
      <c r="AX8" s="56">
        <v>15.80000000000004</v>
      </c>
      <c r="AY8" s="62">
        <v>20.739999999999981</v>
      </c>
      <c r="BA8" s="64">
        <v>3.1817152333333332</v>
      </c>
      <c r="BB8" s="56">
        <v>17.260000000000009</v>
      </c>
      <c r="BC8" s="56">
        <v>19.81999999999999</v>
      </c>
      <c r="BD8" s="62">
        <v>32.219999999999963</v>
      </c>
      <c r="BF8" s="64">
        <v>2.9550997666666672</v>
      </c>
      <c r="BG8" s="56">
        <v>21.23999999999997</v>
      </c>
      <c r="BH8" s="56">
        <v>28.89999999999997</v>
      </c>
      <c r="BI8" s="62">
        <v>58.579999999999977</v>
      </c>
      <c r="BJ8" s="69"/>
      <c r="BK8" s="51"/>
    </row>
    <row r="9" spans="1:63" x14ac:dyDescent="0.4">
      <c r="A9" s="11" t="s">
        <v>88</v>
      </c>
      <c r="B9" s="4"/>
      <c r="C9" s="4"/>
      <c r="D9" s="4"/>
      <c r="E9" s="12"/>
      <c r="G9" s="147" t="s">
        <v>88</v>
      </c>
      <c r="H9" s="159">
        <v>70.007000000000005</v>
      </c>
      <c r="I9" s="153">
        <v>70.34</v>
      </c>
      <c r="J9" s="153">
        <v>70.33</v>
      </c>
      <c r="K9" s="153">
        <v>70.349999999999994</v>
      </c>
      <c r="L9" s="153">
        <v>70.34</v>
      </c>
      <c r="M9" s="80">
        <f t="shared" si="0"/>
        <v>70.349999999999994</v>
      </c>
      <c r="N9" s="80">
        <f t="shared" si="1"/>
        <v>70.33</v>
      </c>
      <c r="O9" s="153">
        <v>21.02</v>
      </c>
      <c r="P9" s="153">
        <v>20.88</v>
      </c>
      <c r="Q9" s="153">
        <v>21.15</v>
      </c>
      <c r="R9" s="153">
        <v>21.1</v>
      </c>
      <c r="S9" s="4"/>
      <c r="U9" s="147" t="s">
        <v>88</v>
      </c>
      <c r="V9" s="11"/>
      <c r="W9" s="4"/>
      <c r="X9" s="12"/>
      <c r="Y9" s="14"/>
      <c r="Z9" s="4"/>
      <c r="AA9" s="13"/>
      <c r="AB9" s="11"/>
      <c r="AC9" s="4"/>
      <c r="AD9" s="12"/>
      <c r="AE9" s="13"/>
      <c r="AF9" s="14">
        <v>5.0086000000000004</v>
      </c>
      <c r="AG9" s="12"/>
      <c r="AI9" s="84"/>
      <c r="AL9" s="166">
        <v>4.1722937666666668</v>
      </c>
      <c r="AM9" s="56">
        <v>15.240000000000011</v>
      </c>
      <c r="AN9" s="56">
        <v>17.280000000000051</v>
      </c>
      <c r="AO9" s="62">
        <v>23.620000000000019</v>
      </c>
      <c r="AQ9" s="64">
        <v>4.0811452500000014</v>
      </c>
      <c r="AR9" s="56">
        <v>14.81999999999992</v>
      </c>
      <c r="AS9" s="56">
        <v>16.319999999999979</v>
      </c>
      <c r="AT9" s="62">
        <v>20.599999999999952</v>
      </c>
      <c r="AV9" s="166">
        <v>3.727312</v>
      </c>
      <c r="AW9" s="56">
        <v>14.35999999999993</v>
      </c>
      <c r="AX9" s="56">
        <v>15.859999999999991</v>
      </c>
      <c r="AY9" s="62">
        <v>20.819999999999968</v>
      </c>
      <c r="BA9" s="64">
        <v>3.1832595499999998</v>
      </c>
      <c r="BB9" s="56">
        <v>17.419999999999991</v>
      </c>
      <c r="BC9" s="56">
        <v>20.019999999999971</v>
      </c>
      <c r="BD9" s="62">
        <v>32.399999999999977</v>
      </c>
      <c r="BF9" s="64">
        <v>2.9544869999999999</v>
      </c>
      <c r="BG9" s="56">
        <v>21.519999999999939</v>
      </c>
      <c r="BH9" s="56">
        <v>29.239999999999981</v>
      </c>
      <c r="BI9" s="62">
        <v>58.999999999999993</v>
      </c>
      <c r="BJ9" s="69"/>
      <c r="BK9" s="51"/>
    </row>
    <row r="10" spans="1:63" x14ac:dyDescent="0.4">
      <c r="A10" s="11" t="s">
        <v>89</v>
      </c>
      <c r="B10" s="4"/>
      <c r="C10" s="4"/>
      <c r="D10" s="4"/>
      <c r="E10" s="12"/>
      <c r="G10" s="147" t="s">
        <v>89</v>
      </c>
      <c r="H10" s="159">
        <v>69.951999999999998</v>
      </c>
      <c r="I10" s="153">
        <v>70.34</v>
      </c>
      <c r="J10" s="153">
        <v>70.33</v>
      </c>
      <c r="K10" s="153">
        <v>70.36</v>
      </c>
      <c r="L10" s="153">
        <v>70.36</v>
      </c>
      <c r="M10" s="80">
        <f t="shared" si="0"/>
        <v>70.36</v>
      </c>
      <c r="N10" s="80">
        <f t="shared" si="1"/>
        <v>70.33</v>
      </c>
      <c r="O10" s="153">
        <v>20.95</v>
      </c>
      <c r="P10" s="153">
        <v>20.89</v>
      </c>
      <c r="Q10" s="153">
        <v>21.01</v>
      </c>
      <c r="R10" s="153">
        <v>21</v>
      </c>
      <c r="S10" s="4"/>
      <c r="U10" s="147" t="s">
        <v>89</v>
      </c>
      <c r="V10" s="11"/>
      <c r="W10" s="4"/>
      <c r="X10" s="12"/>
      <c r="Y10" s="14"/>
      <c r="Z10" s="4"/>
      <c r="AA10" s="13"/>
      <c r="AB10" s="11"/>
      <c r="AC10" s="4"/>
      <c r="AD10" s="12"/>
      <c r="AE10" s="13"/>
      <c r="AF10" s="14">
        <v>5.0049000000000001</v>
      </c>
      <c r="AG10" s="12"/>
      <c r="AI10" s="84"/>
      <c r="AL10" s="166">
        <v>4.1720935666666668</v>
      </c>
      <c r="AM10" s="56">
        <v>14.76000000000006</v>
      </c>
      <c r="AN10" s="56">
        <v>16.720000000000109</v>
      </c>
      <c r="AO10" s="62">
        <v>22.980000000000089</v>
      </c>
      <c r="AQ10" s="64">
        <v>4.0819022499999997</v>
      </c>
      <c r="AR10" s="56">
        <v>14.380000000000059</v>
      </c>
      <c r="AS10" s="56">
        <v>15.84000000000003</v>
      </c>
      <c r="AT10" s="62">
        <v>20.02000000000006</v>
      </c>
      <c r="AV10" s="166">
        <v>3.7268442500000001</v>
      </c>
      <c r="AW10" s="56">
        <v>13.940000000000021</v>
      </c>
      <c r="AX10" s="56">
        <v>15.39999999999999</v>
      </c>
      <c r="AY10" s="62">
        <v>20.239999999999991</v>
      </c>
      <c r="BA10" s="64">
        <v>3.1819063000000001</v>
      </c>
      <c r="BB10" s="56">
        <v>17.039999999999988</v>
      </c>
      <c r="BC10" s="56">
        <v>19.599999999999969</v>
      </c>
      <c r="BD10" s="62">
        <v>32.019999999999982</v>
      </c>
      <c r="BF10" s="64">
        <v>2.9556893166666671</v>
      </c>
      <c r="BG10" s="56">
        <v>20.940000000000051</v>
      </c>
      <c r="BH10" s="56">
        <v>28.24</v>
      </c>
      <c r="BI10" s="62">
        <v>57.42000000000003</v>
      </c>
      <c r="BJ10" s="70"/>
      <c r="BK10" s="57"/>
    </row>
    <row r="11" spans="1:63" x14ac:dyDescent="0.4">
      <c r="A11" s="11" t="s">
        <v>90</v>
      </c>
      <c r="B11" s="4"/>
      <c r="C11" s="4"/>
      <c r="D11" s="4"/>
      <c r="E11" s="12"/>
      <c r="G11" s="147" t="s">
        <v>90</v>
      </c>
      <c r="H11" s="159">
        <v>69.893000000000001</v>
      </c>
      <c r="I11" s="153">
        <v>70.28</v>
      </c>
      <c r="J11" s="153">
        <v>70.25</v>
      </c>
      <c r="K11" s="153">
        <v>70.319999999999993</v>
      </c>
      <c r="L11" s="153">
        <v>70.319999999999993</v>
      </c>
      <c r="M11" s="80">
        <f t="shared" si="0"/>
        <v>70.319999999999993</v>
      </c>
      <c r="N11" s="80">
        <f t="shared" si="1"/>
        <v>70.25</v>
      </c>
      <c r="O11" s="153">
        <v>21.17</v>
      </c>
      <c r="P11" s="153">
        <v>20.95</v>
      </c>
      <c r="Q11" s="153">
        <v>21.09</v>
      </c>
      <c r="R11" s="153">
        <v>21.08</v>
      </c>
      <c r="S11" s="4"/>
      <c r="U11" s="147" t="s">
        <v>90</v>
      </c>
      <c r="V11" s="11"/>
      <c r="W11" s="4"/>
      <c r="X11" s="12"/>
      <c r="Y11" s="14"/>
      <c r="Z11" s="4"/>
      <c r="AA11" s="13"/>
      <c r="AB11" s="11"/>
      <c r="AC11" s="4"/>
      <c r="AD11" s="12"/>
      <c r="AE11" s="13"/>
      <c r="AF11" s="14">
        <v>5.0117000000000003</v>
      </c>
      <c r="AG11" s="12"/>
      <c r="AI11" s="84"/>
      <c r="AL11" s="166">
        <v>4.171733716666667</v>
      </c>
      <c r="AM11" s="56">
        <v>15.41999999999994</v>
      </c>
      <c r="AN11" s="56">
        <v>17.439999999999859</v>
      </c>
      <c r="AO11" s="62">
        <v>23.78</v>
      </c>
      <c r="AQ11" s="64">
        <v>4.0806727499999997</v>
      </c>
      <c r="AR11" s="56">
        <v>14.799999999999971</v>
      </c>
      <c r="AS11" s="56">
        <v>16.280000000000069</v>
      </c>
      <c r="AT11" s="62">
        <v>20.560000000000041</v>
      </c>
      <c r="AV11" s="166">
        <v>3.7262154166666659</v>
      </c>
      <c r="AW11" s="56">
        <v>14.32000000000002</v>
      </c>
      <c r="AX11" s="56">
        <v>15.80000000000004</v>
      </c>
      <c r="AY11" s="62">
        <v>20.800000000000018</v>
      </c>
      <c r="BA11" s="64">
        <v>3.1831358999999999</v>
      </c>
      <c r="BB11" s="56">
        <v>17.380000000000081</v>
      </c>
      <c r="BC11" s="56">
        <v>19.980000000000061</v>
      </c>
      <c r="BD11" s="62">
        <v>32.460000000000022</v>
      </c>
      <c r="BF11" s="64">
        <v>2.9487027833333341</v>
      </c>
      <c r="BG11" s="56">
        <v>21.360000000000049</v>
      </c>
      <c r="BH11" s="56">
        <v>28.699999999999989</v>
      </c>
      <c r="BI11" s="62">
        <v>58.60000000000003</v>
      </c>
      <c r="BJ11" s="92"/>
      <c r="BK11" s="51"/>
    </row>
    <row r="12" spans="1:63" x14ac:dyDescent="0.4">
      <c r="A12" s="11" t="s">
        <v>91</v>
      </c>
      <c r="B12" s="4"/>
      <c r="C12" s="4"/>
      <c r="D12" s="4"/>
      <c r="E12" s="12"/>
      <c r="G12" s="147" t="s">
        <v>91</v>
      </c>
      <c r="H12" s="159">
        <v>70.096999999999994</v>
      </c>
      <c r="I12" s="153">
        <v>70.260000000000005</v>
      </c>
      <c r="J12" s="153">
        <v>70.34</v>
      </c>
      <c r="K12" s="153">
        <v>70.36</v>
      </c>
      <c r="L12" s="153">
        <v>70.33</v>
      </c>
      <c r="M12" s="80">
        <f t="shared" si="0"/>
        <v>70.36</v>
      </c>
      <c r="N12" s="80">
        <f t="shared" si="1"/>
        <v>70.260000000000005</v>
      </c>
      <c r="O12" s="153">
        <v>20.96</v>
      </c>
      <c r="P12" s="153">
        <v>20.92</v>
      </c>
      <c r="Q12" s="153">
        <v>21.1</v>
      </c>
      <c r="R12" s="153">
        <v>21.05</v>
      </c>
      <c r="S12" s="4"/>
      <c r="U12" s="147" t="s">
        <v>91</v>
      </c>
      <c r="V12" s="11"/>
      <c r="W12" s="4"/>
      <c r="X12" s="12"/>
      <c r="Y12" s="14"/>
      <c r="Z12" s="4"/>
      <c r="AA12" s="13"/>
      <c r="AB12" s="11"/>
      <c r="AC12" s="4"/>
      <c r="AD12" s="12"/>
      <c r="AE12" s="13"/>
      <c r="AF12" s="14">
        <v>5.0552999999999999</v>
      </c>
      <c r="AG12" s="12"/>
      <c r="AI12" s="84"/>
      <c r="AL12" s="166">
        <v>4.1727033999999996</v>
      </c>
      <c r="AM12" s="56">
        <v>14.179999999999991</v>
      </c>
      <c r="AN12" s="56">
        <v>16.099999999999959</v>
      </c>
      <c r="AO12" s="62">
        <v>22.259999999999991</v>
      </c>
      <c r="AQ12" s="64">
        <v>4.0818001500000003</v>
      </c>
      <c r="AR12" s="56">
        <v>13.879999999999979</v>
      </c>
      <c r="AS12" s="56">
        <v>15.28000000000009</v>
      </c>
      <c r="AT12" s="62">
        <v>19.320000000000089</v>
      </c>
      <c r="AV12" s="166">
        <v>3.7290321500000001</v>
      </c>
      <c r="AW12" s="56">
        <v>13.619999999999971</v>
      </c>
      <c r="AX12" s="56">
        <v>15.039999999999941</v>
      </c>
      <c r="AY12" s="62">
        <v>19.759999999999959</v>
      </c>
      <c r="BA12" s="64">
        <v>3.1964752000000001</v>
      </c>
      <c r="BB12" s="56">
        <v>16.939999999999959</v>
      </c>
      <c r="BC12" s="56">
        <v>19.36</v>
      </c>
      <c r="BD12" s="62">
        <v>31.099999999999991</v>
      </c>
      <c r="BF12" s="64">
        <v>2.958849400000001</v>
      </c>
      <c r="BG12" s="56">
        <v>21.11999999999998</v>
      </c>
      <c r="BH12" s="56">
        <v>28.359999999999989</v>
      </c>
      <c r="BI12" s="62">
        <v>57.24</v>
      </c>
      <c r="BJ12" s="69"/>
      <c r="BK12" s="51"/>
    </row>
    <row r="13" spans="1:63" x14ac:dyDescent="0.4">
      <c r="A13" s="11" t="s">
        <v>92</v>
      </c>
      <c r="B13" s="4"/>
      <c r="C13" s="4"/>
      <c r="D13" s="4"/>
      <c r="E13" s="12"/>
      <c r="G13" s="147" t="s">
        <v>92</v>
      </c>
      <c r="H13" s="159">
        <v>69.947999999999993</v>
      </c>
      <c r="I13" s="153">
        <v>70.36</v>
      </c>
      <c r="J13" s="153">
        <v>70.36</v>
      </c>
      <c r="K13" s="153">
        <v>70.31</v>
      </c>
      <c r="L13" s="153">
        <v>70.3</v>
      </c>
      <c r="M13" s="80">
        <f t="shared" si="0"/>
        <v>70.36</v>
      </c>
      <c r="N13" s="80">
        <f t="shared" si="1"/>
        <v>70.3</v>
      </c>
      <c r="O13" s="153">
        <v>20.95</v>
      </c>
      <c r="P13" s="153">
        <v>20.93</v>
      </c>
      <c r="Q13" s="153">
        <v>21.08</v>
      </c>
      <c r="R13" s="153">
        <v>21.06</v>
      </c>
      <c r="S13" s="4"/>
      <c r="U13" s="147" t="s">
        <v>92</v>
      </c>
      <c r="V13" s="11"/>
      <c r="W13" s="4"/>
      <c r="X13" s="12"/>
      <c r="Y13" s="14"/>
      <c r="Z13" s="4"/>
      <c r="AA13" s="13"/>
      <c r="AB13" s="11"/>
      <c r="AC13" s="4"/>
      <c r="AD13" s="12"/>
      <c r="AE13" s="13"/>
      <c r="AF13" s="14">
        <v>4.9961000000000002</v>
      </c>
      <c r="AG13" s="12"/>
      <c r="AI13" s="84"/>
      <c r="AL13" s="166">
        <v>4.1728032833333337</v>
      </c>
      <c r="AM13" s="56">
        <v>14.799999999999971</v>
      </c>
      <c r="AN13" s="56">
        <v>16.79999999999993</v>
      </c>
      <c r="AO13" s="62">
        <v>23.07999999999986</v>
      </c>
      <c r="AQ13" s="64">
        <v>4.0819594666666674</v>
      </c>
      <c r="AR13" s="56">
        <v>14.959999999999949</v>
      </c>
      <c r="AS13" s="56">
        <v>16.460000000000012</v>
      </c>
      <c r="AT13" s="62">
        <v>20.719999999999938</v>
      </c>
      <c r="AV13" s="166">
        <v>3.7277746166666659</v>
      </c>
      <c r="AW13" s="56">
        <v>14.620000000000029</v>
      </c>
      <c r="AX13" s="56">
        <v>16.12</v>
      </c>
      <c r="AY13" s="62">
        <v>21.079999999999991</v>
      </c>
      <c r="BA13" s="64">
        <v>3.1789688833333329</v>
      </c>
      <c r="BB13" s="56">
        <v>17.640000000000011</v>
      </c>
      <c r="BC13" s="56">
        <v>20.26000000000003</v>
      </c>
      <c r="BD13" s="62">
        <v>32.800000000000033</v>
      </c>
      <c r="BF13" s="64">
        <v>2.9442904333333342</v>
      </c>
      <c r="BG13" s="56">
        <v>21.660000000000061</v>
      </c>
      <c r="BH13" s="56">
        <v>29.079999999999991</v>
      </c>
      <c r="BI13" s="62">
        <v>59.220000000000013</v>
      </c>
      <c r="BJ13" s="69"/>
      <c r="BK13" s="51"/>
    </row>
    <row r="14" spans="1:63" x14ac:dyDescent="0.4">
      <c r="A14" s="11" t="s">
        <v>93</v>
      </c>
      <c r="B14" s="4"/>
      <c r="C14" s="4"/>
      <c r="D14" s="4"/>
      <c r="E14" s="12"/>
      <c r="G14" s="147" t="s">
        <v>93</v>
      </c>
      <c r="H14" s="159">
        <v>70.138000000000005</v>
      </c>
      <c r="I14" s="153">
        <v>70.25</v>
      </c>
      <c r="J14" s="153">
        <v>70.31</v>
      </c>
      <c r="K14" s="153">
        <v>70.38</v>
      </c>
      <c r="L14" s="153">
        <v>70.38</v>
      </c>
      <c r="M14" s="80">
        <f t="shared" si="0"/>
        <v>70.38</v>
      </c>
      <c r="N14" s="80">
        <f t="shared" si="1"/>
        <v>70.25</v>
      </c>
      <c r="O14" s="153">
        <v>20.98</v>
      </c>
      <c r="P14" s="153">
        <v>20.96</v>
      </c>
      <c r="Q14" s="153">
        <v>21.07</v>
      </c>
      <c r="R14" s="153">
        <v>21.05</v>
      </c>
      <c r="S14" s="4"/>
      <c r="U14" s="147" t="s">
        <v>93</v>
      </c>
      <c r="V14" s="11"/>
      <c r="W14" s="4"/>
      <c r="X14" s="12"/>
      <c r="Y14" s="14"/>
      <c r="Z14" s="4"/>
      <c r="AA14" s="13"/>
      <c r="AB14" s="11"/>
      <c r="AC14" s="4"/>
      <c r="AD14" s="12"/>
      <c r="AE14" s="13"/>
      <c r="AF14" s="14">
        <v>5.0583999999999998</v>
      </c>
      <c r="AG14" s="12"/>
      <c r="AI14" s="84"/>
      <c r="AL14" s="166">
        <v>4.1721568499999986</v>
      </c>
      <c r="AM14" s="56">
        <v>13.76000000000008</v>
      </c>
      <c r="AN14" s="56">
        <v>15.680000000000049</v>
      </c>
      <c r="AO14" s="62">
        <v>21.8</v>
      </c>
      <c r="AQ14" s="64">
        <v>4.0831331999999998</v>
      </c>
      <c r="AR14" s="56">
        <v>13.79999999999999</v>
      </c>
      <c r="AS14" s="56">
        <v>15.199999999999919</v>
      </c>
      <c r="AT14" s="62">
        <v>19.23999999999992</v>
      </c>
      <c r="AV14" s="166">
        <v>3.7310996666666658</v>
      </c>
      <c r="AW14" s="56">
        <v>13.51999999999993</v>
      </c>
      <c r="AX14" s="56">
        <v>14.919999999999961</v>
      </c>
      <c r="AY14" s="62">
        <v>19.61999999999993</v>
      </c>
      <c r="BA14" s="64">
        <v>3.200017616666667</v>
      </c>
      <c r="BB14" s="56">
        <v>16.740000000000069</v>
      </c>
      <c r="BC14" s="56">
        <v>19.120000000000029</v>
      </c>
      <c r="BD14" s="62">
        <v>30.660000000000039</v>
      </c>
      <c r="BF14" s="64">
        <v>2.9564395499999998</v>
      </c>
      <c r="BG14" s="56">
        <v>20.900000000000048</v>
      </c>
      <c r="BH14" s="56">
        <v>28.160000000000011</v>
      </c>
      <c r="BI14" s="62">
        <v>57.260000000000048</v>
      </c>
      <c r="BJ14" s="69"/>
      <c r="BK14" s="51"/>
    </row>
    <row r="15" spans="1:63" x14ac:dyDescent="0.4">
      <c r="A15" s="11" t="s">
        <v>94</v>
      </c>
      <c r="B15" s="4"/>
      <c r="C15" s="4"/>
      <c r="D15" s="4"/>
      <c r="E15" s="12"/>
      <c r="G15" s="147" t="s">
        <v>94</v>
      </c>
      <c r="H15" s="159">
        <v>70.042000000000002</v>
      </c>
      <c r="I15" s="153">
        <v>70.349999999999994</v>
      </c>
      <c r="J15" s="153">
        <v>70.38</v>
      </c>
      <c r="K15" s="153">
        <v>70.37</v>
      </c>
      <c r="L15" s="153">
        <v>70.33</v>
      </c>
      <c r="M15" s="80">
        <f t="shared" si="0"/>
        <v>70.38</v>
      </c>
      <c r="N15" s="80">
        <f t="shared" si="1"/>
        <v>70.33</v>
      </c>
      <c r="O15" s="153">
        <v>20.95</v>
      </c>
      <c r="P15" s="153">
        <v>20.93</v>
      </c>
      <c r="Q15" s="153">
        <v>21.09</v>
      </c>
      <c r="R15" s="153">
        <v>21.03</v>
      </c>
      <c r="S15" s="4"/>
      <c r="U15" s="147" t="s">
        <v>94</v>
      </c>
      <c r="V15" s="11"/>
      <c r="W15" s="4"/>
      <c r="X15" s="12"/>
      <c r="Y15" s="14"/>
      <c r="Z15" s="4"/>
      <c r="AA15" s="13"/>
      <c r="AB15" s="11"/>
      <c r="AC15" s="4"/>
      <c r="AD15" s="12"/>
      <c r="AE15" s="13"/>
      <c r="AF15" s="14">
        <v>5.0286</v>
      </c>
      <c r="AG15" s="12"/>
      <c r="AI15" s="84"/>
      <c r="AL15" s="166">
        <v>4.1721766000000002</v>
      </c>
      <c r="AM15" s="56">
        <v>14.24000000000003</v>
      </c>
      <c r="AN15" s="56">
        <v>16.16</v>
      </c>
      <c r="AO15" s="62">
        <v>22.300000000000079</v>
      </c>
      <c r="AQ15" s="64">
        <v>4.0806875833333338</v>
      </c>
      <c r="AR15" s="56">
        <v>13.820000000000119</v>
      </c>
      <c r="AS15" s="56">
        <v>15.240000000000011</v>
      </c>
      <c r="AT15" s="62">
        <v>19.280000000000008</v>
      </c>
      <c r="AV15" s="166">
        <v>3.7276181500000001</v>
      </c>
      <c r="AW15" s="56">
        <v>13.539999999999971</v>
      </c>
      <c r="AX15" s="56">
        <v>14.94</v>
      </c>
      <c r="AY15" s="62">
        <v>19.679999999999961</v>
      </c>
      <c r="BA15" s="64">
        <v>3.187899583333333</v>
      </c>
      <c r="BB15" s="56">
        <v>17.020000000000039</v>
      </c>
      <c r="BC15" s="56">
        <v>19.54000000000002</v>
      </c>
      <c r="BD15" s="62">
        <v>31.640000000000072</v>
      </c>
      <c r="BF15" s="64">
        <v>2.9559354500000001</v>
      </c>
      <c r="BG15" s="56">
        <v>21.20000000000006</v>
      </c>
      <c r="BH15" s="56">
        <v>29.100000000000041</v>
      </c>
      <c r="BI15" s="62">
        <v>59.26</v>
      </c>
      <c r="BJ15" s="69"/>
      <c r="BK15" s="51"/>
    </row>
    <row r="16" spans="1:63" x14ac:dyDescent="0.4">
      <c r="A16" s="11" t="s">
        <v>95</v>
      </c>
      <c r="B16" s="4"/>
      <c r="C16" s="4"/>
      <c r="D16" s="4"/>
      <c r="E16" s="12"/>
      <c r="G16" s="147" t="s">
        <v>95</v>
      </c>
      <c r="H16" s="159">
        <v>70.013999999999996</v>
      </c>
      <c r="I16" s="153">
        <v>70.349999999999994</v>
      </c>
      <c r="J16" s="153">
        <v>70.34</v>
      </c>
      <c r="K16" s="153">
        <v>70.33</v>
      </c>
      <c r="L16" s="153">
        <v>70.34</v>
      </c>
      <c r="M16" s="80">
        <f t="shared" si="0"/>
        <v>70.349999999999994</v>
      </c>
      <c r="N16" s="80">
        <f t="shared" si="1"/>
        <v>70.33</v>
      </c>
      <c r="O16" s="153">
        <v>20.96</v>
      </c>
      <c r="P16" s="153">
        <v>20.94</v>
      </c>
      <c r="Q16" s="153">
        <v>21.08</v>
      </c>
      <c r="R16" s="153">
        <v>21.06</v>
      </c>
      <c r="S16" s="4"/>
      <c r="U16" s="147" t="s">
        <v>95</v>
      </c>
      <c r="V16" s="11"/>
      <c r="W16" s="4"/>
      <c r="X16" s="12"/>
      <c r="Y16" s="14"/>
      <c r="Z16" s="4"/>
      <c r="AA16" s="13"/>
      <c r="AB16" s="11"/>
      <c r="AC16" s="4"/>
      <c r="AD16" s="12"/>
      <c r="AE16" s="13"/>
      <c r="AF16" s="14">
        <v>4.9955999999999996</v>
      </c>
      <c r="AG16" s="12"/>
      <c r="AI16" s="84"/>
      <c r="AL16" s="166">
        <v>4.1723158333333332</v>
      </c>
      <c r="AM16" s="56">
        <v>14.89999999999991</v>
      </c>
      <c r="AN16" s="56">
        <v>16.879999999999921</v>
      </c>
      <c r="AO16" s="62">
        <v>23.000000000000039</v>
      </c>
      <c r="AQ16" s="64">
        <v>4.0805905499999993</v>
      </c>
      <c r="AR16" s="56">
        <v>14.37999999999988</v>
      </c>
      <c r="AS16" s="56">
        <v>15.839999999999851</v>
      </c>
      <c r="AT16" s="62">
        <v>19.97999999999989</v>
      </c>
      <c r="AV16" s="166">
        <v>3.7262190999999998</v>
      </c>
      <c r="AW16" s="56">
        <v>14.02000000000001</v>
      </c>
      <c r="AX16" s="56">
        <v>15.48000000000007</v>
      </c>
      <c r="AY16" s="62">
        <v>20.340000000000021</v>
      </c>
      <c r="BA16" s="64">
        <v>3.176027733333334</v>
      </c>
      <c r="BB16" s="56">
        <v>16.979999999999951</v>
      </c>
      <c r="BC16" s="56">
        <v>19.539999999999939</v>
      </c>
      <c r="BD16" s="62">
        <v>31.97999999999999</v>
      </c>
      <c r="BF16" s="64">
        <v>2.9398418166666671</v>
      </c>
      <c r="BG16" s="56">
        <v>20.96</v>
      </c>
      <c r="BH16" s="56">
        <v>28.379999999999939</v>
      </c>
      <c r="BI16" s="62">
        <v>58.46</v>
      </c>
      <c r="BJ16" s="69"/>
      <c r="BK16" s="51"/>
    </row>
    <row r="17" spans="1:63" x14ac:dyDescent="0.4">
      <c r="A17" s="11" t="s">
        <v>96</v>
      </c>
      <c r="B17" s="4"/>
      <c r="C17" s="4"/>
      <c r="D17" s="4"/>
      <c r="E17" s="12"/>
      <c r="G17" s="147" t="s">
        <v>96</v>
      </c>
      <c r="H17" s="159">
        <v>70.084000000000003</v>
      </c>
      <c r="I17" s="153">
        <v>70.39</v>
      </c>
      <c r="J17" s="153">
        <v>70.349999999999994</v>
      </c>
      <c r="K17" s="153">
        <v>70.34</v>
      </c>
      <c r="L17" s="153">
        <v>70.38</v>
      </c>
      <c r="M17" s="80">
        <f t="shared" si="0"/>
        <v>70.39</v>
      </c>
      <c r="N17" s="80">
        <f t="shared" si="1"/>
        <v>70.34</v>
      </c>
      <c r="O17" s="153">
        <v>20.97</v>
      </c>
      <c r="P17" s="153">
        <v>20.94</v>
      </c>
      <c r="Q17" s="153">
        <v>21.07</v>
      </c>
      <c r="R17" s="153">
        <v>21.06</v>
      </c>
      <c r="S17" s="4"/>
      <c r="U17" s="147" t="s">
        <v>96</v>
      </c>
      <c r="V17" s="11"/>
      <c r="W17" s="4"/>
      <c r="X17" s="12"/>
      <c r="Y17" s="14"/>
      <c r="Z17" s="4"/>
      <c r="AA17" s="13"/>
      <c r="AB17" s="11"/>
      <c r="AC17" s="4"/>
      <c r="AD17" s="12"/>
      <c r="AE17" s="13"/>
      <c r="AF17" s="14">
        <v>5.0239000000000003</v>
      </c>
      <c r="AG17" s="12"/>
      <c r="AI17" s="84"/>
      <c r="AL17" s="166">
        <v>4.1722099166666666</v>
      </c>
      <c r="AM17" s="56">
        <v>14.1</v>
      </c>
      <c r="AN17" s="56">
        <v>16.000000000000011</v>
      </c>
      <c r="AO17" s="62">
        <v>22.16000000000005</v>
      </c>
      <c r="AQ17" s="64">
        <v>4.0804296499999992</v>
      </c>
      <c r="AR17" s="56">
        <v>13.56000000000002</v>
      </c>
      <c r="AS17" s="56">
        <v>14.959999999999949</v>
      </c>
      <c r="AT17" s="62">
        <v>19.000000000000039</v>
      </c>
      <c r="AV17" s="166">
        <v>3.7266215666666662</v>
      </c>
      <c r="AW17" s="56">
        <v>13.3</v>
      </c>
      <c r="AX17" s="56">
        <v>14.700000000000021</v>
      </c>
      <c r="AY17" s="62">
        <v>19.420000000000041</v>
      </c>
      <c r="BA17" s="64">
        <v>3.185798966666666</v>
      </c>
      <c r="BB17" s="56">
        <v>16.439999999999969</v>
      </c>
      <c r="BC17" s="56">
        <v>18.919999999999959</v>
      </c>
      <c r="BD17" s="62">
        <v>30.959999999999969</v>
      </c>
      <c r="BF17" s="64">
        <v>2.9537843166666669</v>
      </c>
      <c r="BG17" s="56">
        <v>20.460000000000012</v>
      </c>
      <c r="BH17" s="56">
        <v>28.260000000000041</v>
      </c>
      <c r="BI17" s="62">
        <v>58.140000000000043</v>
      </c>
      <c r="BJ17" s="69"/>
      <c r="BK17" s="51"/>
    </row>
    <row r="18" spans="1:63" x14ac:dyDescent="0.4">
      <c r="A18" s="11" t="s">
        <v>97</v>
      </c>
      <c r="B18" s="4"/>
      <c r="C18" s="4"/>
      <c r="D18" s="4"/>
      <c r="E18" s="12"/>
      <c r="G18" s="147" t="s">
        <v>97</v>
      </c>
      <c r="H18" s="159">
        <v>70.016999999999996</v>
      </c>
      <c r="I18" s="153">
        <v>70.33</v>
      </c>
      <c r="J18" s="153">
        <v>70.31</v>
      </c>
      <c r="K18" s="153">
        <v>70.34</v>
      </c>
      <c r="L18" s="153">
        <v>70.36</v>
      </c>
      <c r="M18" s="80">
        <f t="shared" si="0"/>
        <v>70.36</v>
      </c>
      <c r="N18" s="80">
        <f t="shared" si="1"/>
        <v>70.31</v>
      </c>
      <c r="O18" s="153">
        <v>20.96</v>
      </c>
      <c r="P18" s="153">
        <v>20.92</v>
      </c>
      <c r="Q18" s="153">
        <v>21.06</v>
      </c>
      <c r="R18" s="153">
        <v>21.05</v>
      </c>
      <c r="S18" s="4"/>
      <c r="U18" s="147" t="s">
        <v>97</v>
      </c>
      <c r="V18" s="11"/>
      <c r="W18" s="4"/>
      <c r="X18" s="12"/>
      <c r="Y18" s="14"/>
      <c r="Z18" s="4"/>
      <c r="AA18" s="13"/>
      <c r="AB18" s="11"/>
      <c r="AC18" s="4"/>
      <c r="AD18" s="12"/>
      <c r="AE18" s="13"/>
      <c r="AF18" s="86">
        <v>5.0084</v>
      </c>
      <c r="AG18" s="133"/>
      <c r="AI18" s="84"/>
      <c r="AK18" s="86"/>
      <c r="AL18" s="166">
        <v>4.1718653999999997</v>
      </c>
      <c r="AM18" s="80">
        <v>14.8200000000001</v>
      </c>
      <c r="AN18" s="80">
        <v>16.779999999999969</v>
      </c>
      <c r="AO18" s="81">
        <v>23.06000000000008</v>
      </c>
      <c r="AQ18" s="80">
        <v>4.0809690333333339</v>
      </c>
      <c r="AR18" s="80">
        <v>14.58000000000013</v>
      </c>
      <c r="AS18" s="80">
        <v>16.060000000000048</v>
      </c>
      <c r="AT18" s="81">
        <v>20.34000000000011</v>
      </c>
      <c r="AV18" s="166">
        <v>3.7270628833333328</v>
      </c>
      <c r="AW18" s="80">
        <v>14.200000000000029</v>
      </c>
      <c r="AX18" s="80">
        <v>15.680000000000049</v>
      </c>
      <c r="AY18" s="81">
        <v>20.61999999999999</v>
      </c>
      <c r="BA18" s="80">
        <v>3.1833553499999998</v>
      </c>
      <c r="BB18" s="80">
        <v>17.180000000000021</v>
      </c>
      <c r="BC18" s="80">
        <v>19.739999999999998</v>
      </c>
      <c r="BD18" s="81">
        <v>32.040000000000028</v>
      </c>
      <c r="BF18" s="80">
        <v>2.956718616666667</v>
      </c>
      <c r="BG18" s="80">
        <v>21.159999999999979</v>
      </c>
      <c r="BH18" s="80">
        <v>28.859999999999971</v>
      </c>
      <c r="BI18" s="81">
        <v>58.359999999999971</v>
      </c>
      <c r="BJ18" s="70"/>
      <c r="BK18" s="51"/>
    </row>
    <row r="19" spans="1:63" x14ac:dyDescent="0.4">
      <c r="A19" s="11" t="s">
        <v>98</v>
      </c>
      <c r="B19" s="4"/>
      <c r="C19" s="4"/>
      <c r="D19" s="4"/>
      <c r="E19" s="12"/>
      <c r="G19" s="147" t="s">
        <v>98</v>
      </c>
      <c r="H19" s="159">
        <v>69.930999999999997</v>
      </c>
      <c r="I19" s="153">
        <v>70.349999999999994</v>
      </c>
      <c r="J19" s="153">
        <v>70.349999999999994</v>
      </c>
      <c r="K19" s="153">
        <v>70.31</v>
      </c>
      <c r="L19" s="153">
        <v>70.33</v>
      </c>
      <c r="M19" s="80">
        <f t="shared" si="0"/>
        <v>70.349999999999994</v>
      </c>
      <c r="N19" s="80">
        <f t="shared" si="1"/>
        <v>70.31</v>
      </c>
      <c r="O19" s="153">
        <v>20.95</v>
      </c>
      <c r="P19" s="153">
        <v>20.93</v>
      </c>
      <c r="Q19" s="153">
        <v>21.06</v>
      </c>
      <c r="R19" s="153">
        <v>21.05</v>
      </c>
      <c r="S19" s="4"/>
      <c r="U19" s="147" t="s">
        <v>98</v>
      </c>
      <c r="V19" s="11"/>
      <c r="W19" s="4"/>
      <c r="X19" s="12"/>
      <c r="Y19" s="14"/>
      <c r="Z19" s="4"/>
      <c r="AA19" s="13"/>
      <c r="AB19" s="11"/>
      <c r="AC19" s="4"/>
      <c r="AD19" s="12"/>
      <c r="AE19" s="13"/>
      <c r="AF19" s="14">
        <v>5.0114000000000001</v>
      </c>
      <c r="AG19" s="133"/>
      <c r="AI19" s="84"/>
      <c r="AL19" s="166">
        <v>4.1718479499999992</v>
      </c>
      <c r="AM19" s="56">
        <v>15.200000000000101</v>
      </c>
      <c r="AN19" s="56">
        <v>17.23999999999997</v>
      </c>
      <c r="AO19" s="62">
        <v>23.600000000000069</v>
      </c>
      <c r="AQ19" s="64">
        <v>4.0818964333333323</v>
      </c>
      <c r="AR19" s="56">
        <v>14.920000000000041</v>
      </c>
      <c r="AS19" s="56">
        <v>16.400000000000059</v>
      </c>
      <c r="AT19" s="62">
        <v>20.699999999999989</v>
      </c>
      <c r="AV19" s="166">
        <v>3.728250033333333</v>
      </c>
      <c r="AW19" s="56">
        <v>14.41999999999997</v>
      </c>
      <c r="AX19" s="56">
        <v>15.920000000000019</v>
      </c>
      <c r="AY19" s="62">
        <v>20.899999999999959</v>
      </c>
      <c r="BA19" s="64">
        <v>3.1843461</v>
      </c>
      <c r="BB19" s="56">
        <v>17.240000000000059</v>
      </c>
      <c r="BC19" s="56">
        <v>19.81999999999999</v>
      </c>
      <c r="BD19" s="62">
        <v>32.180000000000057</v>
      </c>
      <c r="BF19" s="64">
        <v>2.958077966666667</v>
      </c>
      <c r="BG19" s="56">
        <v>21.300000000000011</v>
      </c>
      <c r="BH19" s="56">
        <v>29</v>
      </c>
      <c r="BI19" s="62">
        <v>58.720000000000013</v>
      </c>
      <c r="BJ19" s="69"/>
      <c r="BK19" s="51"/>
    </row>
    <row r="20" spans="1:63" x14ac:dyDescent="0.4">
      <c r="A20" s="11" t="s">
        <v>99</v>
      </c>
      <c r="B20" s="4"/>
      <c r="C20" s="4"/>
      <c r="D20" s="4"/>
      <c r="E20" s="12"/>
      <c r="G20" s="147" t="s">
        <v>99</v>
      </c>
      <c r="H20" s="159">
        <v>70.02</v>
      </c>
      <c r="I20" s="153">
        <v>70.34</v>
      </c>
      <c r="J20" s="153">
        <v>70.34</v>
      </c>
      <c r="K20" s="153">
        <v>70.319999999999993</v>
      </c>
      <c r="L20" s="153">
        <v>70.27</v>
      </c>
      <c r="M20" s="80">
        <f t="shared" si="0"/>
        <v>70.34</v>
      </c>
      <c r="N20" s="80">
        <f t="shared" si="1"/>
        <v>70.27</v>
      </c>
      <c r="O20" s="153">
        <v>20.94</v>
      </c>
      <c r="P20" s="153">
        <v>20.91</v>
      </c>
      <c r="Q20" s="153">
        <v>21.06</v>
      </c>
      <c r="R20" s="153">
        <v>21.04</v>
      </c>
      <c r="S20" s="4"/>
      <c r="U20" s="147" t="s">
        <v>99</v>
      </c>
      <c r="V20" s="11"/>
      <c r="W20" s="4"/>
      <c r="X20" s="12"/>
      <c r="Y20" s="14"/>
      <c r="Z20" s="4"/>
      <c r="AA20" s="13"/>
      <c r="AB20" s="11"/>
      <c r="AC20" s="4"/>
      <c r="AD20" s="12"/>
      <c r="AE20" s="13"/>
      <c r="AF20" s="14">
        <v>5.0252999999999997</v>
      </c>
      <c r="AG20" s="133"/>
      <c r="AI20" s="84"/>
      <c r="AL20" s="166">
        <v>4.1721581333333333</v>
      </c>
      <c r="AM20" s="56">
        <v>13.880000000000161</v>
      </c>
      <c r="AN20" s="56">
        <v>15.760000000000041</v>
      </c>
      <c r="AO20" s="62">
        <v>21.94000000000003</v>
      </c>
      <c r="AQ20" s="64">
        <v>4.0816738499999996</v>
      </c>
      <c r="AR20" s="56">
        <v>13.659999999999959</v>
      </c>
      <c r="AS20" s="56">
        <v>15.059999999999899</v>
      </c>
      <c r="AT20" s="62">
        <v>19.099999999999891</v>
      </c>
      <c r="AV20" s="166">
        <v>3.7280584499999998</v>
      </c>
      <c r="AW20" s="56">
        <v>13.36000000000004</v>
      </c>
      <c r="AX20" s="56">
        <v>14.76000000000006</v>
      </c>
      <c r="AY20" s="62">
        <v>19.500000000000028</v>
      </c>
      <c r="BA20" s="64">
        <v>3.1879982</v>
      </c>
      <c r="BB20" s="56">
        <v>16.699999999999982</v>
      </c>
      <c r="BC20" s="56">
        <v>19.200000000000021</v>
      </c>
      <c r="BD20" s="62">
        <v>31.320000000000011</v>
      </c>
      <c r="BF20" s="64">
        <v>2.9547827166666671</v>
      </c>
      <c r="BG20" s="56">
        <v>20.840000000000011</v>
      </c>
      <c r="BH20" s="56">
        <v>28.66</v>
      </c>
      <c r="BI20" s="62">
        <v>58.8</v>
      </c>
      <c r="BJ20" s="69"/>
      <c r="BK20" s="51"/>
    </row>
    <row r="21" spans="1:63" x14ac:dyDescent="0.4">
      <c r="A21" s="11" t="s">
        <v>100</v>
      </c>
      <c r="B21" s="4"/>
      <c r="C21" s="4"/>
      <c r="D21" s="4"/>
      <c r="E21" s="12"/>
      <c r="G21" s="147" t="s">
        <v>100</v>
      </c>
      <c r="H21" s="159">
        <v>70.057000000000002</v>
      </c>
      <c r="I21" s="153">
        <v>70.319999999999993</v>
      </c>
      <c r="J21" s="153">
        <v>70.33</v>
      </c>
      <c r="K21" s="153">
        <v>70.31</v>
      </c>
      <c r="L21" s="153">
        <v>70.319999999999993</v>
      </c>
      <c r="M21" s="80">
        <f t="shared" si="0"/>
        <v>70.33</v>
      </c>
      <c r="N21" s="80">
        <f t="shared" si="1"/>
        <v>70.31</v>
      </c>
      <c r="O21" s="153">
        <v>20.93</v>
      </c>
      <c r="P21" s="153">
        <v>20.91</v>
      </c>
      <c r="Q21" s="153">
        <v>21.07</v>
      </c>
      <c r="R21" s="153">
        <v>21.06</v>
      </c>
      <c r="S21" s="4"/>
      <c r="U21" s="147" t="s">
        <v>100</v>
      </c>
      <c r="V21" s="11"/>
      <c r="W21" s="4"/>
      <c r="X21" s="12"/>
      <c r="Y21" s="14"/>
      <c r="Z21" s="4"/>
      <c r="AA21" s="13"/>
      <c r="AB21" s="11"/>
      <c r="AC21" s="4"/>
      <c r="AD21" s="12"/>
      <c r="AE21" s="13"/>
      <c r="AF21" s="14">
        <v>5.0162000000000004</v>
      </c>
      <c r="AG21" s="133"/>
      <c r="AI21" s="84"/>
      <c r="AL21" s="166">
        <v>4.1724041166666659</v>
      </c>
      <c r="AM21" s="56">
        <v>14.63999999999999</v>
      </c>
      <c r="AN21" s="56">
        <v>16.599999999999859</v>
      </c>
      <c r="AO21" s="62">
        <v>22.819999999999929</v>
      </c>
      <c r="AQ21" s="64">
        <v>4.0806358333333321</v>
      </c>
      <c r="AR21" s="56">
        <v>14.20000000000012</v>
      </c>
      <c r="AS21" s="56">
        <v>15.63999999999997</v>
      </c>
      <c r="AT21" s="62">
        <v>19.840000000000039</v>
      </c>
      <c r="AV21" s="166">
        <v>3.7270519000000002</v>
      </c>
      <c r="AW21" s="56">
        <v>13.49999999999998</v>
      </c>
      <c r="AX21" s="56">
        <v>14.920000000000041</v>
      </c>
      <c r="AY21" s="62">
        <v>19.720000000000049</v>
      </c>
      <c r="BA21" s="64">
        <v>3.1848729333333332</v>
      </c>
      <c r="BB21" s="56">
        <v>16.239999999999991</v>
      </c>
      <c r="BC21" s="56">
        <v>18.699999999999939</v>
      </c>
      <c r="BD21" s="62">
        <v>30.69999999999995</v>
      </c>
      <c r="BF21" s="64">
        <v>2.9526132500000002</v>
      </c>
      <c r="BG21" s="56">
        <v>20.239999999999991</v>
      </c>
      <c r="BH21" s="56">
        <v>27.82</v>
      </c>
      <c r="BI21" s="62">
        <v>57.439999999999984</v>
      </c>
      <c r="BJ21" s="69"/>
      <c r="BK21" s="57"/>
    </row>
    <row r="22" spans="1:63" x14ac:dyDescent="0.4">
      <c r="A22" s="11" t="s">
        <v>101</v>
      </c>
      <c r="B22" s="4"/>
      <c r="C22" s="4"/>
      <c r="D22" s="4"/>
      <c r="E22" s="12"/>
      <c r="G22" s="147" t="s">
        <v>101</v>
      </c>
      <c r="H22" s="159">
        <v>70.021000000000001</v>
      </c>
      <c r="I22" s="153">
        <v>70.39</v>
      </c>
      <c r="J22" s="153">
        <v>70.39</v>
      </c>
      <c r="K22" s="153">
        <v>70.37</v>
      </c>
      <c r="L22" s="153">
        <v>70.319999999999993</v>
      </c>
      <c r="M22" s="80">
        <f t="shared" si="0"/>
        <v>70.39</v>
      </c>
      <c r="N22" s="80">
        <f t="shared" si="1"/>
        <v>70.319999999999993</v>
      </c>
      <c r="O22" s="153">
        <v>21.01</v>
      </c>
      <c r="P22" s="153">
        <v>20.96</v>
      </c>
      <c r="Q22" s="153">
        <v>21.07</v>
      </c>
      <c r="R22" s="153">
        <v>21.06</v>
      </c>
      <c r="S22" s="4"/>
      <c r="U22" s="147" t="s">
        <v>101</v>
      </c>
      <c r="V22" s="11"/>
      <c r="W22" s="4"/>
      <c r="X22" s="12"/>
      <c r="Y22" s="14"/>
      <c r="Z22" s="4"/>
      <c r="AA22" s="13"/>
      <c r="AB22" s="11"/>
      <c r="AC22" s="4"/>
      <c r="AD22" s="12"/>
      <c r="AE22" s="13"/>
      <c r="AF22" s="14">
        <v>5.0361000000000002</v>
      </c>
      <c r="AG22" s="133"/>
      <c r="AI22" s="84"/>
      <c r="AL22" s="166">
        <v>4.1726478833333331</v>
      </c>
      <c r="AM22" s="56">
        <v>14.32000000000002</v>
      </c>
      <c r="AN22" s="56">
        <v>16.259999999999941</v>
      </c>
      <c r="AO22" s="62">
        <v>22.40000000000002</v>
      </c>
      <c r="AQ22" s="64">
        <v>4.0809431666666667</v>
      </c>
      <c r="AR22" s="56">
        <v>13.840000000000069</v>
      </c>
      <c r="AS22" s="56">
        <v>15.240000000000011</v>
      </c>
      <c r="AT22" s="62">
        <v>19.30000000000005</v>
      </c>
      <c r="AV22" s="166">
        <v>3.727548866666667</v>
      </c>
      <c r="AW22" s="56">
        <v>13.49999999999998</v>
      </c>
      <c r="AX22" s="56">
        <v>14.919999999999961</v>
      </c>
      <c r="AY22" s="62">
        <v>19.639999999999969</v>
      </c>
      <c r="BA22" s="64">
        <v>3.1895927333333329</v>
      </c>
      <c r="BB22" s="56">
        <v>16.640000000000029</v>
      </c>
      <c r="BC22" s="56">
        <v>19.100000000000069</v>
      </c>
      <c r="BD22" s="62">
        <v>31.02</v>
      </c>
      <c r="BF22" s="64">
        <v>2.9569533666666672</v>
      </c>
      <c r="BG22" s="56">
        <v>20.659999999999989</v>
      </c>
      <c r="BH22" s="56">
        <v>27.899999999999991</v>
      </c>
      <c r="BI22" s="62">
        <v>56.97999999999999</v>
      </c>
      <c r="BJ22" s="69"/>
      <c r="BK22" s="51"/>
    </row>
    <row r="23" spans="1:63" x14ac:dyDescent="0.4">
      <c r="A23" s="11" t="s">
        <v>102</v>
      </c>
      <c r="B23" s="4"/>
      <c r="C23" s="4"/>
      <c r="D23" s="4"/>
      <c r="E23" s="12"/>
      <c r="G23" s="147" t="s">
        <v>102</v>
      </c>
      <c r="H23" s="159">
        <v>70.046999999999997</v>
      </c>
      <c r="I23" s="153">
        <v>70.33</v>
      </c>
      <c r="J23" s="153">
        <v>70.34</v>
      </c>
      <c r="K23" s="153">
        <v>70.290000000000006</v>
      </c>
      <c r="L23" s="153">
        <v>70.319999999999993</v>
      </c>
      <c r="M23" s="80">
        <f t="shared" si="0"/>
        <v>70.34</v>
      </c>
      <c r="N23" s="80">
        <f t="shared" si="1"/>
        <v>70.290000000000006</v>
      </c>
      <c r="O23" s="153">
        <v>20.91</v>
      </c>
      <c r="P23" s="153">
        <v>20.89</v>
      </c>
      <c r="Q23" s="153">
        <v>21.12</v>
      </c>
      <c r="R23" s="153">
        <v>21.06</v>
      </c>
      <c r="S23" s="4"/>
      <c r="U23" s="147" t="s">
        <v>102</v>
      </c>
      <c r="V23" s="11"/>
      <c r="W23" s="4"/>
      <c r="X23" s="12"/>
      <c r="Y23" s="14"/>
      <c r="Z23" s="4"/>
      <c r="AA23" s="13"/>
      <c r="AB23" s="11"/>
      <c r="AC23" s="4"/>
      <c r="AD23" s="12"/>
      <c r="AE23" s="13"/>
      <c r="AF23" s="14">
        <v>5.0091000000000001</v>
      </c>
      <c r="AG23" s="133"/>
      <c r="AI23" s="84"/>
      <c r="AL23" s="166">
        <v>4.1732253166666666</v>
      </c>
      <c r="AM23" s="56">
        <v>15.30000000000005</v>
      </c>
      <c r="AN23" s="56">
        <v>17.280000000000051</v>
      </c>
      <c r="AO23" s="62">
        <v>23.600000000000069</v>
      </c>
      <c r="AQ23" s="64">
        <v>4.0813487666666672</v>
      </c>
      <c r="AR23" s="56">
        <v>14.98000000000008</v>
      </c>
      <c r="AS23" s="56">
        <v>16.48000000000005</v>
      </c>
      <c r="AT23" s="62">
        <v>20.740000000000069</v>
      </c>
      <c r="AV23" s="166">
        <v>3.7273000500000011</v>
      </c>
      <c r="AW23" s="56">
        <v>14.599999999999991</v>
      </c>
      <c r="AX23" s="56">
        <v>16.12</v>
      </c>
      <c r="AY23" s="62">
        <v>21.099999999999941</v>
      </c>
      <c r="BA23" s="64">
        <v>3.1812415999999999</v>
      </c>
      <c r="BB23" s="56">
        <v>17.280000000000051</v>
      </c>
      <c r="BC23" s="56">
        <v>19.80000000000004</v>
      </c>
      <c r="BD23" s="62">
        <v>32.08000000000002</v>
      </c>
      <c r="BF23" s="64">
        <v>2.9358221666666671</v>
      </c>
      <c r="BG23" s="56">
        <v>21.300000000000011</v>
      </c>
      <c r="BH23" s="56">
        <v>28.77999999999998</v>
      </c>
      <c r="BI23" s="62">
        <v>59.3</v>
      </c>
      <c r="BJ23" s="69"/>
      <c r="BK23" s="51"/>
    </row>
    <row r="24" spans="1:63" x14ac:dyDescent="0.4">
      <c r="A24" s="11" t="s">
        <v>103</v>
      </c>
      <c r="B24" s="4"/>
      <c r="C24" s="4"/>
      <c r="D24" s="4"/>
      <c r="E24" s="12"/>
      <c r="G24" s="147" t="s">
        <v>103</v>
      </c>
      <c r="H24" s="159">
        <v>70.061000000000007</v>
      </c>
      <c r="I24" s="153">
        <v>70.33</v>
      </c>
      <c r="J24" s="153">
        <v>70.3</v>
      </c>
      <c r="K24" s="153">
        <v>70.290000000000006</v>
      </c>
      <c r="L24" s="153">
        <v>70.33</v>
      </c>
      <c r="M24" s="80">
        <f t="shared" si="0"/>
        <v>70.33</v>
      </c>
      <c r="N24" s="80">
        <f t="shared" si="1"/>
        <v>70.290000000000006</v>
      </c>
      <c r="O24" s="153">
        <v>20.91</v>
      </c>
      <c r="P24" s="153">
        <v>20.9</v>
      </c>
      <c r="Q24" s="153">
        <v>21.05</v>
      </c>
      <c r="R24" s="153">
        <v>21.03</v>
      </c>
      <c r="S24" s="4"/>
      <c r="U24" s="147" t="s">
        <v>103</v>
      </c>
      <c r="V24" s="11"/>
      <c r="W24" s="4"/>
      <c r="X24" s="12"/>
      <c r="Y24" s="14"/>
      <c r="Z24" s="4"/>
      <c r="AA24" s="13"/>
      <c r="AB24" s="11"/>
      <c r="AC24" s="4"/>
      <c r="AD24" s="12"/>
      <c r="AE24" s="13"/>
      <c r="AF24" s="14">
        <v>5.0385999999999997</v>
      </c>
      <c r="AG24" s="133"/>
      <c r="AI24" s="84"/>
      <c r="AL24" s="166">
        <v>4.1729243499999997</v>
      </c>
      <c r="AM24" s="56">
        <v>14.060000000000089</v>
      </c>
      <c r="AN24" s="56">
        <v>15.960000000000109</v>
      </c>
      <c r="AO24" s="62">
        <v>22.080000000000059</v>
      </c>
      <c r="AQ24" s="64">
        <v>4.0814299833333338</v>
      </c>
      <c r="AR24" s="56">
        <v>13.73999999999995</v>
      </c>
      <c r="AS24" s="56">
        <v>15.140000000000059</v>
      </c>
      <c r="AT24" s="62">
        <v>19.140000000000072</v>
      </c>
      <c r="AV24" s="166">
        <v>3.727568316666666</v>
      </c>
      <c r="AW24" s="56">
        <v>13.439999999999941</v>
      </c>
      <c r="AX24" s="56">
        <v>14.839999999999961</v>
      </c>
      <c r="AY24" s="62">
        <v>19.539999999999939</v>
      </c>
      <c r="BA24" s="64">
        <v>3.189829983333333</v>
      </c>
      <c r="BB24" s="56">
        <v>16.96</v>
      </c>
      <c r="BC24" s="56">
        <v>19.420000000000041</v>
      </c>
      <c r="BD24" s="62">
        <v>31.420000000000041</v>
      </c>
      <c r="BF24" s="64">
        <v>2.9604656166666659</v>
      </c>
      <c r="BG24" s="56">
        <v>21</v>
      </c>
      <c r="BH24" s="56">
        <v>28.339999999999939</v>
      </c>
      <c r="BI24" s="62">
        <v>57.24</v>
      </c>
      <c r="BJ24" s="69"/>
      <c r="BK24" s="51"/>
    </row>
    <row r="25" spans="1:63" x14ac:dyDescent="0.4">
      <c r="A25" s="11" t="s">
        <v>104</v>
      </c>
      <c r="B25" s="4"/>
      <c r="C25" s="4"/>
      <c r="D25" s="4"/>
      <c r="E25" s="12"/>
      <c r="G25" s="147" t="s">
        <v>104</v>
      </c>
      <c r="H25" s="159">
        <v>69.989000000000004</v>
      </c>
      <c r="I25" s="153">
        <v>70.36</v>
      </c>
      <c r="J25" s="153">
        <v>70.3</v>
      </c>
      <c r="K25" s="153">
        <v>70.31</v>
      </c>
      <c r="L25" s="153">
        <v>70.3</v>
      </c>
      <c r="M25" s="80">
        <f t="shared" si="0"/>
        <v>70.36</v>
      </c>
      <c r="N25" s="80">
        <f t="shared" si="1"/>
        <v>70.3</v>
      </c>
      <c r="O25" s="153">
        <v>20.88</v>
      </c>
      <c r="P25" s="153">
        <v>20.85</v>
      </c>
      <c r="Q25" s="153">
        <v>21.03</v>
      </c>
      <c r="R25" s="153">
        <v>21.02</v>
      </c>
      <c r="S25" s="4"/>
      <c r="U25" s="147" t="s">
        <v>104</v>
      </c>
      <c r="V25" s="11"/>
      <c r="W25" s="4"/>
      <c r="X25" s="12"/>
      <c r="Y25" s="14"/>
      <c r="Z25" s="4"/>
      <c r="AA25" s="13"/>
      <c r="AB25" s="11"/>
      <c r="AC25" s="4"/>
      <c r="AD25" s="12"/>
      <c r="AE25" s="13"/>
      <c r="AF25" s="14">
        <v>5.0271999999999997</v>
      </c>
      <c r="AG25" s="133"/>
      <c r="AI25" s="84"/>
      <c r="AL25" s="166">
        <v>4.1728579999999997</v>
      </c>
      <c r="AM25" s="75">
        <v>14.02000000000001</v>
      </c>
      <c r="AN25" s="75">
        <v>15.920000000000019</v>
      </c>
      <c r="AO25" s="78">
        <v>22.040000000000148</v>
      </c>
      <c r="AP25" s="79"/>
      <c r="AQ25" s="74">
        <v>4.0824110666666664</v>
      </c>
      <c r="AR25" s="75">
        <v>13.679999999999909</v>
      </c>
      <c r="AS25" s="75">
        <v>15.079999999999851</v>
      </c>
      <c r="AT25" s="78">
        <v>19.119999999999941</v>
      </c>
      <c r="AU25" s="82"/>
      <c r="AV25" s="166">
        <v>3.7285516333333328</v>
      </c>
      <c r="AW25" s="75">
        <v>13.419999999999989</v>
      </c>
      <c r="AX25" s="75">
        <v>14.820000000000009</v>
      </c>
      <c r="AY25" s="78">
        <v>19.54000000000002</v>
      </c>
      <c r="AZ25" s="82"/>
      <c r="BA25" s="74">
        <v>3.187222133333333</v>
      </c>
      <c r="BB25" s="75">
        <v>17.079999999999981</v>
      </c>
      <c r="BC25" s="75">
        <v>19.639999999999969</v>
      </c>
      <c r="BD25" s="78">
        <v>31.82</v>
      </c>
      <c r="BE25" s="82"/>
      <c r="BF25" s="74">
        <v>2.9555821500000001</v>
      </c>
      <c r="BG25" s="75">
        <v>21.280000000000051</v>
      </c>
      <c r="BH25" s="75">
        <v>29.48000000000004</v>
      </c>
      <c r="BI25" s="78">
        <v>60.24000000000003</v>
      </c>
      <c r="BJ25" s="70"/>
      <c r="BK25" s="51"/>
    </row>
    <row r="26" spans="1:63" x14ac:dyDescent="0.4">
      <c r="A26" s="11" t="s">
        <v>105</v>
      </c>
      <c r="B26" s="4"/>
      <c r="C26" s="4"/>
      <c r="D26" s="4"/>
      <c r="E26" s="12"/>
      <c r="G26" s="147" t="s">
        <v>105</v>
      </c>
      <c r="H26" s="159">
        <v>70.007000000000005</v>
      </c>
      <c r="I26" s="153">
        <v>70.36</v>
      </c>
      <c r="J26" s="153">
        <v>70.37</v>
      </c>
      <c r="K26" s="153">
        <v>70.400000000000006</v>
      </c>
      <c r="L26" s="153">
        <v>70.36</v>
      </c>
      <c r="M26" s="80">
        <f t="shared" si="0"/>
        <v>70.400000000000006</v>
      </c>
      <c r="N26" s="80">
        <f t="shared" si="1"/>
        <v>70.36</v>
      </c>
      <c r="O26" s="153">
        <v>20.86</v>
      </c>
      <c r="P26" s="153">
        <v>20.84</v>
      </c>
      <c r="Q26" s="153">
        <v>21.05</v>
      </c>
      <c r="R26" s="153">
        <v>21.02</v>
      </c>
      <c r="S26" s="4"/>
      <c r="U26" s="147" t="s">
        <v>105</v>
      </c>
      <c r="V26" s="11"/>
      <c r="W26" s="4"/>
      <c r="X26" s="12"/>
      <c r="Y26" s="14"/>
      <c r="Z26" s="4"/>
      <c r="AA26" s="13"/>
      <c r="AB26" s="11"/>
      <c r="AC26" s="4"/>
      <c r="AD26" s="12"/>
      <c r="AE26" s="13"/>
      <c r="AF26" s="14">
        <v>4.9966999999999997</v>
      </c>
      <c r="AG26" s="133"/>
      <c r="AI26" s="84"/>
      <c r="AL26" s="166">
        <v>4.1727947333333333</v>
      </c>
      <c r="AM26" s="75">
        <v>14.81999999999992</v>
      </c>
      <c r="AN26" s="75">
        <v>16.819999999999879</v>
      </c>
      <c r="AO26" s="78">
        <v>22.959999999999962</v>
      </c>
      <c r="AP26" s="82"/>
      <c r="AQ26" s="74">
        <v>4.0809684166666678</v>
      </c>
      <c r="AR26" s="75">
        <v>14.720000000000161</v>
      </c>
      <c r="AS26" s="75">
        <v>16.200000000000081</v>
      </c>
      <c r="AT26" s="78">
        <v>20.440000000000062</v>
      </c>
      <c r="AU26" s="82"/>
      <c r="AV26" s="166">
        <v>3.7267068499999998</v>
      </c>
      <c r="AW26" s="75">
        <v>14.41999999999997</v>
      </c>
      <c r="AX26" s="75">
        <v>15.899999999999981</v>
      </c>
      <c r="AY26" s="78">
        <v>20.840000000000011</v>
      </c>
      <c r="AZ26" s="82"/>
      <c r="BA26" s="74">
        <v>3.1773655000000001</v>
      </c>
      <c r="BB26" s="75">
        <v>17.180000000000021</v>
      </c>
      <c r="BC26" s="75">
        <v>19.739999999999998</v>
      </c>
      <c r="BD26" s="78">
        <v>32.200000000000003</v>
      </c>
      <c r="BE26" s="82"/>
      <c r="BF26" s="74">
        <v>2.9412743166666671</v>
      </c>
      <c r="BG26" s="75">
        <v>21.180000000000021</v>
      </c>
      <c r="BH26" s="75">
        <v>28.580000000000009</v>
      </c>
      <c r="BI26" s="78">
        <v>58.8</v>
      </c>
      <c r="BJ26" s="70"/>
      <c r="BK26" s="51"/>
    </row>
    <row r="27" spans="1:63" x14ac:dyDescent="0.4">
      <c r="A27" s="11" t="s">
        <v>106</v>
      </c>
      <c r="B27" s="4"/>
      <c r="C27" s="4"/>
      <c r="D27" s="4"/>
      <c r="E27" s="12"/>
      <c r="G27" s="147" t="s">
        <v>106</v>
      </c>
      <c r="H27" s="159">
        <v>70.049000000000007</v>
      </c>
      <c r="I27" s="153">
        <v>70.319999999999993</v>
      </c>
      <c r="J27" s="153">
        <v>70.290000000000006</v>
      </c>
      <c r="K27" s="153">
        <v>70.36</v>
      </c>
      <c r="L27" s="153">
        <v>70.319999999999993</v>
      </c>
      <c r="M27" s="80">
        <f t="shared" si="0"/>
        <v>70.36</v>
      </c>
      <c r="N27" s="80">
        <f t="shared" si="1"/>
        <v>70.290000000000006</v>
      </c>
      <c r="O27" s="153">
        <v>20.89</v>
      </c>
      <c r="P27" s="153">
        <v>20.87</v>
      </c>
      <c r="Q27" s="153">
        <v>21.01</v>
      </c>
      <c r="R27" s="153">
        <v>21</v>
      </c>
      <c r="S27" s="4"/>
      <c r="U27" s="147" t="s">
        <v>106</v>
      </c>
      <c r="V27" s="11"/>
      <c r="W27" s="4"/>
      <c r="X27" s="12"/>
      <c r="Y27" s="14"/>
      <c r="Z27" s="4"/>
      <c r="AA27" s="13"/>
      <c r="AB27" s="11"/>
      <c r="AC27" s="4"/>
      <c r="AD27" s="12"/>
      <c r="AE27" s="13"/>
      <c r="AF27" s="14">
        <v>5.0038</v>
      </c>
      <c r="AG27" s="133"/>
      <c r="AI27" s="84"/>
      <c r="AL27" s="166">
        <v>4.1726115833333326</v>
      </c>
      <c r="AM27" s="56">
        <v>15.220000000000059</v>
      </c>
      <c r="AN27" s="56">
        <v>17.260000000000101</v>
      </c>
      <c r="AO27" s="62">
        <v>23.360000000000088</v>
      </c>
      <c r="AQ27" s="64">
        <v>4.0811731</v>
      </c>
      <c r="AR27" s="56">
        <v>14.920000000000041</v>
      </c>
      <c r="AS27" s="56">
        <v>16.420000000000009</v>
      </c>
      <c r="AT27" s="62">
        <v>20.680000000000032</v>
      </c>
      <c r="AV27" s="166">
        <v>3.7271179999999999</v>
      </c>
      <c r="AW27" s="56">
        <v>14.48</v>
      </c>
      <c r="AX27" s="56">
        <v>15.99999999999992</v>
      </c>
      <c r="AY27" s="62">
        <v>20.979999999999951</v>
      </c>
      <c r="BA27" s="64">
        <v>3.179415833333334</v>
      </c>
      <c r="BB27" s="56">
        <v>17.520000000000021</v>
      </c>
      <c r="BC27" s="56">
        <v>20.16</v>
      </c>
      <c r="BD27" s="62">
        <v>32.619999999999997</v>
      </c>
      <c r="BF27" s="64">
        <v>2.940263133333334</v>
      </c>
      <c r="BG27" s="56">
        <v>21.499999999999989</v>
      </c>
      <c r="BH27" s="56">
        <v>29</v>
      </c>
      <c r="BI27" s="62">
        <v>59.26</v>
      </c>
      <c r="BJ27" s="69"/>
      <c r="BK27" s="57"/>
    </row>
    <row r="28" spans="1:63" x14ac:dyDescent="0.4">
      <c r="A28" s="11" t="s">
        <v>107</v>
      </c>
      <c r="B28" s="4"/>
      <c r="C28" s="4"/>
      <c r="D28" s="4"/>
      <c r="E28" s="12"/>
      <c r="G28" s="147" t="s">
        <v>107</v>
      </c>
      <c r="H28" s="159">
        <v>70.093999999999994</v>
      </c>
      <c r="I28" s="153">
        <v>70.28</v>
      </c>
      <c r="J28" s="153">
        <v>70.27</v>
      </c>
      <c r="K28" s="153">
        <v>70.260000000000005</v>
      </c>
      <c r="L28" s="153">
        <v>70.260000000000005</v>
      </c>
      <c r="M28" s="80">
        <f t="shared" si="0"/>
        <v>70.28</v>
      </c>
      <c r="N28" s="80">
        <f t="shared" si="1"/>
        <v>70.260000000000005</v>
      </c>
      <c r="O28" s="153">
        <v>20.95</v>
      </c>
      <c r="P28" s="153">
        <v>20.94</v>
      </c>
      <c r="Q28" s="153">
        <v>21.07</v>
      </c>
      <c r="R28" s="153">
        <v>21.06</v>
      </c>
      <c r="S28" s="4"/>
      <c r="U28" s="147" t="s">
        <v>107</v>
      </c>
      <c r="V28" s="11"/>
      <c r="W28" s="4"/>
      <c r="X28" s="12"/>
      <c r="Y28" s="14"/>
      <c r="Z28" s="4"/>
      <c r="AA28" s="13"/>
      <c r="AB28" s="11"/>
      <c r="AC28" s="4"/>
      <c r="AD28" s="12"/>
      <c r="AE28" s="13"/>
      <c r="AF28" s="14">
        <v>5.0304000000000002</v>
      </c>
      <c r="AG28" s="133"/>
      <c r="AI28" s="84"/>
      <c r="AL28" s="166">
        <v>4.1725239333333333</v>
      </c>
      <c r="AM28" s="75">
        <v>14.20000000000012</v>
      </c>
      <c r="AN28" s="75">
        <v>16.14000000000004</v>
      </c>
      <c r="AO28" s="78">
        <v>22.300000000000079</v>
      </c>
      <c r="AP28" s="82"/>
      <c r="AQ28" s="74">
        <v>4.082352216666667</v>
      </c>
      <c r="AR28" s="75">
        <v>14.03999999999996</v>
      </c>
      <c r="AS28" s="75">
        <v>15.460000000000029</v>
      </c>
      <c r="AT28" s="78">
        <v>19.539999999999939</v>
      </c>
      <c r="AU28" s="82"/>
      <c r="AV28" s="166">
        <v>3.729604833333334</v>
      </c>
      <c r="AW28" s="75">
        <v>13.679999999999909</v>
      </c>
      <c r="AX28" s="75">
        <v>15.07999999999994</v>
      </c>
      <c r="AY28" s="78">
        <v>19.81999999999999</v>
      </c>
      <c r="AZ28" s="82"/>
      <c r="BA28" s="74">
        <v>3.190237783333334</v>
      </c>
      <c r="BB28" s="75">
        <v>16.840000000000011</v>
      </c>
      <c r="BC28" s="75">
        <v>19.32</v>
      </c>
      <c r="BD28" s="78">
        <v>31.280000000000019</v>
      </c>
      <c r="BE28" s="82"/>
      <c r="BF28" s="74">
        <v>2.955659816666667</v>
      </c>
      <c r="BG28" s="75">
        <v>20.96</v>
      </c>
      <c r="BH28" s="75">
        <v>28.67999999999995</v>
      </c>
      <c r="BI28" s="78">
        <v>58.619999999999983</v>
      </c>
      <c r="BJ28" s="70"/>
      <c r="BK28" s="51"/>
    </row>
    <row r="29" spans="1:63" x14ac:dyDescent="0.4">
      <c r="A29" s="11" t="s">
        <v>108</v>
      </c>
      <c r="B29" s="4"/>
      <c r="C29" s="4"/>
      <c r="D29" s="4"/>
      <c r="E29" s="12"/>
      <c r="G29" s="147" t="s">
        <v>108</v>
      </c>
      <c r="H29" s="159">
        <v>69.947000000000003</v>
      </c>
      <c r="I29" s="153">
        <v>70.319999999999993</v>
      </c>
      <c r="J29" s="153">
        <v>70.3</v>
      </c>
      <c r="K29" s="153">
        <v>70.33</v>
      </c>
      <c r="L29" s="153">
        <v>70.319999999999993</v>
      </c>
      <c r="M29" s="80">
        <f t="shared" si="0"/>
        <v>70.33</v>
      </c>
      <c r="N29" s="80">
        <f t="shared" si="1"/>
        <v>70.3</v>
      </c>
      <c r="O29" s="153">
        <v>20.87</v>
      </c>
      <c r="P29" s="153">
        <v>20.86</v>
      </c>
      <c r="Q29" s="153">
        <v>21.08</v>
      </c>
      <c r="R29" s="153">
        <v>21.03</v>
      </c>
      <c r="S29" s="4"/>
      <c r="U29" s="147" t="s">
        <v>108</v>
      </c>
      <c r="V29" s="11"/>
      <c r="W29" s="4"/>
      <c r="X29" s="12"/>
      <c r="Y29" s="14"/>
      <c r="Z29" s="4"/>
      <c r="AA29" s="13"/>
      <c r="AB29" s="11"/>
      <c r="AC29" s="4"/>
      <c r="AD29" s="12"/>
      <c r="AE29" s="13"/>
      <c r="AF29" s="14">
        <v>5.0118</v>
      </c>
      <c r="AG29" s="133"/>
      <c r="AI29" s="84"/>
      <c r="AL29" s="166">
        <v>4.1721344166666663</v>
      </c>
      <c r="AM29" s="56">
        <v>14.56</v>
      </c>
      <c r="AN29" s="56">
        <v>16.520000000000049</v>
      </c>
      <c r="AO29" s="62">
        <v>22.780000000000019</v>
      </c>
      <c r="AQ29" s="64">
        <v>4.081920283333333</v>
      </c>
      <c r="AR29" s="56">
        <v>14.499999999999959</v>
      </c>
      <c r="AS29" s="56">
        <v>15.95999999999993</v>
      </c>
      <c r="AT29" s="62">
        <v>20.27999999999999</v>
      </c>
      <c r="AV29" s="166">
        <v>3.7284127333333328</v>
      </c>
      <c r="AW29" s="56">
        <v>14.119999999999949</v>
      </c>
      <c r="AX29" s="56">
        <v>15.599999999999969</v>
      </c>
      <c r="AY29" s="62">
        <v>20.500000000000011</v>
      </c>
      <c r="BA29" s="64">
        <v>3.1841430000000002</v>
      </c>
      <c r="BB29" s="56">
        <v>16.840000000000011</v>
      </c>
      <c r="BC29" s="56">
        <v>19.36</v>
      </c>
      <c r="BD29" s="62">
        <v>31.59999999999998</v>
      </c>
      <c r="BF29" s="64">
        <v>2.953544266666666</v>
      </c>
      <c r="BG29" s="56">
        <v>20.800000000000018</v>
      </c>
      <c r="BH29" s="56">
        <v>28.460000000000019</v>
      </c>
      <c r="BI29" s="62">
        <v>58.359999999999971</v>
      </c>
      <c r="BJ29" s="69"/>
      <c r="BK29" s="57"/>
    </row>
    <row r="30" spans="1:63" x14ac:dyDescent="0.4">
      <c r="A30" s="11" t="s">
        <v>109</v>
      </c>
      <c r="B30" s="4"/>
      <c r="C30" s="4"/>
      <c r="D30" s="4"/>
      <c r="E30" s="12"/>
      <c r="G30" s="147" t="s">
        <v>109</v>
      </c>
      <c r="H30" s="159">
        <v>70.076999999999998</v>
      </c>
      <c r="I30" s="153">
        <v>70.36</v>
      </c>
      <c r="J30" s="153">
        <v>70.39</v>
      </c>
      <c r="K30" s="153">
        <v>70.37</v>
      </c>
      <c r="L30" s="153">
        <v>70.36</v>
      </c>
      <c r="M30" s="80">
        <f t="shared" si="0"/>
        <v>70.39</v>
      </c>
      <c r="N30" s="80">
        <f t="shared" si="1"/>
        <v>70.36</v>
      </c>
      <c r="O30" s="153">
        <v>20.9</v>
      </c>
      <c r="P30" s="153">
        <v>20.82</v>
      </c>
      <c r="Q30" s="153">
        <v>21.04</v>
      </c>
      <c r="R30" s="153">
        <v>21</v>
      </c>
      <c r="S30" s="4"/>
      <c r="U30" s="147" t="s">
        <v>109</v>
      </c>
      <c r="V30" s="11"/>
      <c r="W30" s="4"/>
      <c r="X30" s="12"/>
      <c r="Y30" s="14"/>
      <c r="Z30" s="4"/>
      <c r="AA30" s="13"/>
      <c r="AB30" s="11"/>
      <c r="AC30" s="4"/>
      <c r="AD30" s="12"/>
      <c r="AE30" s="13"/>
      <c r="AF30" s="14">
        <v>5.0233999999999996</v>
      </c>
      <c r="AG30" s="133"/>
      <c r="AI30" s="84"/>
      <c r="AL30" s="166">
        <v>4.1723411666666674</v>
      </c>
      <c r="AM30" s="56">
        <v>13.78000000000004</v>
      </c>
      <c r="AN30" s="56">
        <v>15.680000000000049</v>
      </c>
      <c r="AO30" s="62">
        <v>21.8</v>
      </c>
      <c r="AQ30" s="64">
        <v>4.0817982333333331</v>
      </c>
      <c r="AR30" s="56">
        <v>13.439999999999941</v>
      </c>
      <c r="AS30" s="56">
        <v>14.8200000000001</v>
      </c>
      <c r="AT30" s="62">
        <v>18.84000000000006</v>
      </c>
      <c r="AV30" s="166">
        <v>3.7280617999999999</v>
      </c>
      <c r="AW30" s="56">
        <v>13.060000000000031</v>
      </c>
      <c r="AX30" s="56">
        <v>14.45999999999996</v>
      </c>
      <c r="AY30" s="62">
        <v>19.160000000000021</v>
      </c>
      <c r="BA30" s="64">
        <v>3.1870317500000001</v>
      </c>
      <c r="BB30" s="56">
        <v>16.16</v>
      </c>
      <c r="BC30" s="56">
        <v>18.62000000000004</v>
      </c>
      <c r="BD30" s="62">
        <v>30.68</v>
      </c>
      <c r="BF30" s="64">
        <v>2.954319766666667</v>
      </c>
      <c r="BG30" s="56">
        <v>20.219999999999949</v>
      </c>
      <c r="BH30" s="56">
        <v>27.99999999999994</v>
      </c>
      <c r="BI30" s="62">
        <v>58.05999999999996</v>
      </c>
      <c r="BJ30" s="69"/>
      <c r="BK30" s="57"/>
    </row>
    <row r="31" spans="1:63" x14ac:dyDescent="0.4">
      <c r="A31" s="11" t="s">
        <v>110</v>
      </c>
      <c r="B31" s="4"/>
      <c r="C31" s="4"/>
      <c r="D31" s="4"/>
      <c r="E31" s="12"/>
      <c r="G31" s="147" t="s">
        <v>110</v>
      </c>
      <c r="H31" s="159">
        <v>70.063999999999993</v>
      </c>
      <c r="I31" s="153">
        <v>70.25</v>
      </c>
      <c r="J31" s="153">
        <v>70.319999999999993</v>
      </c>
      <c r="K31" s="153">
        <v>70.209999999999994</v>
      </c>
      <c r="L31" s="153">
        <v>70.239999999999995</v>
      </c>
      <c r="M31" s="80">
        <f t="shared" si="0"/>
        <v>70.319999999999993</v>
      </c>
      <c r="N31" s="80">
        <f t="shared" si="1"/>
        <v>70.209999999999994</v>
      </c>
      <c r="O31" s="153">
        <v>20.92</v>
      </c>
      <c r="P31" s="153">
        <v>20.91</v>
      </c>
      <c r="Q31" s="153">
        <v>21.03</v>
      </c>
      <c r="R31" s="153">
        <v>21</v>
      </c>
      <c r="S31" s="4"/>
      <c r="U31" s="147" t="s">
        <v>110</v>
      </c>
      <c r="V31" s="11"/>
      <c r="W31" s="4"/>
      <c r="X31" s="12"/>
      <c r="Y31" s="14"/>
      <c r="Z31" s="4"/>
      <c r="AA31" s="13"/>
      <c r="AB31" s="11"/>
      <c r="AC31" s="4"/>
      <c r="AD31" s="12"/>
      <c r="AE31" s="13"/>
      <c r="AF31" s="14">
        <v>5.0080999999999998</v>
      </c>
      <c r="AG31" s="133"/>
      <c r="AI31" s="84"/>
      <c r="AL31" s="166">
        <v>4.17227485</v>
      </c>
      <c r="AM31" s="75">
        <v>14.81999999999992</v>
      </c>
      <c r="AN31" s="75">
        <v>16.820000000000061</v>
      </c>
      <c r="AO31" s="78">
        <v>23.140000000000072</v>
      </c>
      <c r="AP31" s="82"/>
      <c r="AQ31" s="74">
        <v>4.0824993999999997</v>
      </c>
      <c r="AR31" s="75">
        <v>14.719999999999979</v>
      </c>
      <c r="AS31" s="75">
        <v>16.1999999999999</v>
      </c>
      <c r="AT31" s="78">
        <v>20.47999999999988</v>
      </c>
      <c r="AU31" s="82"/>
      <c r="AV31" s="166">
        <v>3.7286562833333341</v>
      </c>
      <c r="AW31" s="75">
        <v>14.25999999999998</v>
      </c>
      <c r="AX31" s="75">
        <v>15.74</v>
      </c>
      <c r="AY31" s="78">
        <v>20.679999999999939</v>
      </c>
      <c r="AZ31" s="82"/>
      <c r="BA31" s="74">
        <v>3.1850049833333332</v>
      </c>
      <c r="BB31" s="75">
        <v>17.260000000000009</v>
      </c>
      <c r="BC31" s="75">
        <v>19.820000000000078</v>
      </c>
      <c r="BD31" s="78">
        <v>32.120000000000019</v>
      </c>
      <c r="BE31" s="82"/>
      <c r="BF31" s="74">
        <v>2.9562026333333331</v>
      </c>
      <c r="BG31" s="75">
        <v>21.38</v>
      </c>
      <c r="BH31" s="75">
        <v>29.01999999999996</v>
      </c>
      <c r="BI31" s="78">
        <v>58.659999999999982</v>
      </c>
      <c r="BJ31" s="70"/>
      <c r="BK31" s="51"/>
    </row>
    <row r="32" spans="1:63" x14ac:dyDescent="0.4">
      <c r="A32" s="11" t="s">
        <v>111</v>
      </c>
      <c r="B32" s="4"/>
      <c r="C32" s="4"/>
      <c r="D32" s="4"/>
      <c r="E32" s="12"/>
      <c r="G32" s="147" t="s">
        <v>111</v>
      </c>
      <c r="H32" s="159">
        <v>69.968000000000004</v>
      </c>
      <c r="I32" s="153">
        <v>70.3</v>
      </c>
      <c r="J32" s="153">
        <v>70.28</v>
      </c>
      <c r="K32" s="153">
        <v>70.290000000000006</v>
      </c>
      <c r="L32" s="153">
        <v>70.33</v>
      </c>
      <c r="M32" s="80">
        <f t="shared" si="0"/>
        <v>70.33</v>
      </c>
      <c r="N32" s="80">
        <f t="shared" si="1"/>
        <v>70.28</v>
      </c>
      <c r="O32" s="153">
        <v>20.87</v>
      </c>
      <c r="P32" s="153">
        <v>20.75</v>
      </c>
      <c r="Q32" s="153">
        <v>20.98</v>
      </c>
      <c r="R32" s="153">
        <v>20.92</v>
      </c>
      <c r="S32" s="4"/>
      <c r="U32" s="147" t="s">
        <v>111</v>
      </c>
      <c r="V32" s="11"/>
      <c r="W32" s="4"/>
      <c r="X32" s="12"/>
      <c r="Y32" s="14"/>
      <c r="Z32" s="4"/>
      <c r="AA32" s="13"/>
      <c r="AB32" s="11"/>
      <c r="AC32" s="4"/>
      <c r="AD32" s="12"/>
      <c r="AE32" s="13"/>
      <c r="AF32" s="14">
        <v>5.0294999999999996</v>
      </c>
      <c r="AG32" s="133"/>
      <c r="AI32" s="84"/>
      <c r="AL32" s="166">
        <v>4.1721964500000004</v>
      </c>
      <c r="AM32" s="56">
        <v>13.879999999999979</v>
      </c>
      <c r="AN32" s="56">
        <v>15.799999999999949</v>
      </c>
      <c r="AO32" s="62">
        <v>21.920000000000069</v>
      </c>
      <c r="AQ32" s="64">
        <v>4.0832262666666663</v>
      </c>
      <c r="AR32" s="56">
        <v>13.920000000000069</v>
      </c>
      <c r="AS32" s="56">
        <v>15.32</v>
      </c>
      <c r="AT32" s="62">
        <v>19.380000000000042</v>
      </c>
      <c r="AV32" s="166">
        <v>3.7298566333333332</v>
      </c>
      <c r="AW32" s="56">
        <v>13.640000000000009</v>
      </c>
      <c r="AX32" s="56">
        <v>15.06000000000007</v>
      </c>
      <c r="AY32" s="62">
        <v>19.80000000000004</v>
      </c>
      <c r="BA32" s="64">
        <v>3.1899802833333331</v>
      </c>
      <c r="BB32" s="56">
        <v>16.88000000000001</v>
      </c>
      <c r="BC32" s="56">
        <v>19.379999999999949</v>
      </c>
      <c r="BD32" s="62">
        <v>31.44</v>
      </c>
      <c r="BF32" s="64">
        <v>2.959222899999999</v>
      </c>
      <c r="BG32" s="56">
        <v>20.939999999999959</v>
      </c>
      <c r="BH32" s="56">
        <v>28.21999999999996</v>
      </c>
      <c r="BI32" s="62">
        <v>57.439999999999984</v>
      </c>
      <c r="BJ32" s="70"/>
      <c r="BK32" s="51"/>
    </row>
    <row r="33" spans="1:63" x14ac:dyDescent="0.4">
      <c r="A33" s="11" t="s">
        <v>112</v>
      </c>
      <c r="B33" s="4"/>
      <c r="C33" s="4"/>
      <c r="D33" s="4"/>
      <c r="E33" s="12"/>
      <c r="G33" s="147" t="s">
        <v>112</v>
      </c>
      <c r="H33" s="159">
        <v>70.052999999999997</v>
      </c>
      <c r="I33" s="153">
        <v>70.2</v>
      </c>
      <c r="J33" s="153">
        <v>70.239999999999995</v>
      </c>
      <c r="K33" s="153">
        <v>70.33</v>
      </c>
      <c r="L33" s="153">
        <v>70.27</v>
      </c>
      <c r="M33" s="80">
        <f t="shared" si="0"/>
        <v>70.33</v>
      </c>
      <c r="N33" s="80">
        <f t="shared" si="1"/>
        <v>70.2</v>
      </c>
      <c r="O33" s="153">
        <v>20.87</v>
      </c>
      <c r="P33" s="153">
        <v>20.81</v>
      </c>
      <c r="Q33" s="153">
        <v>21.01</v>
      </c>
      <c r="R33" s="153">
        <v>20.99</v>
      </c>
      <c r="S33" s="4"/>
      <c r="U33" s="147" t="s">
        <v>112</v>
      </c>
      <c r="V33" s="11"/>
      <c r="W33" s="4"/>
      <c r="X33" s="12"/>
      <c r="Y33" s="14"/>
      <c r="Z33" s="4"/>
      <c r="AA33" s="13"/>
      <c r="AB33" s="11"/>
      <c r="AC33" s="4"/>
      <c r="AD33" s="12"/>
      <c r="AE33" s="137"/>
      <c r="AF33" s="14">
        <v>5.0137</v>
      </c>
      <c r="AG33" s="133"/>
      <c r="AI33" s="84"/>
      <c r="AL33" s="166">
        <v>4.1725093500000003</v>
      </c>
      <c r="AM33" s="56">
        <v>15.06000000000007</v>
      </c>
      <c r="AN33" s="56">
        <v>17.079999999999981</v>
      </c>
      <c r="AO33" s="62">
        <v>23.220000000000059</v>
      </c>
      <c r="AQ33" s="64">
        <v>4.0827761333333328</v>
      </c>
      <c r="AR33" s="56">
        <v>15.08000000000003</v>
      </c>
      <c r="AS33" s="56">
        <v>16.599999999999952</v>
      </c>
      <c r="AT33" s="62">
        <v>20.859999999999971</v>
      </c>
      <c r="AV33" s="166">
        <v>3.7289795166666662</v>
      </c>
      <c r="AW33" s="56">
        <v>14.65999999999994</v>
      </c>
      <c r="AX33" s="56">
        <v>16.17999999999995</v>
      </c>
      <c r="AY33" s="62">
        <v>21.159999999999979</v>
      </c>
      <c r="BA33" s="64">
        <v>3.1848177500000001</v>
      </c>
      <c r="BB33" s="56">
        <v>17.57999999999997</v>
      </c>
      <c r="BC33" s="56">
        <v>20.139999999999961</v>
      </c>
      <c r="BD33" s="62">
        <v>32.459999999999937</v>
      </c>
      <c r="BF33" s="64">
        <v>2.9430906166666668</v>
      </c>
      <c r="BG33" s="56">
        <v>21.68000000000001</v>
      </c>
      <c r="BH33" s="56">
        <v>29.060000000000041</v>
      </c>
      <c r="BI33" s="62">
        <v>59.19999999999996</v>
      </c>
      <c r="BJ33" s="70"/>
      <c r="BK33" s="51"/>
    </row>
    <row r="34" spans="1:63" x14ac:dyDescent="0.4">
      <c r="A34" s="11" t="s">
        <v>113</v>
      </c>
      <c r="B34" s="4"/>
      <c r="C34" s="4"/>
      <c r="D34" s="4"/>
      <c r="E34" s="12"/>
      <c r="G34" s="147" t="s">
        <v>113</v>
      </c>
      <c r="H34" s="159">
        <v>70.052999999999997</v>
      </c>
      <c r="I34" s="153">
        <v>70.319999999999993</v>
      </c>
      <c r="J34" s="153">
        <v>70.349999999999994</v>
      </c>
      <c r="K34" s="153">
        <v>70.33</v>
      </c>
      <c r="L34" s="153">
        <v>70.319999999999993</v>
      </c>
      <c r="M34" s="80">
        <f t="shared" si="0"/>
        <v>70.349999999999994</v>
      </c>
      <c r="N34" s="80">
        <f t="shared" si="1"/>
        <v>70.319999999999993</v>
      </c>
      <c r="O34" s="153">
        <v>20.85</v>
      </c>
      <c r="P34" s="153">
        <v>20.84</v>
      </c>
      <c r="Q34" s="153">
        <v>21.05</v>
      </c>
      <c r="R34" s="153">
        <v>21.04</v>
      </c>
      <c r="S34" s="4"/>
      <c r="U34" s="147" t="s">
        <v>113</v>
      </c>
      <c r="V34" s="11"/>
      <c r="W34" s="4"/>
      <c r="X34" s="12"/>
      <c r="Y34" s="14"/>
      <c r="Z34" s="4"/>
      <c r="AA34" s="13"/>
      <c r="AB34" s="11"/>
      <c r="AC34" s="4"/>
      <c r="AD34" s="12"/>
      <c r="AE34" s="13"/>
      <c r="AF34" s="14">
        <v>5.0313999999999997</v>
      </c>
      <c r="AG34" s="133"/>
      <c r="AI34" s="84"/>
      <c r="AL34" s="166">
        <v>4.1720605166666669</v>
      </c>
      <c r="AM34" s="56">
        <v>14.160000000000039</v>
      </c>
      <c r="AN34" s="56">
        <v>16.059999999999871</v>
      </c>
      <c r="AO34" s="62">
        <v>22.139999999999919</v>
      </c>
      <c r="AQ34" s="64">
        <v>4.0806167833333324</v>
      </c>
      <c r="AR34" s="56">
        <v>13.659999999999959</v>
      </c>
      <c r="AS34" s="56">
        <v>15.06000000000007</v>
      </c>
      <c r="AT34" s="62">
        <v>19.06000000000008</v>
      </c>
      <c r="AV34" s="166">
        <v>3.7264716666666668</v>
      </c>
      <c r="AW34" s="56">
        <v>13.34</v>
      </c>
      <c r="AX34" s="56">
        <v>14.74000000000002</v>
      </c>
      <c r="AY34" s="62">
        <v>19.439999999999991</v>
      </c>
      <c r="BA34" s="64">
        <v>3.188469916666667</v>
      </c>
      <c r="BB34" s="56">
        <v>16.339999999999929</v>
      </c>
      <c r="BC34" s="56">
        <v>18.799999999999969</v>
      </c>
      <c r="BD34" s="62">
        <v>30.759999999999991</v>
      </c>
      <c r="BF34" s="64">
        <v>2.9619721166666659</v>
      </c>
      <c r="BG34" s="56">
        <v>20.29999999999994</v>
      </c>
      <c r="BH34" s="56">
        <v>27.539999999999939</v>
      </c>
      <c r="BI34" s="62">
        <v>56.339999999999968</v>
      </c>
      <c r="BJ34" s="69"/>
      <c r="BK34" s="57"/>
    </row>
    <row r="35" spans="1:63" x14ac:dyDescent="0.4">
      <c r="A35" s="11" t="s">
        <v>114</v>
      </c>
      <c r="B35" s="4"/>
      <c r="C35" s="4"/>
      <c r="D35" s="4"/>
      <c r="E35" s="12"/>
      <c r="G35" s="147" t="s">
        <v>114</v>
      </c>
      <c r="H35" s="159">
        <v>70.099000000000004</v>
      </c>
      <c r="I35" s="153">
        <v>70.31</v>
      </c>
      <c r="J35" s="153">
        <v>70.34</v>
      </c>
      <c r="K35" s="153">
        <v>70.31</v>
      </c>
      <c r="L35" s="153">
        <v>70.260000000000005</v>
      </c>
      <c r="M35" s="80">
        <f t="shared" si="0"/>
        <v>70.34</v>
      </c>
      <c r="N35" s="80">
        <f t="shared" si="1"/>
        <v>70.260000000000005</v>
      </c>
      <c r="O35" s="153">
        <v>20.89</v>
      </c>
      <c r="P35" s="153">
        <v>20.83</v>
      </c>
      <c r="Q35" s="153">
        <v>21</v>
      </c>
      <c r="R35" s="153">
        <v>20.96</v>
      </c>
      <c r="S35" s="4"/>
      <c r="U35" s="147" t="s">
        <v>114</v>
      </c>
      <c r="V35" s="11"/>
      <c r="W35" s="4"/>
      <c r="X35" s="12"/>
      <c r="Y35" s="14"/>
      <c r="Z35" s="4"/>
      <c r="AA35" s="13"/>
      <c r="AB35" s="11"/>
      <c r="AC35" s="4"/>
      <c r="AD35" s="12"/>
      <c r="AE35" s="13"/>
      <c r="AF35" s="14">
        <v>5.0265000000000004</v>
      </c>
      <c r="AG35" s="133"/>
      <c r="AI35" s="84"/>
      <c r="AL35" s="166">
        <v>4.1719957499999998</v>
      </c>
      <c r="AM35" s="56">
        <v>13.899999999999929</v>
      </c>
      <c r="AN35" s="56">
        <v>15.799999999999949</v>
      </c>
      <c r="AO35" s="62">
        <v>21.920000000000069</v>
      </c>
      <c r="AQ35" s="64">
        <v>4.0815587333333339</v>
      </c>
      <c r="AR35" s="56">
        <v>13.56000000000002</v>
      </c>
      <c r="AS35" s="56">
        <v>14.94</v>
      </c>
      <c r="AT35" s="62">
        <v>18.959999999999951</v>
      </c>
      <c r="AV35" s="166">
        <v>3.7282031500000001</v>
      </c>
      <c r="AW35" s="56">
        <v>13.22000000000001</v>
      </c>
      <c r="AX35" s="56">
        <v>14.599999999999991</v>
      </c>
      <c r="AY35" s="62">
        <v>19.280000000000008</v>
      </c>
      <c r="BA35" s="64">
        <v>3.1873537666666669</v>
      </c>
      <c r="BB35" s="56">
        <v>16.48000000000005</v>
      </c>
      <c r="BC35" s="56">
        <v>18.940000000000001</v>
      </c>
      <c r="BD35" s="62">
        <v>31.00000000000005</v>
      </c>
      <c r="BF35" s="64">
        <v>2.9568995</v>
      </c>
      <c r="BG35" s="56">
        <v>20.61999999999999</v>
      </c>
      <c r="BH35" s="56">
        <v>28.500000000000011</v>
      </c>
      <c r="BI35" s="62">
        <v>58.699999999999967</v>
      </c>
      <c r="BJ35" s="69"/>
      <c r="BK35" s="51"/>
    </row>
    <row r="36" spans="1:63" x14ac:dyDescent="0.4">
      <c r="A36" s="11" t="s">
        <v>115</v>
      </c>
      <c r="B36" s="4"/>
      <c r="C36" s="4"/>
      <c r="D36" s="4"/>
      <c r="E36" s="12"/>
      <c r="G36" s="147" t="s">
        <v>115</v>
      </c>
      <c r="H36" s="159">
        <v>69.947999999999993</v>
      </c>
      <c r="I36" s="153">
        <v>70.319999999999993</v>
      </c>
      <c r="J36" s="153">
        <v>70.27</v>
      </c>
      <c r="K36" s="153">
        <v>70.28</v>
      </c>
      <c r="L36" s="153">
        <v>70.3</v>
      </c>
      <c r="M36" s="80">
        <f t="shared" si="0"/>
        <v>70.319999999999993</v>
      </c>
      <c r="N36" s="80">
        <f t="shared" si="1"/>
        <v>70.27</v>
      </c>
      <c r="O36" s="153">
        <v>20.98</v>
      </c>
      <c r="P36" s="153">
        <v>20.89</v>
      </c>
      <c r="Q36" s="153">
        <v>20.99</v>
      </c>
      <c r="R36" s="153">
        <v>20.98</v>
      </c>
      <c r="S36" s="4"/>
      <c r="U36" s="147" t="s">
        <v>115</v>
      </c>
      <c r="V36" s="11"/>
      <c r="W36" s="4"/>
      <c r="X36" s="12"/>
      <c r="Y36" s="14"/>
      <c r="Z36" s="4"/>
      <c r="AA36" s="13"/>
      <c r="AB36" s="11"/>
      <c r="AC36" s="4"/>
      <c r="AD36" s="12"/>
      <c r="AE36" s="13"/>
      <c r="AF36" s="14">
        <v>4.9954999999999998</v>
      </c>
      <c r="AG36" s="133"/>
      <c r="AI36" s="84"/>
      <c r="AL36" s="166">
        <v>4.1723754833333331</v>
      </c>
      <c r="AM36" s="75">
        <v>15.259999999999961</v>
      </c>
      <c r="AN36" s="75">
        <v>17.27999999999987</v>
      </c>
      <c r="AO36" s="78">
        <v>23.5199999999999</v>
      </c>
      <c r="AP36" s="82"/>
      <c r="AQ36" s="74">
        <v>4.0804131999999989</v>
      </c>
      <c r="AR36" s="75">
        <v>14.920000000000041</v>
      </c>
      <c r="AS36" s="75">
        <v>16.420000000000009</v>
      </c>
      <c r="AT36" s="78">
        <v>20.739999999999981</v>
      </c>
      <c r="AU36" s="82"/>
      <c r="AV36" s="166">
        <v>3.726003716666666</v>
      </c>
      <c r="AW36" s="75">
        <v>14.54000000000004</v>
      </c>
      <c r="AX36" s="75">
        <v>16.060000000000048</v>
      </c>
      <c r="AY36" s="78">
        <v>21.08000000000008</v>
      </c>
      <c r="AZ36" s="82"/>
      <c r="BA36" s="74">
        <v>3.1759304500000001</v>
      </c>
      <c r="BB36" s="75">
        <v>17.480000000000029</v>
      </c>
      <c r="BC36" s="75">
        <v>20.100000000000051</v>
      </c>
      <c r="BD36" s="78">
        <v>32.640000000000043</v>
      </c>
      <c r="BE36" s="82"/>
      <c r="BF36" s="74">
        <v>2.9364333166666672</v>
      </c>
      <c r="BG36" s="75">
        <v>21.45999999999999</v>
      </c>
      <c r="BH36" s="75">
        <v>29</v>
      </c>
      <c r="BI36" s="78">
        <v>59.519999999999918</v>
      </c>
      <c r="BJ36" s="70"/>
      <c r="BK36" s="51"/>
    </row>
    <row r="37" spans="1:63" x14ac:dyDescent="0.4">
      <c r="A37" s="11" t="s">
        <v>116</v>
      </c>
      <c r="B37" s="4"/>
      <c r="C37" s="4"/>
      <c r="D37" s="4"/>
      <c r="E37" s="12"/>
      <c r="G37" s="147" t="s">
        <v>116</v>
      </c>
      <c r="H37" s="159">
        <v>69.965000000000003</v>
      </c>
      <c r="I37" s="153">
        <v>70.25</v>
      </c>
      <c r="J37" s="153">
        <v>70.22</v>
      </c>
      <c r="K37" s="153">
        <v>70.22</v>
      </c>
      <c r="L37" s="153">
        <v>70.27</v>
      </c>
      <c r="M37" s="80">
        <f t="shared" si="0"/>
        <v>70.27</v>
      </c>
      <c r="N37" s="80">
        <f t="shared" si="1"/>
        <v>70.22</v>
      </c>
      <c r="O37" s="153">
        <v>21.03</v>
      </c>
      <c r="P37" s="153">
        <v>20.94</v>
      </c>
      <c r="Q37" s="153">
        <v>21.07</v>
      </c>
      <c r="R37" s="153">
        <v>21.02</v>
      </c>
      <c r="S37" s="4"/>
      <c r="U37" s="147" t="s">
        <v>116</v>
      </c>
      <c r="V37" s="11"/>
      <c r="W37" s="4"/>
      <c r="X37" s="12"/>
      <c r="Y37" s="14"/>
      <c r="Z37" s="4"/>
      <c r="AA37" s="13"/>
      <c r="AB37" s="11"/>
      <c r="AC37" s="4"/>
      <c r="AD37" s="12"/>
      <c r="AE37" s="13"/>
      <c r="AF37" s="14">
        <v>5.0030999999999999</v>
      </c>
      <c r="AG37" s="133"/>
      <c r="AI37" s="84"/>
      <c r="AL37" s="166">
        <v>4.1725373833333332</v>
      </c>
      <c r="AM37" s="56">
        <v>15.26000000000014</v>
      </c>
      <c r="AN37" s="56">
        <v>17.3</v>
      </c>
      <c r="AO37" s="62">
        <v>23.520000000000071</v>
      </c>
      <c r="AQ37" s="64">
        <v>4.0819739999999998</v>
      </c>
      <c r="AR37" s="56">
        <v>15.16000000000002</v>
      </c>
      <c r="AS37" s="56">
        <v>16.659999999999989</v>
      </c>
      <c r="AT37" s="62">
        <v>20.939999999999959</v>
      </c>
      <c r="AV37" s="166">
        <v>3.7279271833333332</v>
      </c>
      <c r="AW37" s="56">
        <v>14.72000000000007</v>
      </c>
      <c r="AX37" s="56">
        <v>16.220000000000031</v>
      </c>
      <c r="AY37" s="62">
        <v>21.22000000000002</v>
      </c>
      <c r="BA37" s="64">
        <v>3.180153433333333</v>
      </c>
      <c r="BB37" s="56">
        <v>17.640000000000011</v>
      </c>
      <c r="BC37" s="56">
        <v>20.239999999999991</v>
      </c>
      <c r="BD37" s="62">
        <v>32.680000000000042</v>
      </c>
      <c r="BF37" s="64">
        <v>2.9375818666666671</v>
      </c>
      <c r="BG37" s="56">
        <v>21.779999999999951</v>
      </c>
      <c r="BH37" s="56">
        <v>29.239999999999981</v>
      </c>
      <c r="BI37" s="62">
        <v>59.799999999999983</v>
      </c>
      <c r="BJ37" s="69"/>
      <c r="BK37" s="51"/>
    </row>
    <row r="38" spans="1:63" x14ac:dyDescent="0.4">
      <c r="A38" s="11" t="s">
        <v>117</v>
      </c>
      <c r="B38" s="4"/>
      <c r="C38" s="4"/>
      <c r="D38" s="4"/>
      <c r="E38" s="12"/>
      <c r="G38" s="147" t="s">
        <v>117</v>
      </c>
      <c r="H38" s="159">
        <v>70.037000000000006</v>
      </c>
      <c r="I38" s="153">
        <v>70.37</v>
      </c>
      <c r="J38" s="153">
        <v>70.33</v>
      </c>
      <c r="K38" s="153">
        <v>70.349999999999994</v>
      </c>
      <c r="L38" s="153">
        <v>70.34</v>
      </c>
      <c r="M38" s="80">
        <f t="shared" si="0"/>
        <v>70.37</v>
      </c>
      <c r="N38" s="80">
        <f t="shared" si="1"/>
        <v>70.33</v>
      </c>
      <c r="O38" s="153">
        <v>20.93</v>
      </c>
      <c r="P38" s="153">
        <v>20.89</v>
      </c>
      <c r="Q38" s="153">
        <v>20.99</v>
      </c>
      <c r="R38" s="153">
        <v>20.98</v>
      </c>
      <c r="S38" s="4"/>
      <c r="U38" s="147" t="s">
        <v>117</v>
      </c>
      <c r="V38" s="11"/>
      <c r="W38" s="4"/>
      <c r="X38" s="12"/>
      <c r="Y38" s="14"/>
      <c r="Z38" s="4"/>
      <c r="AA38" s="13"/>
      <c r="AB38" s="11"/>
      <c r="AC38" s="4"/>
      <c r="AD38" s="12"/>
      <c r="AE38" s="13"/>
      <c r="AF38" s="14">
        <v>5.0148999999999999</v>
      </c>
      <c r="AG38" s="133"/>
      <c r="AI38" s="84"/>
      <c r="AL38" s="166">
        <v>4.1722087166666668</v>
      </c>
      <c r="AM38" s="56">
        <v>14.920000000000041</v>
      </c>
      <c r="AN38" s="56">
        <v>16.900000000000048</v>
      </c>
      <c r="AO38" s="62">
        <v>23.320000000000011</v>
      </c>
      <c r="AQ38" s="64">
        <v>4.0805606833333323</v>
      </c>
      <c r="AR38" s="56">
        <v>14.779999999999839</v>
      </c>
      <c r="AS38" s="56">
        <v>16.239999999999899</v>
      </c>
      <c r="AT38" s="62">
        <v>20.519999999999872</v>
      </c>
      <c r="AV38" s="166">
        <v>3.7269791333333329</v>
      </c>
      <c r="AW38" s="56">
        <v>14.299999999999979</v>
      </c>
      <c r="AX38" s="56">
        <v>15.78</v>
      </c>
      <c r="AY38" s="62">
        <v>20.739999999999981</v>
      </c>
      <c r="BA38" s="64">
        <v>3.1839811666666669</v>
      </c>
      <c r="BB38" s="56">
        <v>16.920000000000002</v>
      </c>
      <c r="BC38" s="56">
        <v>19.45999999999994</v>
      </c>
      <c r="BD38" s="62">
        <v>31.700000000000021</v>
      </c>
      <c r="BF38" s="64">
        <v>2.956338216666667</v>
      </c>
      <c r="BG38" s="56">
        <v>20.940000000000051</v>
      </c>
      <c r="BH38" s="56">
        <v>28.64000000000004</v>
      </c>
      <c r="BI38" s="62">
        <v>58.260000000000019</v>
      </c>
      <c r="BJ38" s="69"/>
      <c r="BK38" s="57"/>
    </row>
    <row r="39" spans="1:63" x14ac:dyDescent="0.4">
      <c r="A39" s="11" t="s">
        <v>118</v>
      </c>
      <c r="B39" s="4"/>
      <c r="C39" s="4"/>
      <c r="D39" s="4"/>
      <c r="E39" s="12"/>
      <c r="G39" s="147" t="s">
        <v>118</v>
      </c>
      <c r="H39" s="159">
        <v>69.988</v>
      </c>
      <c r="I39" s="153">
        <v>70.31</v>
      </c>
      <c r="J39" s="153">
        <v>70.290000000000006</v>
      </c>
      <c r="K39" s="153">
        <v>70.25</v>
      </c>
      <c r="L39" s="153">
        <v>70.27</v>
      </c>
      <c r="M39" s="80">
        <f t="shared" si="0"/>
        <v>70.31</v>
      </c>
      <c r="N39" s="80">
        <f t="shared" si="1"/>
        <v>70.25</v>
      </c>
      <c r="O39" s="153">
        <v>21</v>
      </c>
      <c r="P39" s="153">
        <v>20.93</v>
      </c>
      <c r="Q39" s="153">
        <v>21.07</v>
      </c>
      <c r="R39" s="153">
        <v>21.02</v>
      </c>
      <c r="S39" s="4"/>
      <c r="U39" s="147" t="s">
        <v>118</v>
      </c>
      <c r="V39" s="11"/>
      <c r="W39" s="4"/>
      <c r="X39" s="12"/>
      <c r="Y39" s="14"/>
      <c r="Z39" s="4"/>
      <c r="AA39" s="13"/>
      <c r="AB39" s="11"/>
      <c r="AC39" s="4"/>
      <c r="AD39" s="12"/>
      <c r="AE39" s="13"/>
      <c r="AF39" s="14">
        <v>5.0065999999999997</v>
      </c>
      <c r="AG39" s="133"/>
      <c r="AI39" s="84"/>
      <c r="AL39" s="166">
        <v>4.1718520666666663</v>
      </c>
      <c r="AM39" s="56">
        <v>15.34000000000013</v>
      </c>
      <c r="AN39" s="56">
        <v>17.360000000000039</v>
      </c>
      <c r="AO39" s="62">
        <v>23.70000000000001</v>
      </c>
      <c r="AQ39" s="64">
        <v>4.0805699833333327</v>
      </c>
      <c r="AR39" s="56">
        <v>14.81999999999992</v>
      </c>
      <c r="AS39" s="56">
        <v>16.31999999999989</v>
      </c>
      <c r="AT39" s="62">
        <v>20.619999999999909</v>
      </c>
      <c r="AV39" s="166">
        <v>3.726717283333334</v>
      </c>
      <c r="AW39" s="56">
        <v>14.44000000000001</v>
      </c>
      <c r="AX39" s="56">
        <v>15.939999999999969</v>
      </c>
      <c r="AY39" s="62">
        <v>20.920000000000009</v>
      </c>
      <c r="BA39" s="64">
        <v>3.1814218333333342</v>
      </c>
      <c r="BB39" s="56">
        <v>17.419999999999991</v>
      </c>
      <c r="BC39" s="56">
        <v>20.000000000000021</v>
      </c>
      <c r="BD39" s="62">
        <v>32.460000000000022</v>
      </c>
      <c r="BF39" s="64">
        <v>2.9565947833333328</v>
      </c>
      <c r="BG39" s="56">
        <v>21.44000000000004</v>
      </c>
      <c r="BH39" s="56">
        <v>29.060000000000041</v>
      </c>
      <c r="BI39" s="62">
        <v>58.720000000000013</v>
      </c>
      <c r="BJ39" s="69"/>
      <c r="BK39" s="51"/>
    </row>
    <row r="40" spans="1:63" x14ac:dyDescent="0.4">
      <c r="A40" s="11" t="s">
        <v>119</v>
      </c>
      <c r="B40" s="4"/>
      <c r="C40" s="4"/>
      <c r="D40" s="4"/>
      <c r="E40" s="12"/>
      <c r="G40" s="147" t="s">
        <v>119</v>
      </c>
      <c r="H40" s="159">
        <v>70.064999999999998</v>
      </c>
      <c r="I40" s="153">
        <v>70.239999999999995</v>
      </c>
      <c r="J40" s="153">
        <v>70.290000000000006</v>
      </c>
      <c r="K40" s="153">
        <v>70.27</v>
      </c>
      <c r="L40" s="153">
        <v>70.239999999999995</v>
      </c>
      <c r="M40" s="80">
        <f t="shared" si="0"/>
        <v>70.290000000000006</v>
      </c>
      <c r="N40" s="80">
        <f t="shared" si="1"/>
        <v>70.239999999999995</v>
      </c>
      <c r="O40" s="153">
        <v>20.93</v>
      </c>
      <c r="P40" s="153">
        <v>20.91</v>
      </c>
      <c r="Q40" s="153">
        <v>21.06</v>
      </c>
      <c r="R40" s="153">
        <v>20.99</v>
      </c>
      <c r="S40" s="4"/>
      <c r="U40" s="147" t="s">
        <v>119</v>
      </c>
      <c r="V40" s="11"/>
      <c r="W40" s="4"/>
      <c r="X40" s="12"/>
      <c r="Y40" s="14"/>
      <c r="Z40" s="4"/>
      <c r="AA40" s="13"/>
      <c r="AB40" s="11"/>
      <c r="AC40" s="4"/>
      <c r="AD40" s="12"/>
      <c r="AE40" s="13"/>
      <c r="AF40" s="14">
        <v>5.0144000000000002</v>
      </c>
      <c r="AG40" s="133"/>
      <c r="AI40" s="84"/>
      <c r="AL40" s="166">
        <v>4.1714409833333326</v>
      </c>
      <c r="AM40" s="56">
        <v>15.019999999999991</v>
      </c>
      <c r="AN40" s="56">
        <v>17.040000000000081</v>
      </c>
      <c r="AO40" s="62">
        <v>23.320000000000011</v>
      </c>
      <c r="AQ40" s="64">
        <v>4.0810234166666666</v>
      </c>
      <c r="AR40" s="56">
        <v>14.57999999999995</v>
      </c>
      <c r="AS40" s="56">
        <v>16.060000000000048</v>
      </c>
      <c r="AT40" s="62">
        <v>20.300000000000029</v>
      </c>
      <c r="AV40" s="166">
        <v>3.727086266666666</v>
      </c>
      <c r="AW40" s="56">
        <v>14.14</v>
      </c>
      <c r="AX40" s="56">
        <v>15.63999999999997</v>
      </c>
      <c r="AY40" s="62">
        <v>20.54</v>
      </c>
      <c r="BA40" s="64">
        <v>3.1857804666666669</v>
      </c>
      <c r="BB40" s="56">
        <v>17.120000000000068</v>
      </c>
      <c r="BC40" s="56">
        <v>19.680000000000049</v>
      </c>
      <c r="BD40" s="62">
        <v>32.020000000000067</v>
      </c>
      <c r="BF40" s="64">
        <v>2.9564664166666672</v>
      </c>
      <c r="BG40" s="56">
        <v>21.140000000000029</v>
      </c>
      <c r="BH40" s="56">
        <v>28.220000000000049</v>
      </c>
      <c r="BI40" s="62">
        <v>57.099999999999973</v>
      </c>
      <c r="BJ40" s="69"/>
      <c r="BK40" s="51"/>
    </row>
    <row r="41" spans="1:63" x14ac:dyDescent="0.4">
      <c r="A41" s="11" t="s">
        <v>120</v>
      </c>
      <c r="B41" s="4"/>
      <c r="C41" s="4"/>
      <c r="D41" s="4"/>
      <c r="E41" s="12"/>
      <c r="G41" s="147" t="s">
        <v>120</v>
      </c>
      <c r="H41" s="159">
        <v>70.009</v>
      </c>
      <c r="I41" s="153">
        <v>70.28</v>
      </c>
      <c r="J41" s="153">
        <v>70.34</v>
      </c>
      <c r="K41" s="153">
        <v>70.349999999999994</v>
      </c>
      <c r="L41" s="153">
        <v>70.36</v>
      </c>
      <c r="M41" s="80">
        <f t="shared" si="0"/>
        <v>70.36</v>
      </c>
      <c r="N41" s="80">
        <f t="shared" si="1"/>
        <v>70.28</v>
      </c>
      <c r="O41" s="153">
        <v>20.92</v>
      </c>
      <c r="P41" s="153">
        <v>20.91</v>
      </c>
      <c r="Q41" s="153">
        <v>21.05</v>
      </c>
      <c r="R41" s="153">
        <v>20.99</v>
      </c>
      <c r="S41" s="4"/>
      <c r="U41" s="147" t="s">
        <v>120</v>
      </c>
      <c r="V41" s="11"/>
      <c r="W41" s="4"/>
      <c r="X41" s="12"/>
      <c r="Y41" s="14"/>
      <c r="Z41" s="4"/>
      <c r="AA41" s="13"/>
      <c r="AB41" s="11"/>
      <c r="AC41" s="4"/>
      <c r="AD41" s="12"/>
      <c r="AE41" s="13"/>
      <c r="AF41" s="14">
        <v>5.0109000000000004</v>
      </c>
      <c r="AG41" s="133"/>
      <c r="AI41" s="84"/>
      <c r="AL41" s="166">
        <v>4.1720924333333329</v>
      </c>
      <c r="AM41" s="75">
        <v>15.08000000000003</v>
      </c>
      <c r="AN41" s="75">
        <v>17.080000000000162</v>
      </c>
      <c r="AO41" s="78">
        <v>23.4</v>
      </c>
      <c r="AP41" s="82"/>
      <c r="AQ41" s="74">
        <v>4.0809429166666664</v>
      </c>
      <c r="AR41" s="75">
        <v>14.8200000000001</v>
      </c>
      <c r="AS41" s="75">
        <v>16.320000000000071</v>
      </c>
      <c r="AT41" s="78">
        <v>20.620000000000079</v>
      </c>
      <c r="AU41" s="82"/>
      <c r="AV41" s="166">
        <v>3.727201566666666</v>
      </c>
      <c r="AW41" s="75">
        <v>14.360000000000021</v>
      </c>
      <c r="AX41" s="75">
        <v>15.84000000000003</v>
      </c>
      <c r="AY41" s="78">
        <v>20.819999999999968</v>
      </c>
      <c r="AZ41" s="82"/>
      <c r="BA41" s="74">
        <v>3.1834476</v>
      </c>
      <c r="BB41" s="75">
        <v>17.35999999999995</v>
      </c>
      <c r="BC41" s="75">
        <v>19.880000000000031</v>
      </c>
      <c r="BD41" s="78">
        <v>32.219999999999963</v>
      </c>
      <c r="BE41" s="82"/>
      <c r="BF41" s="74">
        <v>2.9575416333333329</v>
      </c>
      <c r="BG41" s="75">
        <v>21.32000000000005</v>
      </c>
      <c r="BH41" s="75">
        <v>29.020000000000049</v>
      </c>
      <c r="BI41" s="78">
        <v>58.560000000000038</v>
      </c>
      <c r="BJ41" s="70"/>
      <c r="BK41" s="51"/>
    </row>
    <row r="42" spans="1:63" x14ac:dyDescent="0.4">
      <c r="A42" s="11" t="s">
        <v>121</v>
      </c>
      <c r="B42" s="4"/>
      <c r="C42" s="4"/>
      <c r="D42" s="4"/>
      <c r="E42" s="12"/>
      <c r="G42" s="147" t="s">
        <v>121</v>
      </c>
      <c r="H42" s="159">
        <v>69.933999999999997</v>
      </c>
      <c r="I42" s="153">
        <v>70.349999999999994</v>
      </c>
      <c r="J42" s="153">
        <v>70.36</v>
      </c>
      <c r="K42" s="153">
        <v>70.34</v>
      </c>
      <c r="L42" s="153">
        <v>70.349999999999994</v>
      </c>
      <c r="M42" s="80">
        <f t="shared" si="0"/>
        <v>70.36</v>
      </c>
      <c r="N42" s="80">
        <f t="shared" si="1"/>
        <v>70.34</v>
      </c>
      <c r="O42" s="153">
        <v>20.96</v>
      </c>
      <c r="P42" s="153">
        <v>20.93</v>
      </c>
      <c r="Q42" s="153">
        <v>21.05</v>
      </c>
      <c r="R42" s="153">
        <v>21.04</v>
      </c>
      <c r="S42" s="4"/>
      <c r="U42" s="147" t="s">
        <v>121</v>
      </c>
      <c r="V42" s="11"/>
      <c r="W42" s="4"/>
      <c r="X42" s="12"/>
      <c r="Y42" s="14"/>
      <c r="Z42" s="4"/>
      <c r="AA42" s="13"/>
      <c r="AB42" s="11"/>
      <c r="AC42" s="4"/>
      <c r="AD42" s="12"/>
      <c r="AE42" s="13"/>
      <c r="AF42" s="14">
        <v>4.9976000000000003</v>
      </c>
      <c r="AG42" s="133"/>
      <c r="AI42" s="84"/>
      <c r="AL42" s="166">
        <v>4.1724941833333338</v>
      </c>
      <c r="AM42" s="75">
        <v>15.240000000000011</v>
      </c>
      <c r="AN42" s="75">
        <v>17.280000000000051</v>
      </c>
      <c r="AO42" s="78">
        <v>23.64000000000015</v>
      </c>
      <c r="AP42" s="82"/>
      <c r="AQ42" s="74">
        <v>4.0816709499999986</v>
      </c>
      <c r="AR42" s="75">
        <v>14.87999999999996</v>
      </c>
      <c r="AS42" s="75">
        <v>16.41999999999992</v>
      </c>
      <c r="AT42" s="78">
        <v>20.6999999999999</v>
      </c>
      <c r="AU42" s="82"/>
      <c r="AV42" s="166">
        <v>3.727368866666668</v>
      </c>
      <c r="AW42" s="75">
        <v>14.54000000000004</v>
      </c>
      <c r="AX42" s="75">
        <v>16.04000000000001</v>
      </c>
      <c r="AY42" s="78">
        <v>21.039999999999988</v>
      </c>
      <c r="AZ42" s="82"/>
      <c r="BA42" s="74">
        <v>3.178183216666667</v>
      </c>
      <c r="BB42" s="75">
        <v>17.559999999999931</v>
      </c>
      <c r="BC42" s="75">
        <v>20.17999999999995</v>
      </c>
      <c r="BD42" s="78">
        <v>32.779999999999987</v>
      </c>
      <c r="BE42" s="82"/>
      <c r="BF42" s="74">
        <v>2.9415979499999998</v>
      </c>
      <c r="BG42" s="75">
        <v>21.619999999999969</v>
      </c>
      <c r="BH42" s="75">
        <v>29.159999999999989</v>
      </c>
      <c r="BI42" s="78">
        <v>59.480000000000018</v>
      </c>
      <c r="BJ42" s="70"/>
      <c r="BK42" s="51"/>
    </row>
    <row r="43" spans="1:63" x14ac:dyDescent="0.4">
      <c r="A43" s="11" t="s">
        <v>122</v>
      </c>
      <c r="B43" s="4"/>
      <c r="C43" s="4"/>
      <c r="D43" s="4"/>
      <c r="E43" s="12"/>
      <c r="G43" s="147" t="s">
        <v>122</v>
      </c>
      <c r="H43" s="159">
        <v>69.965999999999994</v>
      </c>
      <c r="I43" s="153">
        <v>70.3</v>
      </c>
      <c r="J43" s="153">
        <v>70.36</v>
      </c>
      <c r="K43" s="153">
        <v>70.319999999999993</v>
      </c>
      <c r="L43" s="153">
        <v>70.34</v>
      </c>
      <c r="M43" s="80">
        <f t="shared" si="0"/>
        <v>70.36</v>
      </c>
      <c r="N43" s="80">
        <f t="shared" si="1"/>
        <v>70.3</v>
      </c>
      <c r="O43" s="153">
        <v>20.97</v>
      </c>
      <c r="P43" s="153">
        <v>20.91</v>
      </c>
      <c r="Q43" s="153">
        <v>20.98</v>
      </c>
      <c r="R43" s="153">
        <v>20.94</v>
      </c>
      <c r="S43" s="4"/>
      <c r="U43" s="147" t="s">
        <v>122</v>
      </c>
      <c r="V43" s="11"/>
      <c r="W43" s="4"/>
      <c r="X43" s="12"/>
      <c r="Y43" s="14"/>
      <c r="Z43" s="4"/>
      <c r="AA43" s="13"/>
      <c r="AB43" s="11"/>
      <c r="AC43" s="4"/>
      <c r="AD43" s="12"/>
      <c r="AE43" s="13"/>
      <c r="AF43" s="14">
        <v>5.0019999999999998</v>
      </c>
      <c r="AG43" s="133"/>
      <c r="AI43" s="84"/>
      <c r="AL43" s="166">
        <v>4.1728192500000008</v>
      </c>
      <c r="AM43" s="56">
        <v>15.11999999999993</v>
      </c>
      <c r="AN43" s="56">
        <v>17.159999999999979</v>
      </c>
      <c r="AO43" s="62">
        <v>23.47999999999999</v>
      </c>
      <c r="AQ43" s="64">
        <v>4.0829877999999988</v>
      </c>
      <c r="AR43" s="56">
        <v>14.979999999999899</v>
      </c>
      <c r="AS43" s="56">
        <v>16.520000000000049</v>
      </c>
      <c r="AT43" s="62">
        <v>20.800000000000018</v>
      </c>
      <c r="AV43" s="166">
        <v>3.7292710333333332</v>
      </c>
      <c r="AW43" s="56">
        <v>14.57999999999995</v>
      </c>
      <c r="AX43" s="56">
        <v>16.12</v>
      </c>
      <c r="AY43" s="62">
        <v>21.099999999999941</v>
      </c>
      <c r="BA43" s="64">
        <v>3.181406766666667</v>
      </c>
      <c r="BB43" s="56">
        <v>17.640000000000011</v>
      </c>
      <c r="BC43" s="56">
        <v>20.26000000000003</v>
      </c>
      <c r="BD43" s="62">
        <v>32.780000000000072</v>
      </c>
      <c r="BF43" s="64">
        <v>2.9418945833333332</v>
      </c>
      <c r="BG43" s="56">
        <v>21.69999999999996</v>
      </c>
      <c r="BH43" s="56">
        <v>29.179999999999939</v>
      </c>
      <c r="BI43" s="62">
        <v>59.560000000000016</v>
      </c>
      <c r="BJ43" s="69"/>
      <c r="BK43" s="51"/>
    </row>
    <row r="44" spans="1:63" x14ac:dyDescent="0.4">
      <c r="A44" s="11" t="s">
        <v>123</v>
      </c>
      <c r="B44" s="4"/>
      <c r="C44" s="4"/>
      <c r="D44" s="4"/>
      <c r="E44" s="12"/>
      <c r="G44" s="147" t="s">
        <v>123</v>
      </c>
      <c r="H44" s="159">
        <v>70.135999999999996</v>
      </c>
      <c r="I44" s="153">
        <v>70.31</v>
      </c>
      <c r="J44" s="153">
        <v>70.3</v>
      </c>
      <c r="K44" s="153">
        <v>70.34</v>
      </c>
      <c r="L44" s="153">
        <v>70.33</v>
      </c>
      <c r="M44" s="80">
        <f t="shared" si="0"/>
        <v>70.34</v>
      </c>
      <c r="N44" s="80">
        <f t="shared" si="1"/>
        <v>70.3</v>
      </c>
      <c r="O44" s="153">
        <v>20.98</v>
      </c>
      <c r="P44" s="153">
        <v>20.95</v>
      </c>
      <c r="Q44" s="153">
        <v>20.95</v>
      </c>
      <c r="R44" s="153">
        <v>20.92</v>
      </c>
      <c r="S44" s="4"/>
      <c r="U44" s="147" t="s">
        <v>123</v>
      </c>
      <c r="V44" s="11"/>
      <c r="W44" s="4"/>
      <c r="X44" s="12"/>
      <c r="Y44" s="14"/>
      <c r="Z44" s="4"/>
      <c r="AA44" s="13"/>
      <c r="AB44" s="11"/>
      <c r="AC44" s="4"/>
      <c r="AD44" s="12"/>
      <c r="AE44" s="13"/>
      <c r="AF44" s="14">
        <v>5.0438999999999998</v>
      </c>
      <c r="AG44" s="133"/>
      <c r="AI44" s="84"/>
      <c r="AL44" s="166">
        <v>4.1725146166666667</v>
      </c>
      <c r="AM44" s="56">
        <v>13.880000000000161</v>
      </c>
      <c r="AN44" s="56">
        <v>15.78</v>
      </c>
      <c r="AO44" s="62">
        <v>21.879999999999988</v>
      </c>
      <c r="AQ44" s="64">
        <v>4.0817942500000006</v>
      </c>
      <c r="AR44" s="56">
        <v>13.54000000000006</v>
      </c>
      <c r="AS44" s="56">
        <v>14.920000000000041</v>
      </c>
      <c r="AT44" s="62">
        <v>18.94000000000009</v>
      </c>
      <c r="AV44" s="166">
        <v>3.7283721500000002</v>
      </c>
      <c r="AW44" s="56">
        <v>13.22000000000001</v>
      </c>
      <c r="AX44" s="56">
        <v>14.599999999999991</v>
      </c>
      <c r="AY44" s="62">
        <v>19.280000000000008</v>
      </c>
      <c r="BA44" s="64">
        <v>3.192506816666667</v>
      </c>
      <c r="BB44" s="56">
        <v>16.38000000000002</v>
      </c>
      <c r="BC44" s="56">
        <v>18.780000000000019</v>
      </c>
      <c r="BD44" s="62">
        <v>30.54000000000006</v>
      </c>
      <c r="BF44" s="64">
        <v>2.9630779166666659</v>
      </c>
      <c r="BG44" s="56">
        <v>20.26000000000003</v>
      </c>
      <c r="BH44" s="56">
        <v>27.620000000000019</v>
      </c>
      <c r="BI44" s="62">
        <v>56.419999999999959</v>
      </c>
      <c r="BJ44" s="69"/>
      <c r="BK44" s="57"/>
    </row>
    <row r="45" spans="1:63" x14ac:dyDescent="0.4">
      <c r="A45" s="11" t="s">
        <v>124</v>
      </c>
      <c r="B45" s="4"/>
      <c r="C45" s="4"/>
      <c r="D45" s="4"/>
      <c r="E45" s="12"/>
      <c r="G45" s="147" t="s">
        <v>124</v>
      </c>
      <c r="H45" s="159">
        <v>70.070999999999998</v>
      </c>
      <c r="I45" s="153">
        <v>70.36</v>
      </c>
      <c r="J45" s="153">
        <v>70.34</v>
      </c>
      <c r="K45" s="153">
        <v>70.33</v>
      </c>
      <c r="L45" s="153">
        <v>70.34</v>
      </c>
      <c r="M45" s="80">
        <f t="shared" si="0"/>
        <v>70.36</v>
      </c>
      <c r="N45" s="80">
        <f t="shared" si="1"/>
        <v>70.33</v>
      </c>
      <c r="O45" s="153">
        <v>20.98</v>
      </c>
      <c r="P45" s="153">
        <v>20.93</v>
      </c>
      <c r="Q45" s="153">
        <v>20.97</v>
      </c>
      <c r="R45" s="153">
        <v>20.96</v>
      </c>
      <c r="S45" s="4"/>
      <c r="U45" s="147" t="s">
        <v>124</v>
      </c>
      <c r="V45" s="11"/>
      <c r="W45" s="4"/>
      <c r="X45" s="12"/>
      <c r="Y45" s="14"/>
      <c r="Z45" s="4"/>
      <c r="AA45" s="13"/>
      <c r="AB45" s="11"/>
      <c r="AC45" s="4"/>
      <c r="AD45" s="12"/>
      <c r="AE45" s="13"/>
      <c r="AF45" s="14">
        <v>5.0388000000000002</v>
      </c>
      <c r="AG45" s="133"/>
      <c r="AI45" s="84"/>
      <c r="AL45" s="166">
        <v>4.1723659499999997</v>
      </c>
      <c r="AM45" s="56">
        <v>14.1</v>
      </c>
      <c r="AN45" s="56">
        <v>16.019999999999971</v>
      </c>
      <c r="AO45" s="62">
        <v>22.16000000000005</v>
      </c>
      <c r="AQ45" s="64">
        <v>4.0818986499999994</v>
      </c>
      <c r="AR45" s="56">
        <v>13.79999999999999</v>
      </c>
      <c r="AS45" s="56">
        <v>15.200000000000101</v>
      </c>
      <c r="AT45" s="62">
        <v>19.260000000000051</v>
      </c>
      <c r="AV45" s="166">
        <v>3.7292702833333329</v>
      </c>
      <c r="AW45" s="56">
        <v>13.480000000000031</v>
      </c>
      <c r="AX45" s="56">
        <v>14.880000000000051</v>
      </c>
      <c r="AY45" s="62">
        <v>19.620000000000019</v>
      </c>
      <c r="BA45" s="64">
        <v>3.1914862333333329</v>
      </c>
      <c r="BB45" s="56">
        <v>17.35999999999995</v>
      </c>
      <c r="BC45" s="56">
        <v>19.880000000000031</v>
      </c>
      <c r="BD45" s="62">
        <v>31.939999999999991</v>
      </c>
      <c r="BF45" s="64">
        <v>2.956970066666667</v>
      </c>
      <c r="BG45" s="56">
        <v>21.619999999999969</v>
      </c>
      <c r="BH45" s="56">
        <v>29.680000000000021</v>
      </c>
      <c r="BI45" s="62">
        <v>60.160000000000032</v>
      </c>
      <c r="BJ45" s="69"/>
      <c r="BK45" s="57"/>
    </row>
    <row r="46" spans="1:63" x14ac:dyDescent="0.4">
      <c r="A46" s="11" t="s">
        <v>125</v>
      </c>
      <c r="B46" s="4"/>
      <c r="C46" s="4"/>
      <c r="D46" s="4"/>
      <c r="E46" s="12"/>
      <c r="G46" s="147" t="s">
        <v>125</v>
      </c>
      <c r="H46" s="159">
        <v>70.072999999999993</v>
      </c>
      <c r="I46" s="153">
        <v>70.37</v>
      </c>
      <c r="J46" s="153">
        <v>70.349999999999994</v>
      </c>
      <c r="K46" s="153">
        <v>70.31</v>
      </c>
      <c r="L46" s="153">
        <v>70.33</v>
      </c>
      <c r="M46" s="80">
        <f t="shared" si="0"/>
        <v>70.37</v>
      </c>
      <c r="N46" s="80">
        <f t="shared" si="1"/>
        <v>70.31</v>
      </c>
      <c r="O46" s="153">
        <v>20.98</v>
      </c>
      <c r="P46" s="153">
        <v>20.94</v>
      </c>
      <c r="Q46" s="153">
        <v>21.09</v>
      </c>
      <c r="R46" s="153">
        <v>21.06</v>
      </c>
      <c r="S46" s="4"/>
      <c r="U46" s="147" t="s">
        <v>125</v>
      </c>
      <c r="V46" s="11"/>
      <c r="W46" s="4"/>
      <c r="X46" s="12"/>
      <c r="Y46" s="14"/>
      <c r="Z46" s="4"/>
      <c r="AA46" s="13"/>
      <c r="AB46" s="11"/>
      <c r="AC46" s="4"/>
      <c r="AD46" s="12"/>
      <c r="AE46" s="13"/>
      <c r="AF46" s="14">
        <v>5.0038</v>
      </c>
      <c r="AG46" s="133"/>
      <c r="AI46" s="91"/>
      <c r="AL46" s="166">
        <v>4.1718881000000003</v>
      </c>
      <c r="AM46" s="75">
        <v>15.000000000000041</v>
      </c>
      <c r="AN46" s="75">
        <v>17.040000000000081</v>
      </c>
      <c r="AO46" s="78">
        <v>23.320000000000011</v>
      </c>
      <c r="AP46" s="82"/>
      <c r="AQ46" s="74">
        <v>4.0817046833333324</v>
      </c>
      <c r="AR46" s="75">
        <v>15.04000000000012</v>
      </c>
      <c r="AS46" s="75">
        <v>16.520000000000049</v>
      </c>
      <c r="AT46" s="78">
        <v>20.800000000000111</v>
      </c>
      <c r="AU46" s="82"/>
      <c r="AV46" s="166">
        <v>3.7275334500000001</v>
      </c>
      <c r="AW46" s="75">
        <v>14.33999999999997</v>
      </c>
      <c r="AX46" s="75">
        <v>15.81999999999999</v>
      </c>
      <c r="AY46" s="78">
        <v>20.759999999999931</v>
      </c>
      <c r="AZ46" s="82"/>
      <c r="BA46" s="74">
        <v>3.1801571833333329</v>
      </c>
      <c r="BB46" s="75">
        <v>17.099999999999941</v>
      </c>
      <c r="BC46" s="75">
        <v>19.70000000000001</v>
      </c>
      <c r="BD46" s="78">
        <v>32.079999999999927</v>
      </c>
      <c r="BE46" s="82"/>
      <c r="BF46" s="74">
        <v>2.9464408333333338</v>
      </c>
      <c r="BG46" s="75">
        <v>21.22000000000002</v>
      </c>
      <c r="BH46" s="75">
        <v>28.52000000000006</v>
      </c>
      <c r="BI46" s="78">
        <v>58.539999999999992</v>
      </c>
      <c r="BJ46" s="70"/>
      <c r="BK46" s="51"/>
    </row>
    <row r="47" spans="1:63" x14ac:dyDescent="0.4">
      <c r="A47" s="11" t="s">
        <v>126</v>
      </c>
      <c r="B47" s="4"/>
      <c r="C47" s="4"/>
      <c r="D47" s="4"/>
      <c r="E47" s="12"/>
      <c r="G47" s="147" t="s">
        <v>126</v>
      </c>
      <c r="H47" s="159">
        <v>69.960999999999999</v>
      </c>
      <c r="I47" s="153">
        <v>70.34</v>
      </c>
      <c r="J47" s="153">
        <v>70.319999999999993</v>
      </c>
      <c r="K47" s="153">
        <v>70.33</v>
      </c>
      <c r="L47" s="153">
        <v>70.319999999999993</v>
      </c>
      <c r="M47" s="80">
        <f t="shared" si="0"/>
        <v>70.34</v>
      </c>
      <c r="N47" s="80">
        <f t="shared" si="1"/>
        <v>70.319999999999993</v>
      </c>
      <c r="O47" s="153">
        <v>21</v>
      </c>
      <c r="P47" s="153">
        <v>20.96</v>
      </c>
      <c r="Q47" s="153">
        <v>21.08</v>
      </c>
      <c r="R47" s="153">
        <v>21.07</v>
      </c>
      <c r="S47" s="4"/>
      <c r="U47" s="147" t="s">
        <v>126</v>
      </c>
      <c r="V47" s="11"/>
      <c r="W47" s="4"/>
      <c r="X47" s="12"/>
      <c r="Y47" s="14"/>
      <c r="Z47" s="4"/>
      <c r="AA47" s="13"/>
      <c r="AB47" s="11"/>
      <c r="AC47" s="4"/>
      <c r="AD47" s="12"/>
      <c r="AE47" s="13"/>
      <c r="AF47" s="14">
        <v>4.9972000000000003</v>
      </c>
      <c r="AG47" s="133"/>
      <c r="AI47" s="84"/>
      <c r="AL47" s="166">
        <v>4.1720826833333327</v>
      </c>
      <c r="AM47" s="56">
        <v>14.67999999999989</v>
      </c>
      <c r="AN47" s="56">
        <v>16.680000000000032</v>
      </c>
      <c r="AO47" s="62">
        <v>22.89999999999992</v>
      </c>
      <c r="AQ47" s="64">
        <v>4.0833005000000009</v>
      </c>
      <c r="AR47" s="56">
        <v>14.60000000000008</v>
      </c>
      <c r="AS47" s="56">
        <v>16.080000000000009</v>
      </c>
      <c r="AT47" s="62">
        <v>20.34000000000011</v>
      </c>
      <c r="AV47" s="166">
        <v>3.7289768666666672</v>
      </c>
      <c r="AW47" s="56">
        <v>14.35999999999993</v>
      </c>
      <c r="AX47" s="56">
        <v>15.859999999999991</v>
      </c>
      <c r="AY47" s="62">
        <v>20.79999999999993</v>
      </c>
      <c r="BA47" s="64">
        <v>3.1796967500000002</v>
      </c>
      <c r="BB47" s="56">
        <v>17.72</v>
      </c>
      <c r="BC47" s="56">
        <v>20.38000000000002</v>
      </c>
      <c r="BD47" s="62">
        <v>33.08</v>
      </c>
      <c r="BF47" s="64">
        <v>2.9484096833333329</v>
      </c>
      <c r="BG47" s="56">
        <v>21.779999999999951</v>
      </c>
      <c r="BH47" s="56">
        <v>29.29999999999993</v>
      </c>
      <c r="BI47" s="62">
        <v>59.519999999999918</v>
      </c>
      <c r="BJ47" s="70"/>
      <c r="BK47" s="51"/>
    </row>
    <row r="48" spans="1:63" x14ac:dyDescent="0.4">
      <c r="A48" s="11" t="s">
        <v>127</v>
      </c>
      <c r="B48" s="4"/>
      <c r="C48" s="4"/>
      <c r="D48" s="4"/>
      <c r="E48" s="12"/>
      <c r="G48" s="147" t="s">
        <v>127</v>
      </c>
      <c r="H48" s="159">
        <v>70.054000000000002</v>
      </c>
      <c r="I48" s="153">
        <v>70.34</v>
      </c>
      <c r="J48" s="153">
        <v>70.349999999999994</v>
      </c>
      <c r="K48" s="153">
        <v>70.349999999999994</v>
      </c>
      <c r="L48" s="153">
        <v>70.33</v>
      </c>
      <c r="M48" s="80">
        <f t="shared" si="0"/>
        <v>70.349999999999994</v>
      </c>
      <c r="N48" s="80">
        <f t="shared" si="1"/>
        <v>70.33</v>
      </c>
      <c r="O48" s="153">
        <v>21.04</v>
      </c>
      <c r="P48" s="153">
        <v>20.98</v>
      </c>
      <c r="Q48" s="153">
        <v>21.06</v>
      </c>
      <c r="R48" s="153">
        <v>21.04</v>
      </c>
      <c r="S48" s="4"/>
      <c r="U48" s="147" t="s">
        <v>127</v>
      </c>
      <c r="V48" s="11"/>
      <c r="W48" s="4"/>
      <c r="X48" s="12"/>
      <c r="Y48" s="14"/>
      <c r="Z48" s="4"/>
      <c r="AA48" s="13"/>
      <c r="AB48" s="11"/>
      <c r="AC48" s="4"/>
      <c r="AD48" s="12"/>
      <c r="AE48" s="13"/>
      <c r="AF48" s="14">
        <v>5.0092999999999996</v>
      </c>
      <c r="AG48" s="133"/>
      <c r="AI48" s="84"/>
      <c r="AL48" s="166">
        <v>4.1712874833333338</v>
      </c>
      <c r="AM48" s="56">
        <v>15.079999999999851</v>
      </c>
      <c r="AN48" s="56">
        <v>17.099999999999941</v>
      </c>
      <c r="AO48" s="62">
        <v>23.459999999999859</v>
      </c>
      <c r="AQ48" s="64">
        <v>4.082024633333333</v>
      </c>
      <c r="AR48" s="56">
        <v>14.959999999999949</v>
      </c>
      <c r="AS48" s="56">
        <v>16.459999999999919</v>
      </c>
      <c r="AT48" s="62">
        <v>20.779999999999891</v>
      </c>
      <c r="AV48" s="166">
        <v>3.7283372499999992</v>
      </c>
      <c r="AW48" s="56">
        <v>14.460000000000051</v>
      </c>
      <c r="AX48" s="56">
        <v>15.940000000000071</v>
      </c>
      <c r="AY48" s="62">
        <v>20.96</v>
      </c>
      <c r="BA48" s="64">
        <v>3.184976433333333</v>
      </c>
      <c r="BB48" s="56">
        <v>17.44000000000003</v>
      </c>
      <c r="BC48" s="56">
        <v>20.04000000000001</v>
      </c>
      <c r="BD48" s="62">
        <v>32.420000000000023</v>
      </c>
      <c r="BF48" s="64">
        <v>2.9617676666666668</v>
      </c>
      <c r="BG48" s="56">
        <v>21.600000000000019</v>
      </c>
      <c r="BH48" s="56">
        <v>29.319999999999968</v>
      </c>
      <c r="BI48" s="62">
        <v>58.859999999999957</v>
      </c>
      <c r="BJ48" s="69"/>
      <c r="BK48" s="57"/>
    </row>
    <row r="49" spans="1:63" x14ac:dyDescent="0.4">
      <c r="A49" s="11" t="s">
        <v>128</v>
      </c>
      <c r="B49" s="4"/>
      <c r="C49" s="4"/>
      <c r="D49" s="4"/>
      <c r="E49" s="12"/>
      <c r="G49" s="147" t="s">
        <v>128</v>
      </c>
      <c r="H49" s="159">
        <v>70.099000000000004</v>
      </c>
      <c r="I49" s="153">
        <v>70.33</v>
      </c>
      <c r="J49" s="153">
        <v>70.34</v>
      </c>
      <c r="K49" s="153">
        <v>70.3</v>
      </c>
      <c r="L49" s="153">
        <v>70.33</v>
      </c>
      <c r="M49" s="80">
        <f t="shared" si="0"/>
        <v>70.34</v>
      </c>
      <c r="N49" s="80">
        <f t="shared" si="1"/>
        <v>70.3</v>
      </c>
      <c r="O49" s="153">
        <v>20.95</v>
      </c>
      <c r="P49" s="153">
        <v>20.92</v>
      </c>
      <c r="Q49" s="153">
        <v>21.08</v>
      </c>
      <c r="R49" s="153">
        <v>21.06</v>
      </c>
      <c r="S49" s="4"/>
      <c r="U49" s="147" t="s">
        <v>128</v>
      </c>
      <c r="V49" s="11"/>
      <c r="W49" s="4"/>
      <c r="X49" s="12"/>
      <c r="Y49" s="14"/>
      <c r="Z49" s="4"/>
      <c r="AA49" s="13"/>
      <c r="AB49" s="11"/>
      <c r="AC49" s="4"/>
      <c r="AD49" s="12"/>
      <c r="AE49" s="13"/>
      <c r="AF49" s="14">
        <v>5.0278999999999998</v>
      </c>
      <c r="AG49" s="133"/>
      <c r="AI49" s="84"/>
      <c r="AL49" s="166">
        <v>4.1714906166666674</v>
      </c>
      <c r="AM49" s="56">
        <v>15.000000000000041</v>
      </c>
      <c r="AN49" s="56">
        <v>16.98000000000004</v>
      </c>
      <c r="AO49" s="62">
        <v>23.25999999999997</v>
      </c>
      <c r="AQ49" s="64">
        <v>4.0794680500000009</v>
      </c>
      <c r="AR49" s="56">
        <v>14.84000000000005</v>
      </c>
      <c r="AS49" s="56">
        <v>16.34000000000011</v>
      </c>
      <c r="AT49" s="62">
        <v>20.64000000000004</v>
      </c>
      <c r="AV49" s="166">
        <v>3.727065399999999</v>
      </c>
      <c r="AW49" s="56">
        <v>14.499999999999959</v>
      </c>
      <c r="AX49" s="56">
        <v>15.99999999999992</v>
      </c>
      <c r="AY49" s="62">
        <v>21.01999999999995</v>
      </c>
      <c r="BA49" s="64">
        <v>3.1882722333333331</v>
      </c>
      <c r="BB49" s="56">
        <v>17.039999999999988</v>
      </c>
      <c r="BC49" s="56">
        <v>19.559999999999981</v>
      </c>
      <c r="BD49" s="62">
        <v>31.619999999999941</v>
      </c>
      <c r="BF49" s="64">
        <v>2.9559112000000001</v>
      </c>
      <c r="BG49" s="56">
        <v>21.079999999999991</v>
      </c>
      <c r="BH49" s="56">
        <v>28.359999999999989</v>
      </c>
      <c r="BI49" s="62">
        <v>57.440000000000069</v>
      </c>
      <c r="BJ49" s="69"/>
      <c r="BK49" s="51"/>
    </row>
    <row r="50" spans="1:63" x14ac:dyDescent="0.4">
      <c r="A50" s="11" t="s">
        <v>129</v>
      </c>
      <c r="B50" s="4"/>
      <c r="C50" s="4"/>
      <c r="D50" s="4"/>
      <c r="E50" s="12"/>
      <c r="G50" s="147" t="s">
        <v>129</v>
      </c>
      <c r="H50" s="159">
        <v>69.944999999999993</v>
      </c>
      <c r="I50" s="153">
        <v>70.33</v>
      </c>
      <c r="J50" s="153">
        <v>70.33</v>
      </c>
      <c r="K50" s="153">
        <v>70.34</v>
      </c>
      <c r="L50" s="153">
        <v>70.34</v>
      </c>
      <c r="M50" s="80">
        <f t="shared" si="0"/>
        <v>70.34</v>
      </c>
      <c r="N50" s="80">
        <f t="shared" si="1"/>
        <v>70.33</v>
      </c>
      <c r="O50" s="153">
        <v>21.1</v>
      </c>
      <c r="P50" s="153">
        <v>21.05</v>
      </c>
      <c r="Q50" s="153">
        <v>21.09</v>
      </c>
      <c r="R50" s="153">
        <v>21.08</v>
      </c>
      <c r="S50" s="4"/>
      <c r="U50" s="147" t="s">
        <v>129</v>
      </c>
      <c r="V50" s="11"/>
      <c r="W50" s="4"/>
      <c r="X50" s="12"/>
      <c r="Y50" s="14"/>
      <c r="Z50" s="4"/>
      <c r="AA50" s="13"/>
      <c r="AB50" s="11"/>
      <c r="AC50" s="4"/>
      <c r="AD50" s="12"/>
      <c r="AE50" s="13"/>
      <c r="AF50" s="14">
        <v>5.0106999999999999</v>
      </c>
      <c r="AG50" s="133"/>
      <c r="AI50" s="84"/>
      <c r="AL50" s="166">
        <v>4.1707497666666669</v>
      </c>
      <c r="AM50" s="56">
        <v>15.680000000000049</v>
      </c>
      <c r="AN50" s="56">
        <v>17.71999999999991</v>
      </c>
      <c r="AO50" s="62">
        <v>24.099999999999969</v>
      </c>
      <c r="AQ50" s="64">
        <v>4.081291133333333</v>
      </c>
      <c r="AR50" s="56">
        <v>15.279999999999919</v>
      </c>
      <c r="AS50" s="56">
        <v>16.79999999999993</v>
      </c>
      <c r="AT50" s="62">
        <v>21.11999999999998</v>
      </c>
      <c r="AV50" s="166">
        <v>3.7271339999999999</v>
      </c>
      <c r="AW50" s="56">
        <v>14.820000000000009</v>
      </c>
      <c r="AX50" s="56">
        <v>16.359999999999971</v>
      </c>
      <c r="AY50" s="62">
        <v>21.399999999999949</v>
      </c>
      <c r="BA50" s="64">
        <v>3.1842517666666672</v>
      </c>
      <c r="BB50" s="56">
        <v>17.519999999999939</v>
      </c>
      <c r="BC50" s="56">
        <v>20.12</v>
      </c>
      <c r="BD50" s="62">
        <v>32.619999999999997</v>
      </c>
      <c r="BF50" s="64">
        <v>2.9565520666666671</v>
      </c>
      <c r="BG50" s="56">
        <v>21.519999999999939</v>
      </c>
      <c r="BH50" s="56">
        <v>28.739999999999991</v>
      </c>
      <c r="BI50" s="62">
        <v>57.819999999999979</v>
      </c>
      <c r="BJ50" s="69"/>
      <c r="BK50" s="51"/>
    </row>
    <row r="51" spans="1:63" x14ac:dyDescent="0.4">
      <c r="A51" s="11" t="s">
        <v>130</v>
      </c>
      <c r="B51" s="4"/>
      <c r="C51" s="4"/>
      <c r="D51" s="4"/>
      <c r="E51" s="12"/>
      <c r="G51" s="147" t="s">
        <v>130</v>
      </c>
      <c r="H51" s="159">
        <v>69.977999999999994</v>
      </c>
      <c r="I51" s="153">
        <v>70.27</v>
      </c>
      <c r="J51" s="153">
        <v>70.31</v>
      </c>
      <c r="K51" s="153">
        <v>70.31</v>
      </c>
      <c r="L51" s="153">
        <v>70.319999999999993</v>
      </c>
      <c r="M51" s="80">
        <f t="shared" si="0"/>
        <v>70.319999999999993</v>
      </c>
      <c r="N51" s="80">
        <f t="shared" si="1"/>
        <v>70.27</v>
      </c>
      <c r="O51" s="153">
        <v>21.04</v>
      </c>
      <c r="P51" s="153">
        <v>21.03</v>
      </c>
      <c r="Q51" s="153">
        <v>21.09</v>
      </c>
      <c r="R51" s="153">
        <v>21.04</v>
      </c>
      <c r="S51" s="4"/>
      <c r="U51" s="147" t="s">
        <v>130</v>
      </c>
      <c r="V51" s="11"/>
      <c r="W51" s="4"/>
      <c r="X51" s="12"/>
      <c r="Y51" s="14"/>
      <c r="Z51" s="4"/>
      <c r="AA51" s="13"/>
      <c r="AB51" s="11"/>
      <c r="AC51" s="4"/>
      <c r="AD51" s="12"/>
      <c r="AE51" s="13"/>
      <c r="AF51" s="14">
        <v>5.0096999999999996</v>
      </c>
      <c r="AG51" s="133"/>
      <c r="AI51" s="84"/>
      <c r="AL51" s="166">
        <v>4.1712296999999996</v>
      </c>
      <c r="AM51" s="56">
        <v>15.78</v>
      </c>
      <c r="AN51" s="56">
        <v>17.820000000000039</v>
      </c>
      <c r="AO51" s="62">
        <v>24.220000000000041</v>
      </c>
      <c r="AQ51" s="64">
        <v>4.0786513333333341</v>
      </c>
      <c r="AR51" s="56">
        <v>15.02000000000017</v>
      </c>
      <c r="AS51" s="56">
        <v>16.520000000000049</v>
      </c>
      <c r="AT51" s="62">
        <v>20.880000000000098</v>
      </c>
      <c r="AV51" s="166">
        <v>3.7245036166666661</v>
      </c>
      <c r="AW51" s="56">
        <v>14.680000000000071</v>
      </c>
      <c r="AX51" s="56">
        <v>16.220000000000031</v>
      </c>
      <c r="AY51" s="62">
        <v>21.260000000000009</v>
      </c>
      <c r="BA51" s="64">
        <v>3.1804325333333332</v>
      </c>
      <c r="BB51" s="56">
        <v>17.559999999999931</v>
      </c>
      <c r="BC51" s="56">
        <v>20.16</v>
      </c>
      <c r="BD51" s="62">
        <v>32.599999999999973</v>
      </c>
      <c r="BF51" s="64">
        <v>2.95825965</v>
      </c>
      <c r="BG51" s="56">
        <v>21.700000000000049</v>
      </c>
      <c r="BH51" s="56">
        <v>29.48000000000004</v>
      </c>
      <c r="BI51" s="62">
        <v>59.180000000000007</v>
      </c>
      <c r="BJ51" s="69"/>
      <c r="BK51" s="51"/>
    </row>
    <row r="52" spans="1:63" x14ac:dyDescent="0.4">
      <c r="A52" s="11" t="s">
        <v>131</v>
      </c>
      <c r="B52" s="4"/>
      <c r="C52" s="4"/>
      <c r="D52" s="4"/>
      <c r="E52" s="12"/>
      <c r="G52" s="147" t="s">
        <v>131</v>
      </c>
      <c r="H52" s="159">
        <v>69.963999999999999</v>
      </c>
      <c r="I52" s="153">
        <v>70.42</v>
      </c>
      <c r="J52" s="153">
        <v>70.430000000000007</v>
      </c>
      <c r="K52" s="153">
        <v>70.42</v>
      </c>
      <c r="L52" s="153">
        <v>70.41</v>
      </c>
      <c r="M52" s="80">
        <f t="shared" si="0"/>
        <v>70.430000000000007</v>
      </c>
      <c r="N52" s="80">
        <f t="shared" si="1"/>
        <v>70.41</v>
      </c>
      <c r="O52" s="153">
        <v>21</v>
      </c>
      <c r="P52" s="153">
        <v>20.98</v>
      </c>
      <c r="Q52" s="153">
        <v>21.07</v>
      </c>
      <c r="R52" s="153">
        <v>21.06</v>
      </c>
      <c r="S52" s="4"/>
      <c r="U52" s="147" t="s">
        <v>131</v>
      </c>
      <c r="V52" s="11"/>
      <c r="W52" s="4"/>
      <c r="X52" s="12"/>
      <c r="Y52" s="14"/>
      <c r="Z52" s="4"/>
      <c r="AA52" s="13"/>
      <c r="AB52" s="11"/>
      <c r="AC52" s="4"/>
      <c r="AD52" s="12"/>
      <c r="AE52" s="13"/>
      <c r="AF52" s="14">
        <v>4.9950999999999999</v>
      </c>
      <c r="AG52" s="133"/>
      <c r="AI52" s="84"/>
      <c r="AL52" s="166">
        <v>4.1717263166666667</v>
      </c>
      <c r="AM52" s="75">
        <v>15.259999999999961</v>
      </c>
      <c r="AN52" s="75">
        <v>17.25999999999992</v>
      </c>
      <c r="AO52" s="78">
        <v>23.559999999999981</v>
      </c>
      <c r="AP52" s="82"/>
      <c r="AQ52" s="74">
        <v>4.080700433333333</v>
      </c>
      <c r="AR52" s="75">
        <v>15.140000000000059</v>
      </c>
      <c r="AS52" s="75">
        <v>16.640000000000029</v>
      </c>
      <c r="AT52" s="78">
        <v>20.96</v>
      </c>
      <c r="AU52" s="82"/>
      <c r="AV52" s="166">
        <v>3.726001066666667</v>
      </c>
      <c r="AW52" s="75">
        <v>14.72000000000007</v>
      </c>
      <c r="AX52" s="75">
        <v>16.220000000000031</v>
      </c>
      <c r="AY52" s="78">
        <v>21.20000000000006</v>
      </c>
      <c r="AZ52" s="82"/>
      <c r="BA52" s="74">
        <v>3.1759476500000008</v>
      </c>
      <c r="BB52" s="75">
        <v>17.900000000000031</v>
      </c>
      <c r="BC52" s="75">
        <v>20.54</v>
      </c>
      <c r="BD52" s="78">
        <v>33.220000000000027</v>
      </c>
      <c r="BE52" s="82"/>
      <c r="BF52" s="74">
        <v>2.9442089166666658</v>
      </c>
      <c r="BG52" s="75">
        <v>21.879999999999988</v>
      </c>
      <c r="BH52" s="75">
        <v>29.499999999999989</v>
      </c>
      <c r="BI52" s="78">
        <v>59.879999999999967</v>
      </c>
      <c r="BJ52" s="70"/>
      <c r="BK52" s="51"/>
    </row>
    <row r="53" spans="1:63" x14ac:dyDescent="0.4">
      <c r="A53" s="11" t="s">
        <v>132</v>
      </c>
      <c r="B53" s="4"/>
      <c r="C53" s="4"/>
      <c r="D53" s="4"/>
      <c r="E53" s="12"/>
      <c r="G53" s="147" t="s">
        <v>132</v>
      </c>
      <c r="H53" s="159">
        <v>69.994</v>
      </c>
      <c r="I53" s="153">
        <v>70.260000000000005</v>
      </c>
      <c r="J53" s="153">
        <v>70.31</v>
      </c>
      <c r="K53" s="153">
        <v>70.34</v>
      </c>
      <c r="L53" s="153">
        <v>70.36</v>
      </c>
      <c r="M53" s="80">
        <f t="shared" si="0"/>
        <v>70.36</v>
      </c>
      <c r="N53" s="80">
        <f t="shared" si="1"/>
        <v>70.260000000000005</v>
      </c>
      <c r="O53" s="153">
        <v>20.99</v>
      </c>
      <c r="P53" s="153">
        <v>20.96</v>
      </c>
      <c r="Q53" s="153">
        <v>21.07</v>
      </c>
      <c r="R53" s="153">
        <v>21.06</v>
      </c>
      <c r="S53" s="4"/>
      <c r="U53" s="147" t="s">
        <v>132</v>
      </c>
      <c r="V53" s="11"/>
      <c r="W53" s="4"/>
      <c r="X53" s="12"/>
      <c r="Y53" s="14"/>
      <c r="Z53" s="4"/>
      <c r="AA53" s="13"/>
      <c r="AB53" s="11"/>
      <c r="AC53" s="4"/>
      <c r="AD53" s="12"/>
      <c r="AE53" s="13"/>
      <c r="AF53" s="14">
        <v>4.9923000000000002</v>
      </c>
      <c r="AG53" s="133"/>
      <c r="AI53" s="84"/>
      <c r="AL53" s="166">
        <v>4.1722121666666672</v>
      </c>
      <c r="AM53" s="75">
        <v>14.959999999999949</v>
      </c>
      <c r="AN53" s="75">
        <v>16.96000000000009</v>
      </c>
      <c r="AO53" s="78">
        <v>23.140000000000072</v>
      </c>
      <c r="AP53" s="82"/>
      <c r="AQ53" s="74">
        <v>4.081859783333333</v>
      </c>
      <c r="AR53" s="75">
        <v>14.900000000000089</v>
      </c>
      <c r="AS53" s="75">
        <v>16.420000000000009</v>
      </c>
      <c r="AT53" s="78">
        <v>20.739999999999981</v>
      </c>
      <c r="AU53" s="82"/>
      <c r="AV53" s="166">
        <v>3.7280039333333339</v>
      </c>
      <c r="AW53" s="75">
        <v>14.52</v>
      </c>
      <c r="AX53" s="75">
        <v>16.05999999999996</v>
      </c>
      <c r="AY53" s="78">
        <v>21.039999999999988</v>
      </c>
      <c r="AZ53" s="82"/>
      <c r="BA53" s="74">
        <v>3.178265516666666</v>
      </c>
      <c r="BB53" s="75">
        <v>17.47999999999994</v>
      </c>
      <c r="BC53" s="75">
        <v>20.12</v>
      </c>
      <c r="BD53" s="78">
        <v>32.719999999999949</v>
      </c>
      <c r="BE53" s="82"/>
      <c r="BF53" s="74">
        <v>2.945890433333334</v>
      </c>
      <c r="BG53" s="75">
        <v>21.519999999999939</v>
      </c>
      <c r="BH53" s="75">
        <v>29.059999999999949</v>
      </c>
      <c r="BI53" s="78">
        <v>59.319999999999951</v>
      </c>
      <c r="BJ53" s="70"/>
      <c r="BK53" s="51"/>
    </row>
    <row r="54" spans="1:63" x14ac:dyDescent="0.4">
      <c r="A54" s="11" t="s">
        <v>133</v>
      </c>
      <c r="B54" s="4"/>
      <c r="C54" s="4"/>
      <c r="D54" s="4"/>
      <c r="E54" s="12"/>
      <c r="G54" s="147" t="s">
        <v>133</v>
      </c>
      <c r="H54" s="159">
        <v>70.010000000000005</v>
      </c>
      <c r="I54" s="153">
        <v>70.349999999999994</v>
      </c>
      <c r="J54" s="153">
        <v>70.37</v>
      </c>
      <c r="K54" s="153">
        <v>70.400000000000006</v>
      </c>
      <c r="L54" s="153">
        <v>70.38</v>
      </c>
      <c r="M54" s="80">
        <f t="shared" si="0"/>
        <v>70.400000000000006</v>
      </c>
      <c r="N54" s="80">
        <f t="shared" si="1"/>
        <v>70.349999999999994</v>
      </c>
      <c r="O54" s="153">
        <v>21.15</v>
      </c>
      <c r="P54" s="153">
        <v>21.14</v>
      </c>
      <c r="Q54" s="153">
        <v>21.07</v>
      </c>
      <c r="R54" s="153">
        <v>21.06</v>
      </c>
      <c r="S54" s="4"/>
      <c r="U54" s="147" t="s">
        <v>133</v>
      </c>
      <c r="V54" s="11"/>
      <c r="W54" s="4"/>
      <c r="X54" s="12"/>
      <c r="Y54" s="14"/>
      <c r="Z54" s="4"/>
      <c r="AA54" s="13"/>
      <c r="AB54" s="11"/>
      <c r="AC54" s="4"/>
      <c r="AD54" s="12"/>
      <c r="AE54" s="13"/>
      <c r="AF54" s="14">
        <v>5.0266000000000002</v>
      </c>
      <c r="AG54" s="133"/>
      <c r="AI54" s="84"/>
      <c r="AL54" s="166">
        <v>4.1715438333333328</v>
      </c>
      <c r="AM54" s="56">
        <v>14.57999999999995</v>
      </c>
      <c r="AN54" s="56">
        <v>16.41999999999992</v>
      </c>
      <c r="AO54" s="62">
        <v>22.579999999999959</v>
      </c>
      <c r="AQ54" s="64">
        <v>4.0795754500000001</v>
      </c>
      <c r="AR54" s="56">
        <v>13.86000000000003</v>
      </c>
      <c r="AS54" s="56">
        <v>15.259999999999961</v>
      </c>
      <c r="AT54" s="62">
        <v>19.380000000000042</v>
      </c>
      <c r="AV54" s="166">
        <v>3.725228266666667</v>
      </c>
      <c r="AW54" s="56">
        <v>13.51999999999993</v>
      </c>
      <c r="AX54" s="56">
        <v>14.94</v>
      </c>
      <c r="AY54" s="62">
        <v>19.679999999999961</v>
      </c>
      <c r="BA54" s="64">
        <v>3.1848604333333328</v>
      </c>
      <c r="BB54" s="56">
        <v>16.739999999999981</v>
      </c>
      <c r="BC54" s="56">
        <v>19.23999999999992</v>
      </c>
      <c r="BD54" s="62">
        <v>31.359999999999921</v>
      </c>
      <c r="BF54" s="64">
        <v>2.9652108500000001</v>
      </c>
      <c r="BG54" s="56">
        <v>20.859999999999971</v>
      </c>
      <c r="BH54" s="56">
        <v>28.099999999999969</v>
      </c>
      <c r="BI54" s="62">
        <v>57.000000000000028</v>
      </c>
      <c r="BJ54" s="69"/>
      <c r="BK54" s="51"/>
    </row>
    <row r="55" spans="1:63" x14ac:dyDescent="0.4">
      <c r="A55" s="11" t="s">
        <v>134</v>
      </c>
      <c r="B55" s="4"/>
      <c r="C55" s="4"/>
      <c r="D55" s="4"/>
      <c r="E55" s="12"/>
      <c r="G55" s="147" t="s">
        <v>134</v>
      </c>
      <c r="H55" s="159">
        <v>70.061999999999998</v>
      </c>
      <c r="I55" s="153">
        <v>70.36</v>
      </c>
      <c r="J55" s="153">
        <v>70.349999999999994</v>
      </c>
      <c r="K55" s="153">
        <v>70.349999999999994</v>
      </c>
      <c r="L55" s="153">
        <v>70.34</v>
      </c>
      <c r="M55" s="80">
        <f t="shared" si="0"/>
        <v>70.36</v>
      </c>
      <c r="N55" s="80">
        <f t="shared" si="1"/>
        <v>70.34</v>
      </c>
      <c r="O55" s="153">
        <v>21.15</v>
      </c>
      <c r="P55" s="153">
        <v>20.92</v>
      </c>
      <c r="Q55" s="153">
        <v>21.07</v>
      </c>
      <c r="R55" s="153">
        <v>21.05</v>
      </c>
      <c r="S55" s="4"/>
      <c r="U55" s="147" t="s">
        <v>134</v>
      </c>
      <c r="V55" s="11"/>
      <c r="W55" s="4"/>
      <c r="X55" s="12"/>
      <c r="Y55" s="14"/>
      <c r="Z55" s="4"/>
      <c r="AA55" s="13"/>
      <c r="AB55" s="11"/>
      <c r="AC55" s="4"/>
      <c r="AD55" s="12"/>
      <c r="AE55" s="13"/>
      <c r="AF55" s="14">
        <v>5.0255999999999998</v>
      </c>
      <c r="AG55" s="133"/>
      <c r="AI55" s="84"/>
      <c r="AL55" s="166">
        <v>4.1715809833333326</v>
      </c>
      <c r="AM55" s="56">
        <v>14.25999999999998</v>
      </c>
      <c r="AN55" s="56">
        <v>16.16</v>
      </c>
      <c r="AO55" s="62">
        <v>22.299999999999901</v>
      </c>
      <c r="AQ55" s="64">
        <v>4.0826438333333339</v>
      </c>
      <c r="AR55" s="56">
        <v>13.959999999999971</v>
      </c>
      <c r="AS55" s="56">
        <v>15.360000000000079</v>
      </c>
      <c r="AT55" s="62">
        <v>19.460000000000029</v>
      </c>
      <c r="AV55" s="166">
        <v>3.7299014833333328</v>
      </c>
      <c r="AW55" s="56">
        <v>13.520000000000019</v>
      </c>
      <c r="AX55" s="56">
        <v>14.919999999999961</v>
      </c>
      <c r="AY55" s="62">
        <v>19.679999999999961</v>
      </c>
      <c r="BA55" s="64">
        <v>3.1890334833333331</v>
      </c>
      <c r="BB55" s="56">
        <v>16.51999999999996</v>
      </c>
      <c r="BC55" s="56">
        <v>19.019999999999989</v>
      </c>
      <c r="BD55" s="62">
        <v>31.119999999999951</v>
      </c>
      <c r="BF55" s="64">
        <v>2.960232200000001</v>
      </c>
      <c r="BG55" s="56">
        <v>20.599999999999952</v>
      </c>
      <c r="BH55" s="56">
        <v>28.27999999999999</v>
      </c>
      <c r="BI55" s="62">
        <v>58.27999999999998</v>
      </c>
      <c r="BJ55" s="69"/>
      <c r="BK55" s="51"/>
    </row>
    <row r="56" spans="1:63" x14ac:dyDescent="0.4">
      <c r="A56" s="11" t="s">
        <v>135</v>
      </c>
      <c r="B56" s="4"/>
      <c r="C56" s="4"/>
      <c r="D56" s="4"/>
      <c r="E56" s="12"/>
      <c r="G56" s="147" t="s">
        <v>135</v>
      </c>
      <c r="H56" s="159">
        <v>70.021000000000001</v>
      </c>
      <c r="I56" s="153">
        <v>70.349999999999994</v>
      </c>
      <c r="J56" s="153">
        <v>70.319999999999993</v>
      </c>
      <c r="K56" s="153">
        <v>70.36</v>
      </c>
      <c r="L56" s="153">
        <v>70.33</v>
      </c>
      <c r="M56" s="80">
        <f t="shared" si="0"/>
        <v>70.36</v>
      </c>
      <c r="N56" s="80">
        <f t="shared" si="1"/>
        <v>70.319999999999993</v>
      </c>
      <c r="O56" s="153">
        <v>20.99</v>
      </c>
      <c r="P56" s="153">
        <v>20.95</v>
      </c>
      <c r="Q56" s="153">
        <v>21.08</v>
      </c>
      <c r="R56" s="153">
        <v>21.07</v>
      </c>
      <c r="S56" s="4"/>
      <c r="U56" s="147" t="s">
        <v>135</v>
      </c>
      <c r="V56" s="11"/>
      <c r="W56" s="4"/>
      <c r="X56" s="12"/>
      <c r="Y56" s="14"/>
      <c r="Z56" s="4"/>
      <c r="AA56" s="13"/>
      <c r="AB56" s="11"/>
      <c r="AC56" s="4"/>
      <c r="AD56" s="12"/>
      <c r="AE56" s="13"/>
      <c r="AF56" s="14">
        <v>4.9980000000000002</v>
      </c>
      <c r="AG56" s="133"/>
      <c r="AI56" s="84"/>
      <c r="AL56" s="166">
        <v>4.1716572833333334</v>
      </c>
      <c r="AM56" s="75">
        <v>14.65999999999994</v>
      </c>
      <c r="AN56" s="75">
        <v>16.61999999999999</v>
      </c>
      <c r="AO56" s="78">
        <v>22.779999999999841</v>
      </c>
      <c r="AP56" s="82"/>
      <c r="AQ56" s="74">
        <v>4.0829132666666679</v>
      </c>
      <c r="AR56" s="75">
        <v>14.8200000000001</v>
      </c>
      <c r="AS56" s="75">
        <v>16.319999999999979</v>
      </c>
      <c r="AT56" s="78">
        <v>20.600000000000041</v>
      </c>
      <c r="AU56" s="82"/>
      <c r="AV56" s="166">
        <v>3.728491566666666</v>
      </c>
      <c r="AW56" s="75">
        <v>14.32000000000002</v>
      </c>
      <c r="AX56" s="75">
        <v>15.80000000000004</v>
      </c>
      <c r="AY56" s="78">
        <v>20.760000000000019</v>
      </c>
      <c r="AZ56" s="82"/>
      <c r="BA56" s="74">
        <v>3.1793532833333331</v>
      </c>
      <c r="BB56" s="75">
        <v>17.42000000000008</v>
      </c>
      <c r="BC56" s="75">
        <v>20.02000000000006</v>
      </c>
      <c r="BD56" s="78">
        <v>32.580000000000013</v>
      </c>
      <c r="BE56" s="82"/>
      <c r="BF56" s="74">
        <v>2.9491192166666669</v>
      </c>
      <c r="BG56" s="75">
        <v>21.500000000000071</v>
      </c>
      <c r="BH56" s="75">
        <v>28.86000000000006</v>
      </c>
      <c r="BI56" s="78">
        <v>58.940000000000033</v>
      </c>
      <c r="BJ56" s="70"/>
      <c r="BK56" s="51"/>
    </row>
    <row r="57" spans="1:63" x14ac:dyDescent="0.4">
      <c r="A57" s="11" t="s">
        <v>136</v>
      </c>
      <c r="B57" s="4"/>
      <c r="C57" s="4"/>
      <c r="D57" s="4"/>
      <c r="E57" s="12"/>
      <c r="G57" s="147" t="s">
        <v>136</v>
      </c>
      <c r="H57" s="159">
        <v>69.977999999999994</v>
      </c>
      <c r="I57" s="153">
        <v>70.33</v>
      </c>
      <c r="J57" s="153">
        <v>70.31</v>
      </c>
      <c r="K57" s="153">
        <v>70.319999999999993</v>
      </c>
      <c r="L57" s="153">
        <v>70.31</v>
      </c>
      <c r="M57" s="80">
        <f t="shared" si="0"/>
        <v>70.33</v>
      </c>
      <c r="N57" s="80">
        <f t="shared" si="1"/>
        <v>70.31</v>
      </c>
      <c r="O57" s="153">
        <v>20.97</v>
      </c>
      <c r="P57" s="153">
        <v>20.95</v>
      </c>
      <c r="Q57" s="153">
        <v>21.03</v>
      </c>
      <c r="R57" s="153">
        <v>21.01</v>
      </c>
      <c r="S57" s="4"/>
      <c r="U57" s="147" t="s">
        <v>136</v>
      </c>
      <c r="V57" s="11"/>
      <c r="W57" s="4"/>
      <c r="X57" s="12"/>
      <c r="Y57" s="14"/>
      <c r="Z57" s="4"/>
      <c r="AA57" s="13"/>
      <c r="AB57" s="11"/>
      <c r="AC57" s="4"/>
      <c r="AD57" s="12"/>
      <c r="AE57" s="13"/>
      <c r="AF57" s="14">
        <v>4.9912000000000001</v>
      </c>
      <c r="AG57" s="133"/>
      <c r="AI57" s="84"/>
      <c r="AL57" s="166">
        <v>4.1716190833333338</v>
      </c>
      <c r="AM57" s="75">
        <v>15.45999999999985</v>
      </c>
      <c r="AN57" s="75">
        <v>17.49999999999989</v>
      </c>
      <c r="AO57" s="78">
        <v>23.839999999999861</v>
      </c>
      <c r="AP57" s="82"/>
      <c r="AQ57" s="74">
        <v>4.0819193833333332</v>
      </c>
      <c r="AR57" s="75">
        <v>15.259999999999961</v>
      </c>
      <c r="AS57" s="75">
        <v>16.779999999999969</v>
      </c>
      <c r="AT57" s="78">
        <v>21.13999999999994</v>
      </c>
      <c r="AU57" s="82"/>
      <c r="AV57" s="166">
        <v>3.72768845</v>
      </c>
      <c r="AW57" s="75">
        <v>14.799999999999971</v>
      </c>
      <c r="AX57" s="75">
        <v>16.319999999999979</v>
      </c>
      <c r="AY57" s="78">
        <v>21.339999999999911</v>
      </c>
      <c r="AZ57" s="82"/>
      <c r="BA57" s="74">
        <v>3.1774642833333329</v>
      </c>
      <c r="BB57" s="75">
        <v>17.839999999999989</v>
      </c>
      <c r="BC57" s="75">
        <v>20.479999999999961</v>
      </c>
      <c r="BD57" s="78">
        <v>33.199999999999989</v>
      </c>
      <c r="BE57" s="82"/>
      <c r="BF57" s="74">
        <v>2.9487238833333329</v>
      </c>
      <c r="BG57" s="75">
        <v>21.94000000000003</v>
      </c>
      <c r="BH57" s="75">
        <v>29.38000000000001</v>
      </c>
      <c r="BI57" s="78">
        <v>59.480000000000018</v>
      </c>
      <c r="BJ57" s="70"/>
      <c r="BK57" s="51"/>
    </row>
    <row r="58" spans="1:63" x14ac:dyDescent="0.4">
      <c r="A58" s="11" t="s">
        <v>137</v>
      </c>
      <c r="B58" s="4"/>
      <c r="C58" s="4"/>
      <c r="D58" s="4"/>
      <c r="E58" s="12"/>
      <c r="G58" s="147" t="s">
        <v>137</v>
      </c>
      <c r="H58" s="159">
        <v>69.992999999999995</v>
      </c>
      <c r="I58" s="153">
        <v>70.34</v>
      </c>
      <c r="J58" s="153">
        <v>70.349999999999994</v>
      </c>
      <c r="K58" s="153">
        <v>70.37</v>
      </c>
      <c r="L58" s="153">
        <v>70.33</v>
      </c>
      <c r="M58" s="80">
        <f t="shared" si="0"/>
        <v>70.37</v>
      </c>
      <c r="N58" s="80">
        <f t="shared" si="1"/>
        <v>70.33</v>
      </c>
      <c r="O58" s="160">
        <v>20.93</v>
      </c>
      <c r="P58" s="153">
        <v>20.9</v>
      </c>
      <c r="Q58" s="153">
        <v>21.07</v>
      </c>
      <c r="R58" s="153">
        <v>21.06</v>
      </c>
      <c r="S58" s="4"/>
      <c r="U58" s="147" t="s">
        <v>137</v>
      </c>
      <c r="V58" s="11"/>
      <c r="W58" s="4"/>
      <c r="X58" s="12"/>
      <c r="Y58" s="14"/>
      <c r="Z58" s="4"/>
      <c r="AA58" s="13"/>
      <c r="AB58" s="11"/>
      <c r="AC58" s="4"/>
      <c r="AD58" s="12"/>
      <c r="AE58" s="13"/>
      <c r="AF58" s="14">
        <v>4.9999000000000002</v>
      </c>
      <c r="AG58" s="133"/>
      <c r="AI58" s="84"/>
      <c r="AL58" s="166">
        <v>4.1710581166666669</v>
      </c>
      <c r="AM58" s="75">
        <v>15.04000000000012</v>
      </c>
      <c r="AN58" s="75">
        <v>17.040000000000081</v>
      </c>
      <c r="AO58" s="78">
        <v>23.440000000000079</v>
      </c>
      <c r="AP58" s="82"/>
      <c r="AQ58" s="74">
        <v>4.081368216666668</v>
      </c>
      <c r="AR58" s="75">
        <v>14.84000000000005</v>
      </c>
      <c r="AS58" s="75">
        <v>16.320000000000071</v>
      </c>
      <c r="AT58" s="78">
        <v>20.64000000000004</v>
      </c>
      <c r="AU58" s="82"/>
      <c r="AV58" s="166">
        <v>3.7268396666666672</v>
      </c>
      <c r="AW58" s="75">
        <v>14.48</v>
      </c>
      <c r="AX58" s="75">
        <v>15.980000000000061</v>
      </c>
      <c r="AY58" s="78">
        <v>20.96</v>
      </c>
      <c r="AZ58" s="82"/>
      <c r="BA58" s="74">
        <v>3.1810672666666662</v>
      </c>
      <c r="BB58" s="75">
        <v>17.619999999999969</v>
      </c>
      <c r="BC58" s="75">
        <v>20.300000000000029</v>
      </c>
      <c r="BD58" s="78">
        <v>32.960000000000008</v>
      </c>
      <c r="BE58" s="82"/>
      <c r="BF58" s="74">
        <v>2.967213683333334</v>
      </c>
      <c r="BG58" s="75">
        <v>21.69999999999996</v>
      </c>
      <c r="BH58" s="75">
        <v>29.520000000000039</v>
      </c>
      <c r="BI58" s="78">
        <v>59.239999999999959</v>
      </c>
      <c r="BJ58" s="70"/>
      <c r="BK58" s="51"/>
    </row>
    <row r="59" spans="1:63" x14ac:dyDescent="0.4">
      <c r="A59" s="11" t="s">
        <v>138</v>
      </c>
      <c r="B59" s="4"/>
      <c r="C59" s="4"/>
      <c r="D59" s="4"/>
      <c r="E59" s="12"/>
      <c r="G59" s="147" t="s">
        <v>138</v>
      </c>
      <c r="H59" s="159">
        <v>70.003</v>
      </c>
      <c r="I59" s="153">
        <v>70.37</v>
      </c>
      <c r="J59" s="153">
        <v>70.349999999999994</v>
      </c>
      <c r="K59" s="153">
        <v>70.34</v>
      </c>
      <c r="L59" s="153">
        <v>70.33</v>
      </c>
      <c r="M59" s="80">
        <f t="shared" si="0"/>
        <v>70.37</v>
      </c>
      <c r="N59" s="80">
        <f t="shared" si="1"/>
        <v>70.33</v>
      </c>
      <c r="O59" s="153">
        <v>20.94</v>
      </c>
      <c r="P59" s="153">
        <v>20.9</v>
      </c>
      <c r="Q59" s="153">
        <v>21.04</v>
      </c>
      <c r="R59" s="153">
        <v>21.02</v>
      </c>
      <c r="S59" s="4"/>
      <c r="U59" s="147" t="s">
        <v>138</v>
      </c>
      <c r="V59" s="11"/>
      <c r="W59" s="4"/>
      <c r="X59" s="12"/>
      <c r="Y59" s="14"/>
      <c r="Z59" s="4"/>
      <c r="AA59" s="13"/>
      <c r="AB59" s="11"/>
      <c r="AC59" s="4"/>
      <c r="AD59" s="12"/>
      <c r="AE59" s="13"/>
      <c r="AF59" s="14">
        <v>5.0075000000000003</v>
      </c>
      <c r="AG59" s="133"/>
      <c r="AI59" s="84"/>
      <c r="AL59" s="166">
        <v>4.1709652833333326</v>
      </c>
      <c r="AM59" s="75">
        <v>15.140000000000059</v>
      </c>
      <c r="AN59" s="75">
        <v>17.20000000000006</v>
      </c>
      <c r="AO59" s="78">
        <v>23.500000000000121</v>
      </c>
      <c r="AP59" s="82"/>
      <c r="AQ59" s="74">
        <v>4.0825934833333326</v>
      </c>
      <c r="AR59" s="75">
        <v>15.08000000000003</v>
      </c>
      <c r="AS59" s="75">
        <v>16.58000000000008</v>
      </c>
      <c r="AT59" s="78">
        <v>20.920000000000009</v>
      </c>
      <c r="AU59" s="82"/>
      <c r="AV59" s="166">
        <v>3.7289460666666669</v>
      </c>
      <c r="AW59" s="75">
        <v>14.739999999999929</v>
      </c>
      <c r="AX59" s="75">
        <v>16.259999999999941</v>
      </c>
      <c r="AY59" s="78">
        <v>21.23999999999997</v>
      </c>
      <c r="AZ59" s="82"/>
      <c r="BA59" s="74">
        <v>3.1857392</v>
      </c>
      <c r="BB59" s="75">
        <v>17.3</v>
      </c>
      <c r="BC59" s="75">
        <v>19.880000000000031</v>
      </c>
      <c r="BD59" s="78">
        <v>32.260000000000048</v>
      </c>
      <c r="BE59" s="82"/>
      <c r="BF59" s="74">
        <v>2.96719255</v>
      </c>
      <c r="BG59" s="75">
        <v>21.279999999999969</v>
      </c>
      <c r="BH59" s="75">
        <v>28.89999999999997</v>
      </c>
      <c r="BI59" s="78">
        <v>58.27999999999998</v>
      </c>
      <c r="BJ59" s="70"/>
      <c r="BK59" s="51"/>
    </row>
    <row r="60" spans="1:63" x14ac:dyDescent="0.4">
      <c r="A60" s="11" t="s">
        <v>139</v>
      </c>
      <c r="B60" s="4"/>
      <c r="C60" s="4"/>
      <c r="D60" s="4"/>
      <c r="E60" s="12"/>
      <c r="G60" s="147" t="s">
        <v>139</v>
      </c>
      <c r="H60" s="159">
        <v>70.063999999999993</v>
      </c>
      <c r="I60" s="153">
        <v>70.3</v>
      </c>
      <c r="J60" s="153">
        <v>70.3</v>
      </c>
      <c r="K60" s="153">
        <v>70.3</v>
      </c>
      <c r="L60" s="153">
        <v>70.31</v>
      </c>
      <c r="M60" s="80">
        <f t="shared" si="0"/>
        <v>70.31</v>
      </c>
      <c r="N60" s="80">
        <f t="shared" si="1"/>
        <v>70.3</v>
      </c>
      <c r="O60" s="153">
        <v>21.08</v>
      </c>
      <c r="P60" s="153">
        <v>21.02</v>
      </c>
      <c r="Q60" s="153">
        <v>21.08</v>
      </c>
      <c r="R60" s="153">
        <v>21.07</v>
      </c>
      <c r="S60" s="4"/>
      <c r="U60" s="147" t="s">
        <v>139</v>
      </c>
      <c r="V60" s="11"/>
      <c r="W60" s="4"/>
      <c r="X60" s="12"/>
      <c r="Y60" s="14"/>
      <c r="Z60" s="4"/>
      <c r="AA60" s="13"/>
      <c r="AB60" s="11"/>
      <c r="AC60" s="4"/>
      <c r="AD60" s="12"/>
      <c r="AE60" s="13"/>
      <c r="AF60" s="14">
        <v>5.0076999999999998</v>
      </c>
      <c r="AG60" s="133"/>
      <c r="AI60" s="84"/>
      <c r="AL60" s="166">
        <v>4.1705696833333334</v>
      </c>
      <c r="AM60" s="56">
        <v>15.49999999999994</v>
      </c>
      <c r="AN60" s="56">
        <v>17.520000000000021</v>
      </c>
      <c r="AO60" s="62">
        <v>23.78</v>
      </c>
      <c r="AQ60" s="64">
        <v>4.0806002499999989</v>
      </c>
      <c r="AR60" s="56">
        <v>15.079999999999851</v>
      </c>
      <c r="AS60" s="56">
        <v>16.559999999999949</v>
      </c>
      <c r="AT60" s="62">
        <v>20.859999999999879</v>
      </c>
      <c r="AV60" s="166">
        <v>3.7257412833333339</v>
      </c>
      <c r="AW60" s="56">
        <v>14.54000000000004</v>
      </c>
      <c r="AX60" s="56">
        <v>16.019999999999971</v>
      </c>
      <c r="AY60" s="62">
        <v>20.98000000000004</v>
      </c>
      <c r="BA60" s="64">
        <v>3.1808985666666669</v>
      </c>
      <c r="BB60" s="56">
        <v>17.059999999999938</v>
      </c>
      <c r="BC60" s="56">
        <v>19.61999999999993</v>
      </c>
      <c r="BD60" s="62">
        <v>32.059999999999967</v>
      </c>
      <c r="BF60" s="64">
        <v>2.9596512000000001</v>
      </c>
      <c r="BG60" s="56">
        <v>21.039999999999988</v>
      </c>
      <c r="BH60" s="56">
        <v>28.359999999999989</v>
      </c>
      <c r="BI60" s="62">
        <v>57.479999999999983</v>
      </c>
      <c r="BJ60" s="69"/>
      <c r="BK60" s="51"/>
    </row>
    <row r="61" spans="1:63" x14ac:dyDescent="0.4">
      <c r="A61" s="11" t="s">
        <v>140</v>
      </c>
      <c r="B61" s="4"/>
      <c r="C61" s="4"/>
      <c r="D61" s="4"/>
      <c r="E61" s="12"/>
      <c r="G61" s="147" t="s">
        <v>140</v>
      </c>
      <c r="H61" s="159">
        <v>70.02</v>
      </c>
      <c r="I61" s="153">
        <v>70.3</v>
      </c>
      <c r="J61" s="153">
        <v>70.319999999999993</v>
      </c>
      <c r="K61" s="153">
        <v>70.34</v>
      </c>
      <c r="L61" s="153">
        <v>70.319999999999993</v>
      </c>
      <c r="M61" s="80">
        <f t="shared" si="0"/>
        <v>70.34</v>
      </c>
      <c r="N61" s="80">
        <f t="shared" si="1"/>
        <v>70.3</v>
      </c>
      <c r="O61" s="153">
        <v>21.08</v>
      </c>
      <c r="P61" s="153">
        <v>20.93</v>
      </c>
      <c r="Q61" s="153">
        <v>21.07</v>
      </c>
      <c r="R61" s="153">
        <v>21.06</v>
      </c>
      <c r="S61" s="4"/>
      <c r="U61" s="147" t="s">
        <v>140</v>
      </c>
      <c r="V61" s="11"/>
      <c r="W61" s="4"/>
      <c r="X61" s="12"/>
      <c r="Y61" s="14"/>
      <c r="Z61" s="4"/>
      <c r="AA61" s="13"/>
      <c r="AB61" s="11"/>
      <c r="AC61" s="4"/>
      <c r="AD61" s="12"/>
      <c r="AE61" s="13"/>
      <c r="AF61" s="14">
        <v>5.0132000000000003</v>
      </c>
      <c r="AG61" s="133"/>
      <c r="AI61" s="84"/>
      <c r="AL61" s="166">
        <v>4.1707928166666663</v>
      </c>
      <c r="AM61" s="56">
        <v>15.460000000000029</v>
      </c>
      <c r="AN61" s="56">
        <v>17.47999999999994</v>
      </c>
      <c r="AO61" s="62">
        <v>23.840000000000039</v>
      </c>
      <c r="AQ61" s="64">
        <v>4.0804073333333326</v>
      </c>
      <c r="AR61" s="56">
        <v>15.11999999999993</v>
      </c>
      <c r="AS61" s="56">
        <v>16.61999999999999</v>
      </c>
      <c r="AT61" s="62">
        <v>20.979999999999951</v>
      </c>
      <c r="AV61" s="166">
        <v>3.7266942666666671</v>
      </c>
      <c r="AW61" s="56">
        <v>14.699999999999941</v>
      </c>
      <c r="AX61" s="56">
        <v>16.199999999999989</v>
      </c>
      <c r="AY61" s="62">
        <v>21.23999999999997</v>
      </c>
      <c r="BA61" s="64">
        <v>3.1835762500000002</v>
      </c>
      <c r="BB61" s="56">
        <v>17.580000000000059</v>
      </c>
      <c r="BC61" s="56">
        <v>20.2</v>
      </c>
      <c r="BD61" s="62">
        <v>32.640000000000043</v>
      </c>
      <c r="BF61" s="64">
        <v>2.9606454499999999</v>
      </c>
      <c r="BG61" s="56">
        <v>21.63999999999993</v>
      </c>
      <c r="BH61" s="56">
        <v>29.11999999999999</v>
      </c>
      <c r="BI61" s="62">
        <v>58.599999999999937</v>
      </c>
      <c r="BJ61" s="70"/>
      <c r="BK61" s="51"/>
    </row>
    <row r="62" spans="1:63" x14ac:dyDescent="0.4">
      <c r="A62" s="11" t="s">
        <v>141</v>
      </c>
      <c r="B62" s="4"/>
      <c r="C62" s="4"/>
      <c r="D62" s="4"/>
      <c r="E62" s="12"/>
      <c r="G62" s="147" t="s">
        <v>141</v>
      </c>
      <c r="H62" s="159">
        <v>70.015000000000001</v>
      </c>
      <c r="I62" s="153">
        <v>70.349999999999994</v>
      </c>
      <c r="J62" s="153">
        <v>70.349999999999994</v>
      </c>
      <c r="K62" s="153">
        <v>70.319999999999993</v>
      </c>
      <c r="L62" s="153">
        <v>70.290000000000006</v>
      </c>
      <c r="M62" s="80">
        <f t="shared" si="0"/>
        <v>70.349999999999994</v>
      </c>
      <c r="N62" s="80">
        <f t="shared" si="1"/>
        <v>70.290000000000006</v>
      </c>
      <c r="O62" s="153">
        <v>21.02</v>
      </c>
      <c r="P62" s="153">
        <v>21.01</v>
      </c>
      <c r="Q62" s="153">
        <v>21.09</v>
      </c>
      <c r="R62" s="153">
        <v>21.08</v>
      </c>
      <c r="S62" s="4"/>
      <c r="U62" s="147" t="s">
        <v>141</v>
      </c>
      <c r="V62" s="11"/>
      <c r="W62" s="4"/>
      <c r="X62" s="12"/>
      <c r="Y62" s="14"/>
      <c r="Z62" s="4"/>
      <c r="AA62" s="13"/>
      <c r="AB62" s="11"/>
      <c r="AC62" s="4"/>
      <c r="AD62" s="12"/>
      <c r="AE62" s="13"/>
      <c r="AF62" s="14">
        <v>4.9992999999999999</v>
      </c>
      <c r="AG62" s="133"/>
      <c r="AI62" s="84"/>
      <c r="AL62" s="166">
        <v>4.1718021666666667</v>
      </c>
      <c r="AM62" s="75">
        <v>15.140000000000059</v>
      </c>
      <c r="AN62" s="75">
        <v>17.140000000000018</v>
      </c>
      <c r="AO62" s="78">
        <v>23.42000000000013</v>
      </c>
      <c r="AP62" s="82"/>
      <c r="AQ62" s="74">
        <v>4.0813452000000003</v>
      </c>
      <c r="AR62" s="75">
        <v>15.120000000000109</v>
      </c>
      <c r="AS62" s="75">
        <v>16.640000000000029</v>
      </c>
      <c r="AT62" s="78">
        <v>20.940000000000051</v>
      </c>
      <c r="AU62" s="82"/>
      <c r="AV62" s="166">
        <v>3.7272240166666659</v>
      </c>
      <c r="AW62" s="75">
        <v>14.75999999999997</v>
      </c>
      <c r="AX62" s="75">
        <v>16.239999999999991</v>
      </c>
      <c r="AY62" s="78">
        <v>21.280000000000051</v>
      </c>
      <c r="AZ62" s="82"/>
      <c r="BA62" s="74">
        <v>3.1784099000000001</v>
      </c>
      <c r="BB62" s="75">
        <v>17.900000000000031</v>
      </c>
      <c r="BC62" s="75">
        <v>20.560000000000041</v>
      </c>
      <c r="BD62" s="78">
        <v>33.199999999999989</v>
      </c>
      <c r="BE62" s="82"/>
      <c r="BF62" s="74">
        <v>2.9509061499999998</v>
      </c>
      <c r="BG62" s="75">
        <v>21.85999999999995</v>
      </c>
      <c r="BH62" s="75">
        <v>29.46</v>
      </c>
      <c r="BI62" s="78">
        <v>59.599999999999923</v>
      </c>
      <c r="BJ62" s="70"/>
      <c r="BK62" s="51"/>
    </row>
    <row r="63" spans="1:63" x14ac:dyDescent="0.4">
      <c r="A63" s="11" t="s">
        <v>142</v>
      </c>
      <c r="B63" s="4"/>
      <c r="C63" s="4"/>
      <c r="D63" s="4"/>
      <c r="E63" s="12"/>
      <c r="G63" s="147" t="s">
        <v>142</v>
      </c>
      <c r="H63" s="159">
        <v>70.036000000000001</v>
      </c>
      <c r="I63" s="153">
        <v>70.39</v>
      </c>
      <c r="J63" s="153">
        <v>70.36</v>
      </c>
      <c r="K63" s="153">
        <v>70.36</v>
      </c>
      <c r="L63" s="153">
        <v>70.37</v>
      </c>
      <c r="M63" s="80">
        <f t="shared" si="0"/>
        <v>70.39</v>
      </c>
      <c r="N63" s="80">
        <f t="shared" si="1"/>
        <v>70.36</v>
      </c>
      <c r="O63" s="153">
        <v>20.97</v>
      </c>
      <c r="P63" s="153">
        <v>20.93</v>
      </c>
      <c r="Q63" s="153">
        <v>21.09</v>
      </c>
      <c r="R63" s="153">
        <v>21.08</v>
      </c>
      <c r="S63" s="4"/>
      <c r="U63" s="147" t="s">
        <v>142</v>
      </c>
      <c r="V63" s="11"/>
      <c r="W63" s="4"/>
      <c r="X63" s="12"/>
      <c r="Y63" s="14"/>
      <c r="Z63" s="4"/>
      <c r="AA63" s="13"/>
      <c r="AB63" s="11"/>
      <c r="AC63" s="4"/>
      <c r="AD63" s="12"/>
      <c r="AE63" s="13"/>
      <c r="AF63" s="14">
        <v>5.0050999999999997</v>
      </c>
      <c r="AG63" s="133"/>
      <c r="AI63" s="84"/>
      <c r="AL63" s="166">
        <v>4.1715461833333336</v>
      </c>
      <c r="AM63" s="75">
        <v>15.019999999999991</v>
      </c>
      <c r="AN63" s="75">
        <v>16.999999999999989</v>
      </c>
      <c r="AO63" s="78">
        <v>23.29999999999988</v>
      </c>
      <c r="AP63" s="82"/>
      <c r="AQ63" s="74">
        <v>4.0818749333333324</v>
      </c>
      <c r="AR63" s="75">
        <v>15.019999999999991</v>
      </c>
      <c r="AS63" s="75">
        <v>16.520000000000049</v>
      </c>
      <c r="AT63" s="78">
        <v>20.840000000000011</v>
      </c>
      <c r="AU63" s="82"/>
      <c r="AV63" s="166">
        <v>3.7279295000000001</v>
      </c>
      <c r="AW63" s="75">
        <v>14.640000000000081</v>
      </c>
      <c r="AX63" s="75">
        <v>16.14000000000004</v>
      </c>
      <c r="AY63" s="78">
        <v>21.160000000000071</v>
      </c>
      <c r="AZ63" s="82"/>
      <c r="BA63" s="74">
        <v>3.1818531833333341</v>
      </c>
      <c r="BB63" s="75">
        <v>17.56000000000002</v>
      </c>
      <c r="BC63" s="75">
        <v>20.16</v>
      </c>
      <c r="BD63" s="78">
        <v>32.659999999999997</v>
      </c>
      <c r="BE63" s="82"/>
      <c r="BF63" s="74">
        <v>2.9517359000000001</v>
      </c>
      <c r="BG63" s="75">
        <v>21.44000000000004</v>
      </c>
      <c r="BH63" s="75">
        <v>28.64000000000004</v>
      </c>
      <c r="BI63" s="78">
        <v>58.180000000000028</v>
      </c>
      <c r="BJ63" s="70"/>
      <c r="BK63" s="51"/>
    </row>
    <row r="64" spans="1:63" x14ac:dyDescent="0.4">
      <c r="A64" s="11" t="s">
        <v>143</v>
      </c>
      <c r="B64" s="4"/>
      <c r="C64" s="4"/>
      <c r="D64" s="4"/>
      <c r="E64" s="12"/>
      <c r="G64" s="147" t="s">
        <v>143</v>
      </c>
      <c r="H64" s="161">
        <v>70.108999999999995</v>
      </c>
      <c r="I64" s="153">
        <v>70.319999999999993</v>
      </c>
      <c r="J64" s="153">
        <v>70.36</v>
      </c>
      <c r="K64" s="153">
        <v>70.36</v>
      </c>
      <c r="L64" s="153">
        <v>70.33</v>
      </c>
      <c r="M64" s="80">
        <f t="shared" si="0"/>
        <v>70.36</v>
      </c>
      <c r="N64" s="80">
        <f t="shared" si="1"/>
        <v>70.319999999999993</v>
      </c>
      <c r="O64" s="153">
        <v>21.01</v>
      </c>
      <c r="P64" s="153">
        <v>21</v>
      </c>
      <c r="Q64" s="153">
        <v>21.07</v>
      </c>
      <c r="R64" s="153">
        <v>21.05</v>
      </c>
      <c r="S64" s="4"/>
      <c r="U64" s="147" t="s">
        <v>143</v>
      </c>
      <c r="V64" s="11"/>
      <c r="W64" s="4"/>
      <c r="X64" s="12"/>
      <c r="Y64" s="14"/>
      <c r="Z64" s="4"/>
      <c r="AA64" s="13"/>
      <c r="AB64" s="11"/>
      <c r="AC64" s="4"/>
      <c r="AD64" s="12"/>
      <c r="AE64" s="13"/>
      <c r="AF64" s="14">
        <v>5.0431999999999997</v>
      </c>
      <c r="AG64" s="133"/>
      <c r="AI64" s="84"/>
      <c r="AL64" s="166">
        <v>4.1714987499999996</v>
      </c>
      <c r="AM64" s="56">
        <v>14.25999999999998</v>
      </c>
      <c r="AN64" s="56">
        <v>16.17999999999995</v>
      </c>
      <c r="AO64" s="62">
        <v>22.339999999999979</v>
      </c>
      <c r="AQ64" s="64">
        <v>4.0811542000000003</v>
      </c>
      <c r="AR64" s="56">
        <v>13.940000000000021</v>
      </c>
      <c r="AS64" s="56">
        <v>15.30000000000005</v>
      </c>
      <c r="AT64" s="62">
        <v>19.419999999999948</v>
      </c>
      <c r="AV64" s="166">
        <v>3.727576866666666</v>
      </c>
      <c r="AW64" s="56">
        <v>13.619999999999971</v>
      </c>
      <c r="AX64" s="56">
        <v>15.019999999999991</v>
      </c>
      <c r="AY64" s="62">
        <v>19.78</v>
      </c>
      <c r="BA64" s="64">
        <v>3.1912669</v>
      </c>
      <c r="BB64" s="56">
        <v>17.079999999999981</v>
      </c>
      <c r="BC64" s="56">
        <v>19.54000000000002</v>
      </c>
      <c r="BD64" s="62">
        <v>31.459999999999951</v>
      </c>
      <c r="BF64" s="64">
        <v>2.9659605500000001</v>
      </c>
      <c r="BG64" s="56">
        <v>21.240000000000059</v>
      </c>
      <c r="BH64" s="56">
        <v>28.800000000000029</v>
      </c>
      <c r="BI64" s="62">
        <v>57.960000000000008</v>
      </c>
      <c r="BJ64" s="69"/>
      <c r="BK64" s="51"/>
    </row>
    <row r="65" spans="1:63" x14ac:dyDescent="0.4">
      <c r="A65" s="11" t="s">
        <v>144</v>
      </c>
      <c r="B65" s="4"/>
      <c r="C65" s="4"/>
      <c r="D65" s="4"/>
      <c r="E65" s="12"/>
      <c r="G65" s="147" t="s">
        <v>144</v>
      </c>
      <c r="H65" s="159">
        <v>70.018000000000001</v>
      </c>
      <c r="I65" s="153">
        <v>70.38</v>
      </c>
      <c r="J65" s="153">
        <v>70.319999999999993</v>
      </c>
      <c r="K65" s="153">
        <v>70.33</v>
      </c>
      <c r="L65" s="153">
        <v>70.37</v>
      </c>
      <c r="M65" s="80">
        <f t="shared" si="0"/>
        <v>70.38</v>
      </c>
      <c r="N65" s="80">
        <f t="shared" si="1"/>
        <v>70.319999999999993</v>
      </c>
      <c r="O65" s="153">
        <v>21</v>
      </c>
      <c r="P65" s="153">
        <v>20.96</v>
      </c>
      <c r="Q65" s="153">
        <v>21.07</v>
      </c>
      <c r="R65" s="153">
        <v>21.05</v>
      </c>
      <c r="S65" s="4"/>
      <c r="U65" s="147" t="s">
        <v>144</v>
      </c>
      <c r="V65" s="11"/>
      <c r="W65" s="4"/>
      <c r="X65" s="12"/>
      <c r="Y65" s="14"/>
      <c r="Z65" s="4"/>
      <c r="AA65" s="13"/>
      <c r="AB65" s="11"/>
      <c r="AC65" s="4"/>
      <c r="AD65" s="12"/>
      <c r="AE65" s="13"/>
      <c r="AF65" s="14">
        <v>5.0254000000000003</v>
      </c>
      <c r="AG65" s="133"/>
      <c r="AI65" s="84"/>
      <c r="AL65" s="166">
        <v>4.171271383333333</v>
      </c>
      <c r="AM65" s="75">
        <v>14.57999999999995</v>
      </c>
      <c r="AN65" s="75">
        <v>16.519999999999872</v>
      </c>
      <c r="AO65" s="78">
        <v>22.69999999999985</v>
      </c>
      <c r="AP65" s="82"/>
      <c r="AQ65" s="74">
        <v>4.0812964666666662</v>
      </c>
      <c r="AR65" s="75">
        <v>14.119999999999949</v>
      </c>
      <c r="AS65" s="75">
        <v>15.54000000000002</v>
      </c>
      <c r="AT65" s="78">
        <v>19.679999999999961</v>
      </c>
      <c r="AU65" s="82"/>
      <c r="AV65" s="166">
        <v>3.7274379833333331</v>
      </c>
      <c r="AW65" s="75">
        <v>13.86000000000003</v>
      </c>
      <c r="AX65" s="75">
        <v>15.26000000000005</v>
      </c>
      <c r="AY65" s="78">
        <v>20.080000000000009</v>
      </c>
      <c r="AZ65" s="82"/>
      <c r="BA65" s="74">
        <v>3.1854575000000001</v>
      </c>
      <c r="BB65" s="75">
        <v>17.840000000000082</v>
      </c>
      <c r="BC65" s="75">
        <v>20.460000000000012</v>
      </c>
      <c r="BD65" s="78">
        <v>32.920000000000023</v>
      </c>
      <c r="BE65" s="82"/>
      <c r="BF65" s="74">
        <v>2.9664810333333329</v>
      </c>
      <c r="BG65" s="75">
        <v>21.94000000000003</v>
      </c>
      <c r="BH65" s="75">
        <v>30.379999999999981</v>
      </c>
      <c r="BI65" s="78">
        <v>61.220000000000063</v>
      </c>
      <c r="BJ65" s="70"/>
      <c r="BK65" s="51"/>
    </row>
    <row r="66" spans="1:63" x14ac:dyDescent="0.4">
      <c r="A66" s="11" t="s">
        <v>145</v>
      </c>
      <c r="B66" s="4"/>
      <c r="C66" s="4"/>
      <c r="D66" s="4"/>
      <c r="E66" s="12"/>
      <c r="G66" s="147" t="s">
        <v>145</v>
      </c>
      <c r="H66" s="159">
        <v>70.033000000000001</v>
      </c>
      <c r="I66" s="153">
        <v>70.39</v>
      </c>
      <c r="J66" s="153">
        <v>70.36</v>
      </c>
      <c r="K66" s="153">
        <v>70.31</v>
      </c>
      <c r="L66" s="153">
        <v>70.34</v>
      </c>
      <c r="M66" s="80">
        <f t="shared" si="0"/>
        <v>70.39</v>
      </c>
      <c r="N66" s="80">
        <f t="shared" si="1"/>
        <v>70.31</v>
      </c>
      <c r="O66" s="153">
        <v>21.04</v>
      </c>
      <c r="P66" s="153">
        <v>20.95</v>
      </c>
      <c r="Q66" s="153">
        <v>21.05</v>
      </c>
      <c r="R66" s="153">
        <v>21.02</v>
      </c>
      <c r="S66" s="4"/>
      <c r="U66" s="147" t="s">
        <v>145</v>
      </c>
      <c r="V66" s="11"/>
      <c r="W66" s="4"/>
      <c r="X66" s="12"/>
      <c r="Y66" s="14"/>
      <c r="Z66" s="4"/>
      <c r="AA66" s="13"/>
      <c r="AB66" s="11"/>
      <c r="AC66" s="4"/>
      <c r="AD66" s="12"/>
      <c r="AE66" s="13"/>
      <c r="AF66" s="14">
        <v>4.9954000000000001</v>
      </c>
      <c r="AG66" s="133"/>
      <c r="AI66" s="84"/>
      <c r="AL66" s="166">
        <v>4.1712083</v>
      </c>
      <c r="AM66" s="56">
        <v>14.400000000000009</v>
      </c>
      <c r="AN66" s="56">
        <v>16.300000000000029</v>
      </c>
      <c r="AO66" s="62">
        <v>22.499999999999961</v>
      </c>
      <c r="AQ66" s="64">
        <v>4.0802391333333334</v>
      </c>
      <c r="AR66" s="56">
        <v>13.820000000000119</v>
      </c>
      <c r="AS66" s="56">
        <v>15.200000000000101</v>
      </c>
      <c r="AT66" s="62">
        <v>19.34000000000005</v>
      </c>
      <c r="AV66" s="166">
        <v>3.724871466666666</v>
      </c>
      <c r="AW66" s="56">
        <v>13.419999999999989</v>
      </c>
      <c r="AX66" s="56">
        <v>14.799999999999971</v>
      </c>
      <c r="AY66" s="62">
        <v>19.58000000000002</v>
      </c>
      <c r="BA66" s="64">
        <v>3.179495516666667</v>
      </c>
      <c r="BB66" s="56">
        <v>16.70000000000007</v>
      </c>
      <c r="BC66" s="56">
        <v>19.280000000000008</v>
      </c>
      <c r="BD66" s="62">
        <v>31.700000000000021</v>
      </c>
      <c r="BF66" s="64">
        <v>2.9612693999999999</v>
      </c>
      <c r="BG66" s="56">
        <v>20.660000000000078</v>
      </c>
      <c r="BH66" s="56">
        <v>28.220000000000049</v>
      </c>
      <c r="BI66" s="62">
        <v>57.900000000000063</v>
      </c>
      <c r="BJ66" s="69"/>
      <c r="BK66" s="51"/>
    </row>
    <row r="67" spans="1:63" x14ac:dyDescent="0.4">
      <c r="A67" s="11" t="s">
        <v>146</v>
      </c>
      <c r="B67" s="4"/>
      <c r="C67" s="4"/>
      <c r="D67" s="4"/>
      <c r="E67" s="12"/>
      <c r="G67" s="147" t="s">
        <v>146</v>
      </c>
      <c r="H67" s="159">
        <v>69.968999999999994</v>
      </c>
      <c r="I67" s="153">
        <v>70.37</v>
      </c>
      <c r="J67" s="153">
        <v>70.3</v>
      </c>
      <c r="K67" s="153">
        <v>70.319999999999993</v>
      </c>
      <c r="L67" s="153">
        <v>70.34</v>
      </c>
      <c r="M67" s="80">
        <f t="shared" si="0"/>
        <v>70.37</v>
      </c>
      <c r="N67" s="80">
        <f t="shared" si="1"/>
        <v>70.3</v>
      </c>
      <c r="O67" s="153">
        <v>20.94</v>
      </c>
      <c r="P67" s="153">
        <v>20.9</v>
      </c>
      <c r="Q67" s="153">
        <v>21.05</v>
      </c>
      <c r="R67" s="153">
        <v>21.04</v>
      </c>
      <c r="S67" s="4"/>
      <c r="U67" s="147" t="s">
        <v>146</v>
      </c>
      <c r="V67" s="11"/>
      <c r="W67" s="4"/>
      <c r="X67" s="12"/>
      <c r="Y67" s="14"/>
      <c r="Z67" s="4"/>
      <c r="AA67" s="13"/>
      <c r="AB67" s="11"/>
      <c r="AC67" s="4"/>
      <c r="AD67" s="12"/>
      <c r="AE67" s="13"/>
      <c r="AF67" s="14">
        <v>4.9903000000000004</v>
      </c>
      <c r="AG67" s="133"/>
      <c r="AI67" s="84"/>
      <c r="AL67" s="166">
        <v>4.1716084999999996</v>
      </c>
      <c r="AM67" s="75">
        <v>14.87999999999996</v>
      </c>
      <c r="AN67" s="75">
        <v>16.879999999999921</v>
      </c>
      <c r="AO67" s="78">
        <v>23.119999999999941</v>
      </c>
      <c r="AP67" s="82"/>
      <c r="AQ67" s="74">
        <v>4.0826999666666666</v>
      </c>
      <c r="AR67" s="75">
        <v>14.84000000000005</v>
      </c>
      <c r="AS67" s="75">
        <v>16.300000000000029</v>
      </c>
      <c r="AT67" s="78">
        <v>20.58</v>
      </c>
      <c r="AU67" s="82"/>
      <c r="AV67" s="166">
        <v>3.728032366666667</v>
      </c>
      <c r="AW67" s="75">
        <v>14.299999999999979</v>
      </c>
      <c r="AX67" s="75">
        <v>15.78</v>
      </c>
      <c r="AY67" s="78">
        <v>20.720000000000031</v>
      </c>
      <c r="AZ67" s="82"/>
      <c r="BA67" s="74">
        <v>3.1766772333333329</v>
      </c>
      <c r="BB67" s="75">
        <v>17.060000000000031</v>
      </c>
      <c r="BC67" s="75">
        <v>19.639999999999969</v>
      </c>
      <c r="BD67" s="78">
        <v>32.24</v>
      </c>
      <c r="BE67" s="82"/>
      <c r="BF67" s="74">
        <v>2.956002666666667</v>
      </c>
      <c r="BG67" s="75">
        <v>20.819999999999968</v>
      </c>
      <c r="BH67" s="75">
        <v>28.259999999999948</v>
      </c>
      <c r="BI67" s="78">
        <v>58.11999999999999</v>
      </c>
      <c r="BJ67" s="70"/>
      <c r="BK67" s="51"/>
    </row>
    <row r="68" spans="1:63" x14ac:dyDescent="0.4">
      <c r="A68" s="11" t="s">
        <v>147</v>
      </c>
      <c r="B68" s="4"/>
      <c r="C68" s="4"/>
      <c r="D68" s="4"/>
      <c r="E68" s="12"/>
      <c r="G68" s="147" t="s">
        <v>147</v>
      </c>
      <c r="H68" s="159">
        <v>69.947000000000003</v>
      </c>
      <c r="I68" s="153">
        <v>70.34</v>
      </c>
      <c r="J68" s="153">
        <v>70.33</v>
      </c>
      <c r="K68" s="153">
        <v>70.349999999999994</v>
      </c>
      <c r="L68" s="153">
        <v>70.34</v>
      </c>
      <c r="M68" s="80">
        <f t="shared" si="0"/>
        <v>70.349999999999994</v>
      </c>
      <c r="N68" s="80">
        <f t="shared" si="1"/>
        <v>70.33</v>
      </c>
      <c r="O68" s="153">
        <v>20.96</v>
      </c>
      <c r="P68" s="153">
        <v>20.91</v>
      </c>
      <c r="Q68" s="153">
        <v>21.07</v>
      </c>
      <c r="R68" s="153">
        <v>21.05</v>
      </c>
      <c r="S68" s="4"/>
      <c r="U68" s="147" t="s">
        <v>147</v>
      </c>
      <c r="V68" s="11"/>
      <c r="W68" s="4"/>
      <c r="X68" s="12"/>
      <c r="Y68" s="14"/>
      <c r="Z68" s="4"/>
      <c r="AA68" s="13"/>
      <c r="AB68" s="11"/>
      <c r="AC68" s="4"/>
      <c r="AD68" s="12"/>
      <c r="AE68" s="13"/>
      <c r="AF68" s="14">
        <v>5.0035999999999996</v>
      </c>
      <c r="AG68" s="133"/>
      <c r="AI68" s="84"/>
      <c r="AL68" s="166">
        <v>4.1710066499999998</v>
      </c>
      <c r="AM68" s="56">
        <v>15.240000000000011</v>
      </c>
      <c r="AN68" s="56">
        <v>17.260000000000101</v>
      </c>
      <c r="AO68" s="62">
        <v>23.6600000000001</v>
      </c>
      <c r="AQ68" s="64">
        <v>4.0814853999999992</v>
      </c>
      <c r="AR68" s="56">
        <v>15.019999999999991</v>
      </c>
      <c r="AS68" s="56">
        <v>16.54</v>
      </c>
      <c r="AT68" s="62">
        <v>20.900000000000048</v>
      </c>
      <c r="AV68" s="166">
        <v>3.7271416666666659</v>
      </c>
      <c r="AW68" s="56">
        <v>14.52</v>
      </c>
      <c r="AX68" s="56">
        <v>15.99999999999992</v>
      </c>
      <c r="AY68" s="62">
        <v>20.96</v>
      </c>
      <c r="BA68" s="64">
        <v>3.1817822666666671</v>
      </c>
      <c r="BB68" s="56">
        <v>17.760000000000002</v>
      </c>
      <c r="BC68" s="56">
        <v>20.400000000000059</v>
      </c>
      <c r="BD68" s="62">
        <v>33.020000000000053</v>
      </c>
      <c r="BF68" s="64">
        <v>2.9706262166666662</v>
      </c>
      <c r="BG68" s="56">
        <v>21.72000000000001</v>
      </c>
      <c r="BH68" s="56">
        <v>29.539999999999988</v>
      </c>
      <c r="BI68" s="62">
        <v>59.039999999999978</v>
      </c>
      <c r="BJ68" s="69"/>
      <c r="BK68" s="51"/>
    </row>
    <row r="69" spans="1:63" x14ac:dyDescent="0.4">
      <c r="A69" s="11" t="s">
        <v>148</v>
      </c>
      <c r="B69" s="4"/>
      <c r="C69" s="4"/>
      <c r="D69" s="4"/>
      <c r="E69" s="12"/>
      <c r="G69" s="147" t="s">
        <v>148</v>
      </c>
      <c r="H69" s="159">
        <v>70.022000000000006</v>
      </c>
      <c r="I69" s="153">
        <v>70.31</v>
      </c>
      <c r="J69" s="153">
        <v>70.33</v>
      </c>
      <c r="K69" s="153">
        <v>70.319999999999993</v>
      </c>
      <c r="L69" s="153">
        <v>70.31</v>
      </c>
      <c r="M69" s="80">
        <f t="shared" si="0"/>
        <v>70.33</v>
      </c>
      <c r="N69" s="80">
        <f t="shared" si="1"/>
        <v>70.31</v>
      </c>
      <c r="O69" s="153">
        <v>21</v>
      </c>
      <c r="P69" s="153">
        <v>20.96</v>
      </c>
      <c r="Q69" s="153">
        <v>21.07</v>
      </c>
      <c r="R69" s="153">
        <v>21.06</v>
      </c>
      <c r="S69" s="4"/>
      <c r="U69" s="147" t="s">
        <v>148</v>
      </c>
      <c r="V69" s="11"/>
      <c r="W69" s="4"/>
      <c r="X69" s="12"/>
      <c r="Y69" s="14"/>
      <c r="Z69" s="4"/>
      <c r="AA69" s="13"/>
      <c r="AB69" s="11"/>
      <c r="AC69" s="4"/>
      <c r="AD69" s="12"/>
      <c r="AE69" s="13"/>
      <c r="AF69" s="14">
        <v>5.0084</v>
      </c>
      <c r="AG69" s="133"/>
      <c r="AI69" s="84"/>
      <c r="AL69" s="166">
        <v>4.171258616666667</v>
      </c>
      <c r="AM69" s="75">
        <v>15.16000000000002</v>
      </c>
      <c r="AN69" s="75">
        <v>17.199999999999878</v>
      </c>
      <c r="AO69" s="78">
        <v>23.5199999999999</v>
      </c>
      <c r="AP69" s="82"/>
      <c r="AQ69" s="74">
        <v>4.0820204666666662</v>
      </c>
      <c r="AR69" s="75">
        <v>14.99999999999986</v>
      </c>
      <c r="AS69" s="75">
        <v>16.53999999999991</v>
      </c>
      <c r="AT69" s="78">
        <v>20.879999999999921</v>
      </c>
      <c r="AU69" s="82"/>
      <c r="AV69" s="166">
        <v>3.7279837833333329</v>
      </c>
      <c r="AW69" s="75">
        <v>14.620000000000029</v>
      </c>
      <c r="AX69" s="75">
        <v>16.099999999999959</v>
      </c>
      <c r="AY69" s="78">
        <v>21.11999999999998</v>
      </c>
      <c r="AZ69" s="82"/>
      <c r="BA69" s="74">
        <v>3.1838043499999999</v>
      </c>
      <c r="BB69" s="75">
        <v>17.640000000000011</v>
      </c>
      <c r="BC69" s="75">
        <v>20.239999999999991</v>
      </c>
      <c r="BD69" s="78">
        <v>32.739999999999988</v>
      </c>
      <c r="BE69" s="82"/>
      <c r="BF69" s="74">
        <v>2.9643591499999999</v>
      </c>
      <c r="BG69" s="75">
        <v>21.860000000000031</v>
      </c>
      <c r="BH69" s="75">
        <v>29.46</v>
      </c>
      <c r="BI69" s="78">
        <v>59.100000000000023</v>
      </c>
      <c r="BJ69" s="70"/>
      <c r="BK69" s="51"/>
    </row>
    <row r="70" spans="1:63" x14ac:dyDescent="0.4">
      <c r="A70" s="11" t="s">
        <v>149</v>
      </c>
      <c r="B70" s="4"/>
      <c r="C70" s="4"/>
      <c r="D70" s="4"/>
      <c r="E70" s="12"/>
      <c r="G70" s="147" t="s">
        <v>149</v>
      </c>
      <c r="H70" s="159">
        <v>70.043000000000006</v>
      </c>
      <c r="I70" s="153">
        <v>70.36</v>
      </c>
      <c r="J70" s="153">
        <v>70.3</v>
      </c>
      <c r="K70" s="153">
        <v>70.31</v>
      </c>
      <c r="L70" s="153">
        <v>70.319999999999993</v>
      </c>
      <c r="M70" s="80">
        <f t="shared" ref="M70:M133" si="2">MAX(I70:L70)</f>
        <v>70.36</v>
      </c>
      <c r="N70" s="80">
        <f t="shared" ref="N70:N133" si="3">MIN(I70:L70)</f>
        <v>70.3</v>
      </c>
      <c r="O70" s="153">
        <v>21.04</v>
      </c>
      <c r="P70" s="153">
        <v>20.95</v>
      </c>
      <c r="Q70" s="153">
        <v>21.07</v>
      </c>
      <c r="R70" s="153">
        <v>21.02</v>
      </c>
      <c r="S70" s="4"/>
      <c r="U70" s="147" t="s">
        <v>149</v>
      </c>
      <c r="V70" s="11"/>
      <c r="W70" s="4"/>
      <c r="X70" s="12"/>
      <c r="Y70" s="14"/>
      <c r="Z70" s="4"/>
      <c r="AA70" s="13"/>
      <c r="AB70" s="11"/>
      <c r="AC70" s="4"/>
      <c r="AD70" s="12"/>
      <c r="AE70" s="13"/>
      <c r="AF70" s="14">
        <v>5.0185000000000004</v>
      </c>
      <c r="AG70" s="133"/>
      <c r="AI70" s="84"/>
      <c r="AL70" s="64">
        <v>4.1717141333333334</v>
      </c>
      <c r="AM70" s="56">
        <v>14.119999999999949</v>
      </c>
      <c r="AN70" s="56">
        <v>16.039999999999921</v>
      </c>
      <c r="AO70" s="62">
        <v>22.23999999999986</v>
      </c>
      <c r="AQ70" s="64">
        <v>4.0813907000000009</v>
      </c>
      <c r="AR70" s="56">
        <v>13.400000000000031</v>
      </c>
      <c r="AS70" s="56">
        <v>14.799999999999971</v>
      </c>
      <c r="AT70" s="62">
        <v>18.780000000000019</v>
      </c>
      <c r="AV70" s="64">
        <v>3.728074883333333</v>
      </c>
      <c r="AW70" s="56">
        <v>12.92</v>
      </c>
      <c r="AX70" s="56">
        <v>14.32000000000002</v>
      </c>
      <c r="AY70" s="62">
        <v>18.959999999999951</v>
      </c>
      <c r="BA70" s="64">
        <v>3.1868003333333328</v>
      </c>
      <c r="BB70" s="56">
        <v>15.7</v>
      </c>
      <c r="BC70" s="56">
        <v>18.120000000000051</v>
      </c>
      <c r="BD70" s="62">
        <v>29.88</v>
      </c>
      <c r="BF70" s="64">
        <v>2.9283046000000001</v>
      </c>
      <c r="BG70" s="56">
        <v>19.680000000000049</v>
      </c>
      <c r="BH70" s="56">
        <v>26.679999999999989</v>
      </c>
      <c r="BI70" s="62">
        <v>56.179999999999993</v>
      </c>
      <c r="BJ70" s="70"/>
      <c r="BK70" s="51"/>
    </row>
    <row r="71" spans="1:63" x14ac:dyDescent="0.4">
      <c r="A71" s="11" t="s">
        <v>150</v>
      </c>
      <c r="B71" s="4"/>
      <c r="C71" s="4"/>
      <c r="D71" s="4"/>
      <c r="E71" s="12"/>
      <c r="G71" s="147" t="s">
        <v>150</v>
      </c>
      <c r="H71" s="159">
        <v>70.022000000000006</v>
      </c>
      <c r="I71" s="153">
        <v>70.349999999999994</v>
      </c>
      <c r="J71" s="153">
        <v>70.33</v>
      </c>
      <c r="K71" s="153">
        <v>70.34</v>
      </c>
      <c r="L71" s="153">
        <v>70.37</v>
      </c>
      <c r="M71" s="80">
        <f t="shared" si="2"/>
        <v>70.37</v>
      </c>
      <c r="N71" s="80">
        <f t="shared" si="3"/>
        <v>70.33</v>
      </c>
      <c r="O71" s="153">
        <v>21.04</v>
      </c>
      <c r="P71" s="153">
        <v>20.94</v>
      </c>
      <c r="Q71" s="153">
        <v>21.08</v>
      </c>
      <c r="R71" s="153">
        <v>21.02</v>
      </c>
      <c r="S71" s="4"/>
      <c r="U71" s="147" t="s">
        <v>150</v>
      </c>
      <c r="V71" s="11"/>
      <c r="W71" s="4"/>
      <c r="X71" s="12"/>
      <c r="Y71" s="14"/>
      <c r="Z71" s="4"/>
      <c r="AA71" s="13"/>
      <c r="AB71" s="11"/>
      <c r="AC71" s="4"/>
      <c r="AD71" s="12"/>
      <c r="AE71" s="13"/>
      <c r="AF71" s="14">
        <v>5.0072000000000001</v>
      </c>
      <c r="AG71" s="133"/>
      <c r="AI71" s="84"/>
      <c r="AL71" s="64">
        <v>4.1715271500000002</v>
      </c>
      <c r="AM71" s="56">
        <v>15.54000000000002</v>
      </c>
      <c r="AN71" s="56">
        <v>17.559999999999931</v>
      </c>
      <c r="AO71" s="62">
        <v>24.039999999999932</v>
      </c>
      <c r="AQ71" s="64">
        <v>4.0808860499999993</v>
      </c>
      <c r="AR71" s="56">
        <v>14.74000000000011</v>
      </c>
      <c r="AS71" s="56">
        <v>16.260000000000119</v>
      </c>
      <c r="AT71" s="62">
        <v>20.520000000000049</v>
      </c>
      <c r="AV71" s="64">
        <v>3.7272891166666668</v>
      </c>
      <c r="AW71" s="56">
        <v>14.12000000000004</v>
      </c>
      <c r="AX71" s="56">
        <v>15.64000000000005</v>
      </c>
      <c r="AY71" s="62">
        <v>20.54</v>
      </c>
      <c r="BA71" s="64">
        <v>3.183556083333333</v>
      </c>
      <c r="BB71" s="56">
        <v>16.48000000000005</v>
      </c>
      <c r="BC71" s="56">
        <v>18.98</v>
      </c>
      <c r="BD71" s="62">
        <v>30.960000000000051</v>
      </c>
      <c r="BF71" s="64">
        <v>2.9252563833333332</v>
      </c>
      <c r="BG71" s="56">
        <v>20.460000000000012</v>
      </c>
      <c r="BH71" s="56">
        <v>27.47999999999999</v>
      </c>
      <c r="BI71" s="62">
        <v>57.020000000000067</v>
      </c>
      <c r="BJ71" s="70"/>
      <c r="BK71" s="51"/>
    </row>
    <row r="72" spans="1:63" x14ac:dyDescent="0.4">
      <c r="A72" s="11" t="s">
        <v>151</v>
      </c>
      <c r="B72" s="4"/>
      <c r="C72" s="4"/>
      <c r="D72" s="4"/>
      <c r="E72" s="12"/>
      <c r="G72" s="147" t="s">
        <v>151</v>
      </c>
      <c r="H72" s="159">
        <v>69.974999999999994</v>
      </c>
      <c r="I72" s="153">
        <v>70.31</v>
      </c>
      <c r="J72" s="153">
        <v>20.96</v>
      </c>
      <c r="K72" s="153">
        <v>70.38</v>
      </c>
      <c r="L72" s="153">
        <v>70.349999999999994</v>
      </c>
      <c r="M72" s="80">
        <f t="shared" si="2"/>
        <v>70.38</v>
      </c>
      <c r="N72" s="80">
        <f t="shared" si="3"/>
        <v>20.96</v>
      </c>
      <c r="O72" s="153">
        <v>21.03</v>
      </c>
      <c r="P72" s="153">
        <v>20.93</v>
      </c>
      <c r="Q72" s="153">
        <v>21.08</v>
      </c>
      <c r="R72" s="153">
        <v>21.06</v>
      </c>
      <c r="S72" s="4"/>
      <c r="U72" s="147" t="s">
        <v>151</v>
      </c>
      <c r="V72" s="11"/>
      <c r="W72" s="4"/>
      <c r="X72" s="12"/>
      <c r="Y72" s="14"/>
      <c r="Z72" s="4"/>
      <c r="AA72" s="13"/>
      <c r="AB72" s="11"/>
      <c r="AC72" s="4"/>
      <c r="AD72" s="12"/>
      <c r="AE72" s="13"/>
      <c r="AF72" s="14">
        <v>4.9934000000000003</v>
      </c>
      <c r="AG72" s="133"/>
      <c r="AI72" s="84"/>
      <c r="AL72" s="74">
        <v>4.1721264833333338</v>
      </c>
      <c r="AM72" s="75">
        <v>15.220000000000059</v>
      </c>
      <c r="AN72" s="75">
        <v>17.22000000000001</v>
      </c>
      <c r="AO72" s="78">
        <v>23.480000000000171</v>
      </c>
      <c r="AP72" s="82"/>
      <c r="AQ72" s="74">
        <v>4.081248883333334</v>
      </c>
      <c r="AR72" s="75">
        <v>14.41999999999997</v>
      </c>
      <c r="AS72" s="75">
        <v>15.89999999999989</v>
      </c>
      <c r="AT72" s="78">
        <v>20.099999999999959</v>
      </c>
      <c r="AU72" s="82"/>
      <c r="AV72" s="74">
        <v>3.726718350000001</v>
      </c>
      <c r="AW72" s="75">
        <v>13.959999999999971</v>
      </c>
      <c r="AX72" s="75">
        <v>15.45999999999994</v>
      </c>
      <c r="AY72" s="78">
        <v>20.29999999999994</v>
      </c>
      <c r="AZ72" s="82"/>
      <c r="BA72" s="74">
        <v>3.177362683333333</v>
      </c>
      <c r="BB72" s="75">
        <v>16.699999999999982</v>
      </c>
      <c r="BC72" s="75">
        <v>19.240000000000009</v>
      </c>
      <c r="BD72" s="78">
        <v>31.519999999999989</v>
      </c>
      <c r="BE72" s="82"/>
      <c r="BF72" s="74">
        <v>2.9156578999999998</v>
      </c>
      <c r="BG72" s="75">
        <v>20.500000000000011</v>
      </c>
      <c r="BH72" s="75">
        <v>27.44</v>
      </c>
      <c r="BI72" s="78">
        <v>57.800000000000033</v>
      </c>
      <c r="BJ72" s="70"/>
      <c r="BK72" s="51"/>
    </row>
    <row r="73" spans="1:63" x14ac:dyDescent="0.4">
      <c r="A73" s="11" t="s">
        <v>152</v>
      </c>
      <c r="B73" s="4"/>
      <c r="C73" s="4"/>
      <c r="D73" s="4"/>
      <c r="E73" s="12"/>
      <c r="G73" s="147" t="s">
        <v>152</v>
      </c>
      <c r="H73" s="159">
        <v>70.111000000000004</v>
      </c>
      <c r="I73" s="153">
        <v>70.319999999999993</v>
      </c>
      <c r="J73" s="153">
        <v>70.319999999999993</v>
      </c>
      <c r="K73" s="153">
        <v>70.33</v>
      </c>
      <c r="L73" s="153">
        <v>70.33</v>
      </c>
      <c r="M73" s="80">
        <f t="shared" si="2"/>
        <v>70.33</v>
      </c>
      <c r="N73" s="80">
        <f t="shared" si="3"/>
        <v>70.319999999999993</v>
      </c>
      <c r="O73" s="153">
        <v>20.95</v>
      </c>
      <c r="P73" s="153">
        <v>20.9</v>
      </c>
      <c r="Q73" s="153">
        <v>21.11</v>
      </c>
      <c r="R73" s="153">
        <v>21.07</v>
      </c>
      <c r="S73" s="4"/>
      <c r="U73" s="147" t="s">
        <v>152</v>
      </c>
      <c r="V73" s="11"/>
      <c r="W73" s="4"/>
      <c r="X73" s="12"/>
      <c r="Y73" s="14"/>
      <c r="Z73" s="4"/>
      <c r="AA73" s="13"/>
      <c r="AB73" s="11"/>
      <c r="AC73" s="4"/>
      <c r="AD73" s="12"/>
      <c r="AE73" s="13"/>
      <c r="AF73" s="14">
        <v>5.0090000000000003</v>
      </c>
      <c r="AG73" s="133"/>
      <c r="AI73" s="84"/>
      <c r="AL73" s="74">
        <v>4.1725832833333332</v>
      </c>
      <c r="AM73" s="75">
        <v>14.33999999999997</v>
      </c>
      <c r="AN73" s="75">
        <v>16.280000000000069</v>
      </c>
      <c r="AO73" s="78">
        <v>22.440000000000101</v>
      </c>
      <c r="AP73" s="82"/>
      <c r="AQ73" s="74">
        <v>4.0816067333333343</v>
      </c>
      <c r="AR73" s="75">
        <v>13.56000000000002</v>
      </c>
      <c r="AS73" s="75">
        <v>14.959999999999949</v>
      </c>
      <c r="AT73" s="78">
        <v>18.979999999999912</v>
      </c>
      <c r="AU73" s="82"/>
      <c r="AV73" s="74">
        <v>3.7282124333333342</v>
      </c>
      <c r="AW73" s="75">
        <v>13.18000000000001</v>
      </c>
      <c r="AX73" s="75">
        <v>14.60000000000008</v>
      </c>
      <c r="AY73" s="78">
        <v>19.280000000000008</v>
      </c>
      <c r="AZ73" s="82"/>
      <c r="BA73" s="74">
        <v>3.1822614333333341</v>
      </c>
      <c r="BB73" s="75">
        <v>15.58000000000002</v>
      </c>
      <c r="BC73" s="75">
        <v>18.02000000000001</v>
      </c>
      <c r="BD73" s="78">
        <v>29.780000000000051</v>
      </c>
      <c r="BE73" s="82"/>
      <c r="BF73" s="74">
        <v>2.9110319166666669</v>
      </c>
      <c r="BG73" s="75">
        <v>19.299999999999962</v>
      </c>
      <c r="BH73" s="75">
        <v>25.699999999999971</v>
      </c>
      <c r="BI73" s="78">
        <v>55.679999999999993</v>
      </c>
      <c r="BJ73" s="70"/>
      <c r="BK73" s="51"/>
    </row>
    <row r="74" spans="1:63" x14ac:dyDescent="0.4">
      <c r="A74" s="11" t="s">
        <v>153</v>
      </c>
      <c r="B74" s="4"/>
      <c r="C74" s="4"/>
      <c r="D74" s="4"/>
      <c r="E74" s="12"/>
      <c r="G74" s="147" t="s">
        <v>153</v>
      </c>
      <c r="H74" s="159">
        <v>70.093000000000004</v>
      </c>
      <c r="I74" s="153">
        <v>70.319999999999993</v>
      </c>
      <c r="J74" s="153">
        <v>70.400000000000006</v>
      </c>
      <c r="K74" s="153">
        <v>70.37</v>
      </c>
      <c r="L74" s="153">
        <v>70.31</v>
      </c>
      <c r="M74" s="80">
        <f t="shared" si="2"/>
        <v>70.400000000000006</v>
      </c>
      <c r="N74" s="80">
        <f t="shared" si="3"/>
        <v>70.31</v>
      </c>
      <c r="O74" s="153">
        <v>20.96</v>
      </c>
      <c r="P74" s="153">
        <v>20.94</v>
      </c>
      <c r="Q74" s="153">
        <v>21.1</v>
      </c>
      <c r="R74" s="153">
        <v>21.07</v>
      </c>
      <c r="S74" s="4"/>
      <c r="U74" s="147" t="s">
        <v>153</v>
      </c>
      <c r="V74" s="11"/>
      <c r="W74" s="4"/>
      <c r="X74" s="12"/>
      <c r="Y74" s="14"/>
      <c r="Z74" s="4"/>
      <c r="AA74" s="13"/>
      <c r="AB74" s="11"/>
      <c r="AC74" s="4"/>
      <c r="AD74" s="12"/>
      <c r="AE74" s="13"/>
      <c r="AF74" s="14">
        <v>5.0297000000000001</v>
      </c>
      <c r="AG74" s="133"/>
      <c r="AI74" s="84"/>
      <c r="AL74" s="74">
        <v>4.1723267833333333</v>
      </c>
      <c r="AM74" s="75">
        <v>14.1</v>
      </c>
      <c r="AN74" s="75">
        <v>16.000000000000011</v>
      </c>
      <c r="AO74" s="78">
        <v>22.139999999999919</v>
      </c>
      <c r="AP74" s="82"/>
      <c r="AQ74" s="74">
        <v>4.0821250666666664</v>
      </c>
      <c r="AR74" s="75">
        <v>13.380000000000081</v>
      </c>
      <c r="AS74" s="75">
        <v>14.76000000000006</v>
      </c>
      <c r="AT74" s="78">
        <v>18.72000000000007</v>
      </c>
      <c r="AU74" s="82"/>
      <c r="AV74" s="74">
        <v>3.728601816666667</v>
      </c>
      <c r="AW74" s="75">
        <v>12.88</v>
      </c>
      <c r="AX74" s="75">
        <v>14.25999999999998</v>
      </c>
      <c r="AY74" s="78">
        <v>18.839999999999971</v>
      </c>
      <c r="AZ74" s="82"/>
      <c r="BA74" s="74">
        <v>3.190054433333334</v>
      </c>
      <c r="BB74" s="75">
        <v>15.54000000000002</v>
      </c>
      <c r="BC74" s="75">
        <v>17.900000000000031</v>
      </c>
      <c r="BD74" s="78">
        <v>29.48000000000004</v>
      </c>
      <c r="BE74" s="82"/>
      <c r="BF74" s="74">
        <v>2.9343005166666671</v>
      </c>
      <c r="BG74" s="75">
        <v>19.280000000000008</v>
      </c>
      <c r="BH74" s="75">
        <v>25.999999999999979</v>
      </c>
      <c r="BI74" s="78">
        <v>54.459999999999987</v>
      </c>
      <c r="BJ74" s="70"/>
      <c r="BK74" s="51"/>
    </row>
    <row r="75" spans="1:63" x14ac:dyDescent="0.4">
      <c r="A75" s="11" t="s">
        <v>154</v>
      </c>
      <c r="B75" s="4"/>
      <c r="C75" s="4"/>
      <c r="D75" s="4"/>
      <c r="E75" s="12"/>
      <c r="G75" s="147" t="s">
        <v>154</v>
      </c>
      <c r="H75" s="159">
        <v>70.084000000000003</v>
      </c>
      <c r="I75" s="153">
        <v>70.349999999999994</v>
      </c>
      <c r="J75" s="153">
        <v>70.33</v>
      </c>
      <c r="K75" s="153">
        <v>70.34</v>
      </c>
      <c r="L75" s="153">
        <v>70.34</v>
      </c>
      <c r="M75" s="80">
        <f t="shared" si="2"/>
        <v>70.349999999999994</v>
      </c>
      <c r="N75" s="80">
        <f t="shared" si="3"/>
        <v>70.33</v>
      </c>
      <c r="O75" s="153">
        <v>20.94</v>
      </c>
      <c r="P75" s="153">
        <v>20.92</v>
      </c>
      <c r="Q75" s="153">
        <v>21.11</v>
      </c>
      <c r="R75" s="153">
        <v>21.06</v>
      </c>
      <c r="S75" s="4"/>
      <c r="U75" s="147" t="s">
        <v>154</v>
      </c>
      <c r="V75" s="11"/>
      <c r="W75" s="4"/>
      <c r="X75" s="12"/>
      <c r="Y75" s="14"/>
      <c r="Z75" s="4"/>
      <c r="AA75" s="13"/>
      <c r="AB75" s="11"/>
      <c r="AC75" s="4"/>
      <c r="AD75" s="12"/>
      <c r="AE75" s="13"/>
      <c r="AF75" s="14">
        <v>5.0284000000000004</v>
      </c>
      <c r="AG75" s="133"/>
      <c r="AI75" s="84"/>
      <c r="AL75" s="74">
        <v>4.1722280166666668</v>
      </c>
      <c r="AM75" s="75">
        <v>14.280000000000109</v>
      </c>
      <c r="AN75" s="75">
        <v>16.17999999999995</v>
      </c>
      <c r="AO75" s="78">
        <v>22.339999999999979</v>
      </c>
      <c r="AP75" s="82"/>
      <c r="AQ75" s="74">
        <v>4.0812769666666666</v>
      </c>
      <c r="AR75" s="75">
        <v>13.34</v>
      </c>
      <c r="AS75" s="75">
        <v>14.719999999999979</v>
      </c>
      <c r="AT75" s="78">
        <v>18.679999999999989</v>
      </c>
      <c r="AU75" s="82"/>
      <c r="AV75" s="74">
        <v>3.7285441333333331</v>
      </c>
      <c r="AW75" s="75">
        <v>12.78000000000006</v>
      </c>
      <c r="AX75" s="75">
        <v>14.160000000000039</v>
      </c>
      <c r="AY75" s="78">
        <v>18.74000000000002</v>
      </c>
      <c r="AZ75" s="82"/>
      <c r="BA75" s="74">
        <v>3.1878032333333328</v>
      </c>
      <c r="BB75" s="75">
        <v>15.21999999999997</v>
      </c>
      <c r="BC75" s="75">
        <v>17.57999999999997</v>
      </c>
      <c r="BD75" s="78">
        <v>29.099999999999952</v>
      </c>
      <c r="BE75" s="82"/>
      <c r="BF75" s="74">
        <v>2.9212262666666668</v>
      </c>
      <c r="BG75" s="75">
        <v>19.019999999999989</v>
      </c>
      <c r="BH75" s="75">
        <v>25.94000000000003</v>
      </c>
      <c r="BI75" s="78">
        <v>55.64</v>
      </c>
      <c r="BJ75" s="70"/>
      <c r="BK75" s="51"/>
    </row>
    <row r="76" spans="1:63" x14ac:dyDescent="0.4">
      <c r="A76" s="11" t="s">
        <v>155</v>
      </c>
      <c r="B76" s="4"/>
      <c r="C76" s="4"/>
      <c r="D76" s="4"/>
      <c r="E76" s="12"/>
      <c r="G76" s="147" t="s">
        <v>155</v>
      </c>
      <c r="H76" s="159">
        <v>70.08</v>
      </c>
      <c r="I76" s="153">
        <v>70.33</v>
      </c>
      <c r="J76" s="153">
        <v>70.349999999999994</v>
      </c>
      <c r="K76" s="153">
        <v>70.31</v>
      </c>
      <c r="L76" s="153">
        <v>70.319999999999993</v>
      </c>
      <c r="M76" s="80">
        <f t="shared" si="2"/>
        <v>70.349999999999994</v>
      </c>
      <c r="N76" s="80">
        <f t="shared" si="3"/>
        <v>70.31</v>
      </c>
      <c r="O76" s="153">
        <v>21.01</v>
      </c>
      <c r="P76" s="153">
        <v>20.95</v>
      </c>
      <c r="Q76" s="153">
        <v>21.1</v>
      </c>
      <c r="R76" s="153">
        <v>21.07</v>
      </c>
      <c r="S76" s="4"/>
      <c r="U76" s="147" t="s">
        <v>155</v>
      </c>
      <c r="V76" s="11"/>
      <c r="W76" s="4"/>
      <c r="X76" s="12"/>
      <c r="Y76" s="14"/>
      <c r="Z76" s="4"/>
      <c r="AA76" s="13"/>
      <c r="AB76" s="11"/>
      <c r="AC76" s="4"/>
      <c r="AD76" s="12"/>
      <c r="AE76" s="13"/>
      <c r="AF76" s="14">
        <v>5.0293999999999999</v>
      </c>
      <c r="AG76" s="133"/>
      <c r="AI76" s="84"/>
      <c r="AL76" s="64">
        <v>4.172358916666667</v>
      </c>
      <c r="AM76" s="56">
        <v>14.059999999999921</v>
      </c>
      <c r="AN76" s="56">
        <v>16.000000000000011</v>
      </c>
      <c r="AO76" s="62">
        <v>22.19999999999995</v>
      </c>
      <c r="AQ76" s="64">
        <v>4.0819098333333326</v>
      </c>
      <c r="AR76" s="56">
        <v>13.35999999999995</v>
      </c>
      <c r="AS76" s="56">
        <v>14.739999999999929</v>
      </c>
      <c r="AT76" s="62">
        <v>18.74000000000002</v>
      </c>
      <c r="AV76" s="64">
        <v>3.728132983333333</v>
      </c>
      <c r="AW76" s="56">
        <v>12.88</v>
      </c>
      <c r="AX76" s="56">
        <v>14.28000000000003</v>
      </c>
      <c r="AY76" s="62">
        <v>18.86000000000001</v>
      </c>
      <c r="BA76" s="64">
        <v>3.190930766666666</v>
      </c>
      <c r="BB76" s="56">
        <v>15.65999999999992</v>
      </c>
      <c r="BC76" s="56">
        <v>18.039999999999971</v>
      </c>
      <c r="BD76" s="62">
        <v>29.659999999999979</v>
      </c>
      <c r="BF76" s="64">
        <v>2.9339014833333339</v>
      </c>
      <c r="BG76" s="56">
        <v>19.58000000000002</v>
      </c>
      <c r="BH76" s="56">
        <v>26.360000000000031</v>
      </c>
      <c r="BI76" s="62">
        <v>54.860000000000042</v>
      </c>
      <c r="BJ76" s="69"/>
      <c r="BK76" s="51"/>
    </row>
    <row r="77" spans="1:63" ht="17.25" customHeight="1" thickBot="1" x14ac:dyDescent="0.45">
      <c r="A77" s="16" t="s">
        <v>156</v>
      </c>
      <c r="B77" s="17"/>
      <c r="C77" s="17"/>
      <c r="D77" s="17"/>
      <c r="E77" s="18"/>
      <c r="G77" s="147" t="s">
        <v>156</v>
      </c>
      <c r="H77" s="159">
        <v>70.001000000000005</v>
      </c>
      <c r="I77" s="153">
        <v>70.319999999999993</v>
      </c>
      <c r="J77" s="153">
        <v>70.3</v>
      </c>
      <c r="K77" s="153">
        <v>70.33</v>
      </c>
      <c r="L77" s="153">
        <v>70.319999999999993</v>
      </c>
      <c r="M77" s="80">
        <f t="shared" si="2"/>
        <v>70.33</v>
      </c>
      <c r="N77" s="80">
        <f t="shared" si="3"/>
        <v>70.3</v>
      </c>
      <c r="O77" s="153">
        <v>21.07</v>
      </c>
      <c r="P77" s="153">
        <v>21.03</v>
      </c>
      <c r="Q77" s="153">
        <v>21.09</v>
      </c>
      <c r="R77" s="153">
        <v>21.06</v>
      </c>
      <c r="S77" s="4"/>
      <c r="U77" s="147" t="s">
        <v>156</v>
      </c>
      <c r="V77" s="11"/>
      <c r="W77" s="4"/>
      <c r="X77" s="12"/>
      <c r="Y77" s="14"/>
      <c r="Z77" s="4"/>
      <c r="AA77" s="13"/>
      <c r="AB77" s="11"/>
      <c r="AC77" s="4"/>
      <c r="AD77" s="12"/>
      <c r="AE77" s="13"/>
      <c r="AF77" s="14">
        <v>5.0034000000000001</v>
      </c>
      <c r="AG77" s="133"/>
      <c r="AI77" s="84"/>
      <c r="AL77" s="64">
        <v>4.1720516000000014</v>
      </c>
      <c r="AM77" s="56">
        <v>15.5800000000001</v>
      </c>
      <c r="AN77" s="56">
        <v>17.62000000000015</v>
      </c>
      <c r="AO77" s="62">
        <v>24.020000000000149</v>
      </c>
      <c r="AQ77" s="64">
        <v>4.082011333333333</v>
      </c>
      <c r="AR77" s="56">
        <v>14.94</v>
      </c>
      <c r="AS77" s="56">
        <v>16.439999999999969</v>
      </c>
      <c r="AT77" s="62">
        <v>20.679999999999939</v>
      </c>
      <c r="AV77" s="64">
        <v>3.7280353500000012</v>
      </c>
      <c r="AW77" s="56">
        <v>14.32000000000002</v>
      </c>
      <c r="AX77" s="56">
        <v>15.859999999999991</v>
      </c>
      <c r="AY77" s="62">
        <v>20.739999999999981</v>
      </c>
      <c r="BA77" s="64">
        <v>3.181494733333333</v>
      </c>
      <c r="BB77" s="56">
        <v>16.640000000000029</v>
      </c>
      <c r="BC77" s="56">
        <v>19.140000000000072</v>
      </c>
      <c r="BD77" s="62">
        <v>31.24000000000002</v>
      </c>
      <c r="BF77" s="64">
        <v>2.9155221166666658</v>
      </c>
      <c r="BG77" s="56">
        <v>20.48000000000005</v>
      </c>
      <c r="BH77" s="56">
        <v>27.34000000000005</v>
      </c>
      <c r="BI77" s="62">
        <v>57.66</v>
      </c>
      <c r="BJ77" s="69"/>
      <c r="BK77" s="51"/>
    </row>
    <row r="78" spans="1:63" x14ac:dyDescent="0.4">
      <c r="A78" s="11" t="s">
        <v>157</v>
      </c>
      <c r="B78" s="4"/>
      <c r="C78" s="4"/>
      <c r="D78" s="4"/>
      <c r="E78" s="12"/>
      <c r="G78" s="147" t="s">
        <v>157</v>
      </c>
      <c r="H78" s="159">
        <v>70.040999999999997</v>
      </c>
      <c r="I78" s="153">
        <v>70.260000000000005</v>
      </c>
      <c r="J78" s="153">
        <v>70.27</v>
      </c>
      <c r="K78" s="153">
        <v>70.290000000000006</v>
      </c>
      <c r="L78" s="153">
        <v>70.290000000000006</v>
      </c>
      <c r="M78" s="80">
        <f t="shared" si="2"/>
        <v>70.290000000000006</v>
      </c>
      <c r="N78" s="80">
        <f t="shared" si="3"/>
        <v>70.260000000000005</v>
      </c>
      <c r="O78" s="153">
        <v>21.07</v>
      </c>
      <c r="P78" s="153">
        <v>20.99</v>
      </c>
      <c r="Q78" s="153">
        <v>21.09</v>
      </c>
      <c r="R78" s="153">
        <v>21.08</v>
      </c>
      <c r="S78" s="4"/>
      <c r="U78" s="147" t="s">
        <v>157</v>
      </c>
      <c r="V78" s="19"/>
      <c r="W78" s="20"/>
      <c r="X78" s="22"/>
      <c r="Y78" s="31"/>
      <c r="Z78" s="20"/>
      <c r="AA78" s="21"/>
      <c r="AB78" s="19"/>
      <c r="AC78" s="20"/>
      <c r="AD78" s="22"/>
      <c r="AE78" s="13"/>
      <c r="AF78" s="14">
        <v>5.0162000000000004</v>
      </c>
      <c r="AG78" s="133"/>
      <c r="AI78" s="84"/>
      <c r="AL78" s="74">
        <v>4.1713672499999994</v>
      </c>
      <c r="AM78" s="75">
        <v>14.739999999999929</v>
      </c>
      <c r="AN78" s="75">
        <v>16.759999999999842</v>
      </c>
      <c r="AO78" s="78">
        <v>23.02</v>
      </c>
      <c r="AP78" s="82"/>
      <c r="AQ78" s="74">
        <v>4.0832645666666672</v>
      </c>
      <c r="AR78" s="75">
        <v>14.400000000000009</v>
      </c>
      <c r="AS78" s="75">
        <v>15.90000000000007</v>
      </c>
      <c r="AT78" s="78">
        <v>20.080000000000101</v>
      </c>
      <c r="AU78" s="82"/>
      <c r="AV78" s="74">
        <v>3.7305766500000002</v>
      </c>
      <c r="AW78" s="75">
        <v>13.81999999999994</v>
      </c>
      <c r="AX78" s="75">
        <v>15.32</v>
      </c>
      <c r="AY78" s="78">
        <v>20.16</v>
      </c>
      <c r="AZ78" s="82"/>
      <c r="BA78" s="74">
        <v>3.1896895999999999</v>
      </c>
      <c r="BB78" s="75">
        <v>16.220000000000031</v>
      </c>
      <c r="BC78" s="75">
        <v>18.680000000000071</v>
      </c>
      <c r="BD78" s="78">
        <v>30.54000000000006</v>
      </c>
      <c r="BE78" s="82"/>
      <c r="BF78" s="74">
        <v>2.929324316666666</v>
      </c>
      <c r="BG78" s="75">
        <v>20.099999999999959</v>
      </c>
      <c r="BH78" s="75">
        <v>26.799999999999979</v>
      </c>
      <c r="BI78" s="78">
        <v>55.820000000000022</v>
      </c>
      <c r="BJ78" s="70"/>
      <c r="BK78" s="51"/>
    </row>
    <row r="79" spans="1:63" x14ac:dyDescent="0.4">
      <c r="A79" s="11" t="s">
        <v>158</v>
      </c>
      <c r="B79" s="4"/>
      <c r="C79" s="4"/>
      <c r="D79" s="4"/>
      <c r="E79" s="12"/>
      <c r="G79" s="147" t="s">
        <v>158</v>
      </c>
      <c r="H79" s="159">
        <v>70.072999999999993</v>
      </c>
      <c r="I79" s="153">
        <v>70.31</v>
      </c>
      <c r="J79" s="153">
        <v>70.37</v>
      </c>
      <c r="K79" s="153">
        <v>70.38</v>
      </c>
      <c r="L79" s="153">
        <v>70.33</v>
      </c>
      <c r="M79" s="80">
        <f t="shared" si="2"/>
        <v>70.38</v>
      </c>
      <c r="N79" s="80">
        <f t="shared" si="3"/>
        <v>70.31</v>
      </c>
      <c r="O79" s="153">
        <v>21.14</v>
      </c>
      <c r="P79" s="153">
        <v>20.96</v>
      </c>
      <c r="Q79" s="153">
        <v>21.09</v>
      </c>
      <c r="R79" s="153">
        <v>21.02</v>
      </c>
      <c r="S79" s="4"/>
      <c r="U79" s="147" t="s">
        <v>158</v>
      </c>
      <c r="V79" s="11"/>
      <c r="W79" s="4"/>
      <c r="X79" s="12"/>
      <c r="Y79" s="14"/>
      <c r="Z79" s="4"/>
      <c r="AA79" s="13"/>
      <c r="AB79" s="11"/>
      <c r="AC79" s="4"/>
      <c r="AD79" s="12"/>
      <c r="AE79" s="13"/>
      <c r="AF79" s="14">
        <v>5.0156999999999998</v>
      </c>
      <c r="AG79" s="133"/>
      <c r="AI79" s="84"/>
      <c r="AL79" s="74">
        <v>4.1716646333333331</v>
      </c>
      <c r="AM79" s="75">
        <v>15.32</v>
      </c>
      <c r="AN79" s="75">
        <v>17.319999999999961</v>
      </c>
      <c r="AO79" s="78">
        <v>23.659999999999929</v>
      </c>
      <c r="AP79" s="82"/>
      <c r="AQ79" s="74">
        <v>4.080608316666666</v>
      </c>
      <c r="AR79" s="75">
        <v>14.43999999999992</v>
      </c>
      <c r="AS79" s="75">
        <v>15.89999999999989</v>
      </c>
      <c r="AT79" s="78">
        <v>20.07999999999992</v>
      </c>
      <c r="AU79" s="82"/>
      <c r="AV79" s="74">
        <v>3.7276811166666661</v>
      </c>
      <c r="AW79" s="75">
        <v>13.839999999999989</v>
      </c>
      <c r="AX79" s="75">
        <v>15.32</v>
      </c>
      <c r="AY79" s="78">
        <v>20.14000000000005</v>
      </c>
      <c r="AZ79" s="82"/>
      <c r="BA79" s="74">
        <v>3.1868438166666668</v>
      </c>
      <c r="BB79" s="75">
        <v>16.220000000000031</v>
      </c>
      <c r="BC79" s="75">
        <v>18.63999999999999</v>
      </c>
      <c r="BD79" s="78">
        <v>30.440000000000019</v>
      </c>
      <c r="BE79" s="82"/>
      <c r="BF79" s="74">
        <v>2.9254418333333341</v>
      </c>
      <c r="BG79" s="75">
        <v>20.2</v>
      </c>
      <c r="BH79" s="75">
        <v>26.999999999999961</v>
      </c>
      <c r="BI79" s="78">
        <v>56.159999999999947</v>
      </c>
      <c r="BJ79" s="70"/>
      <c r="BK79" s="51"/>
    </row>
    <row r="80" spans="1:63" x14ac:dyDescent="0.4">
      <c r="A80" s="11" t="s">
        <v>159</v>
      </c>
      <c r="B80" s="4"/>
      <c r="C80" s="4"/>
      <c r="D80" s="4"/>
      <c r="E80" s="12"/>
      <c r="G80" s="147" t="s">
        <v>159</v>
      </c>
      <c r="H80" s="159">
        <v>70.048000000000002</v>
      </c>
      <c r="I80" s="153">
        <v>70.36</v>
      </c>
      <c r="J80" s="153">
        <v>70.34</v>
      </c>
      <c r="K80" s="153">
        <v>70.349999999999994</v>
      </c>
      <c r="L80" s="153">
        <v>70.349999999999994</v>
      </c>
      <c r="M80" s="80">
        <f t="shared" si="2"/>
        <v>70.36</v>
      </c>
      <c r="N80" s="80">
        <f t="shared" si="3"/>
        <v>70.34</v>
      </c>
      <c r="O80" s="153">
        <v>21.09</v>
      </c>
      <c r="P80" s="153">
        <v>20.99</v>
      </c>
      <c r="Q80" s="153">
        <v>21.09</v>
      </c>
      <c r="R80" s="153">
        <v>21.06</v>
      </c>
      <c r="S80" s="4"/>
      <c r="U80" s="147" t="s">
        <v>159</v>
      </c>
      <c r="V80" s="11"/>
      <c r="W80" s="4"/>
      <c r="X80" s="12"/>
      <c r="Y80" s="14"/>
      <c r="Z80" s="4"/>
      <c r="AA80" s="13"/>
      <c r="AB80" s="11"/>
      <c r="AC80" s="4"/>
      <c r="AD80" s="12"/>
      <c r="AE80" s="13"/>
      <c r="AF80" s="14">
        <v>5.0248999999999997</v>
      </c>
      <c r="AG80" s="133"/>
      <c r="AI80" s="84"/>
      <c r="AL80" s="64">
        <v>4.1714855833333333</v>
      </c>
      <c r="AM80" s="56">
        <v>14.460000000000051</v>
      </c>
      <c r="AN80" s="56">
        <v>16.36000000000006</v>
      </c>
      <c r="AO80" s="62">
        <v>22.519999999999921</v>
      </c>
      <c r="AQ80" s="64">
        <v>4.0806660333333324</v>
      </c>
      <c r="AR80" s="56">
        <v>13.49999999999998</v>
      </c>
      <c r="AS80" s="56">
        <v>14.900000000000089</v>
      </c>
      <c r="AT80" s="62">
        <v>18.86000000000001</v>
      </c>
      <c r="AV80" s="64">
        <v>3.7274213833333341</v>
      </c>
      <c r="AW80" s="56">
        <v>13.060000000000031</v>
      </c>
      <c r="AX80" s="56">
        <v>14.460000000000051</v>
      </c>
      <c r="AY80" s="62">
        <v>19.08000000000003</v>
      </c>
      <c r="BA80" s="64">
        <v>3.1882193000000001</v>
      </c>
      <c r="BB80" s="56">
        <v>15.78</v>
      </c>
      <c r="BC80" s="56">
        <v>18.15999999999995</v>
      </c>
      <c r="BD80" s="62">
        <v>29.819999999999961</v>
      </c>
      <c r="BF80" s="64">
        <v>2.9287314833333329</v>
      </c>
      <c r="BG80" s="56">
        <v>19.80000000000004</v>
      </c>
      <c r="BH80" s="56">
        <v>26.900000000000009</v>
      </c>
      <c r="BI80" s="62">
        <v>56.419999999999959</v>
      </c>
      <c r="BJ80" s="69"/>
      <c r="BK80" s="51"/>
    </row>
    <row r="81" spans="1:63" x14ac:dyDescent="0.4">
      <c r="A81" s="11" t="s">
        <v>160</v>
      </c>
      <c r="B81" s="4"/>
      <c r="C81" s="4"/>
      <c r="D81" s="4"/>
      <c r="E81" s="12"/>
      <c r="G81" s="147" t="s">
        <v>160</v>
      </c>
      <c r="H81" s="159">
        <v>70.024000000000001</v>
      </c>
      <c r="I81" s="153">
        <v>70.31</v>
      </c>
      <c r="J81" s="153">
        <v>70.36</v>
      </c>
      <c r="K81" s="153">
        <v>70.34</v>
      </c>
      <c r="L81" s="153">
        <v>70.349999999999994</v>
      </c>
      <c r="M81" s="80">
        <f t="shared" si="2"/>
        <v>70.36</v>
      </c>
      <c r="N81" s="80">
        <f t="shared" si="3"/>
        <v>70.31</v>
      </c>
      <c r="O81" s="153">
        <v>21.05</v>
      </c>
      <c r="P81" s="153">
        <v>20.99</v>
      </c>
      <c r="Q81" s="153">
        <v>21.1</v>
      </c>
      <c r="R81" s="153">
        <v>21.07</v>
      </c>
      <c r="S81" s="4"/>
      <c r="U81" s="147" t="s">
        <v>160</v>
      </c>
      <c r="V81" s="11"/>
      <c r="W81" s="4"/>
      <c r="X81" s="12"/>
      <c r="Y81" s="14"/>
      <c r="Z81" s="4"/>
      <c r="AA81" s="13"/>
      <c r="AB81" s="11"/>
      <c r="AC81" s="4"/>
      <c r="AD81" s="12"/>
      <c r="AE81" s="13"/>
      <c r="AF81" s="14">
        <v>5.0114000000000001</v>
      </c>
      <c r="AG81" s="133"/>
      <c r="AI81" s="84"/>
      <c r="AL81" s="64">
        <v>4.1715889833333328</v>
      </c>
      <c r="AM81" s="56">
        <v>15.360000000000079</v>
      </c>
      <c r="AN81" s="56">
        <v>17.360000000000039</v>
      </c>
      <c r="AO81" s="62">
        <v>23.659999999999929</v>
      </c>
      <c r="AQ81" s="64">
        <v>4.0805661499999992</v>
      </c>
      <c r="AR81" s="56">
        <v>14.37999999999988</v>
      </c>
      <c r="AS81" s="56">
        <v>15.839999999999851</v>
      </c>
      <c r="AT81" s="62">
        <v>20.059999999999881</v>
      </c>
      <c r="AV81" s="64">
        <v>3.7270242166666669</v>
      </c>
      <c r="AW81" s="56">
        <v>13.86000000000003</v>
      </c>
      <c r="AX81" s="56">
        <v>15.340000000000041</v>
      </c>
      <c r="AY81" s="62">
        <v>20.180000000000039</v>
      </c>
      <c r="BA81" s="64">
        <v>3.183537166666667</v>
      </c>
      <c r="BB81" s="56">
        <v>16.320000000000071</v>
      </c>
      <c r="BC81" s="56">
        <v>18.800000000000061</v>
      </c>
      <c r="BD81" s="62">
        <v>30.76000000000008</v>
      </c>
      <c r="BF81" s="64">
        <v>2.9264464499999998</v>
      </c>
      <c r="BG81" s="56">
        <v>20.319999999999979</v>
      </c>
      <c r="BH81" s="56">
        <v>27.24000000000002</v>
      </c>
      <c r="BI81" s="62">
        <v>56.59999999999998</v>
      </c>
      <c r="BJ81" s="69"/>
      <c r="BK81" s="51"/>
    </row>
    <row r="82" spans="1:63" x14ac:dyDescent="0.4">
      <c r="A82" s="11" t="s">
        <v>161</v>
      </c>
      <c r="B82" s="4"/>
      <c r="C82" s="4"/>
      <c r="D82" s="4"/>
      <c r="E82" s="12"/>
      <c r="G82" s="147" t="s">
        <v>161</v>
      </c>
      <c r="H82" s="159">
        <v>70.084000000000003</v>
      </c>
      <c r="I82" s="153">
        <v>70.39</v>
      </c>
      <c r="J82" s="153">
        <v>70.36</v>
      </c>
      <c r="K82" s="153">
        <v>70.33</v>
      </c>
      <c r="L82" s="153">
        <v>70.33</v>
      </c>
      <c r="M82" s="80">
        <f t="shared" si="2"/>
        <v>70.39</v>
      </c>
      <c r="N82" s="80">
        <f t="shared" si="3"/>
        <v>70.33</v>
      </c>
      <c r="O82" s="153">
        <v>20.95</v>
      </c>
      <c r="P82" s="153">
        <v>20.92</v>
      </c>
      <c r="Q82" s="153">
        <v>21.07</v>
      </c>
      <c r="R82" s="153">
        <v>21.06</v>
      </c>
      <c r="S82" s="4"/>
      <c r="U82" s="147" t="s">
        <v>161</v>
      </c>
      <c r="V82" s="11"/>
      <c r="W82" s="4"/>
      <c r="X82" s="12"/>
      <c r="Y82" s="14"/>
      <c r="Z82" s="4"/>
      <c r="AA82" s="13"/>
      <c r="AB82" s="11"/>
      <c r="AC82" s="4"/>
      <c r="AD82" s="12"/>
      <c r="AE82" s="13"/>
      <c r="AF82" s="14">
        <v>5.0137999999999998</v>
      </c>
      <c r="AG82" s="133"/>
      <c r="AI82" s="84"/>
      <c r="AL82" s="74">
        <v>4.171681033333333</v>
      </c>
      <c r="AM82" s="75">
        <v>15.4399999999999</v>
      </c>
      <c r="AN82" s="75">
        <v>17.47999999999994</v>
      </c>
      <c r="AO82" s="78">
        <v>23.75999999999987</v>
      </c>
      <c r="AP82" s="82"/>
      <c r="AQ82" s="74">
        <v>4.0814176333333343</v>
      </c>
      <c r="AR82" s="75">
        <v>14.74000000000011</v>
      </c>
      <c r="AS82" s="75">
        <v>16.259999999999941</v>
      </c>
      <c r="AT82" s="78">
        <v>20.460000000000012</v>
      </c>
      <c r="AU82" s="82"/>
      <c r="AV82" s="74">
        <v>3.7282774833333332</v>
      </c>
      <c r="AW82" s="75">
        <v>14.14</v>
      </c>
      <c r="AX82" s="75">
        <v>15.660000000000011</v>
      </c>
      <c r="AY82" s="78">
        <v>20.54</v>
      </c>
      <c r="AZ82" s="82"/>
      <c r="BA82" s="74">
        <v>3.1843776500000009</v>
      </c>
      <c r="BB82" s="75">
        <v>16.420000000000009</v>
      </c>
      <c r="BC82" s="75">
        <v>18.920000000000051</v>
      </c>
      <c r="BD82" s="78">
        <v>30.860000000000021</v>
      </c>
      <c r="BE82" s="82"/>
      <c r="BF82" s="74">
        <v>2.9101346499999998</v>
      </c>
      <c r="BG82" s="75">
        <v>20.319999999999979</v>
      </c>
      <c r="BH82" s="75">
        <v>26.839999999999971</v>
      </c>
      <c r="BI82" s="78">
        <v>57.24</v>
      </c>
      <c r="BJ82" s="70"/>
      <c r="BK82" s="51"/>
    </row>
    <row r="83" spans="1:63" x14ac:dyDescent="0.4">
      <c r="A83" s="11" t="s">
        <v>162</v>
      </c>
      <c r="B83" s="4"/>
      <c r="C83" s="4"/>
      <c r="D83" s="4"/>
      <c r="E83" s="12"/>
      <c r="G83" s="147" t="s">
        <v>162</v>
      </c>
      <c r="H83" s="159">
        <v>70.033000000000001</v>
      </c>
      <c r="I83" s="153">
        <v>70.349999999999994</v>
      </c>
      <c r="J83" s="153">
        <v>70.3</v>
      </c>
      <c r="K83" s="153">
        <v>70.28</v>
      </c>
      <c r="L83" s="153">
        <v>70.27</v>
      </c>
      <c r="M83" s="80">
        <f t="shared" si="2"/>
        <v>70.349999999999994</v>
      </c>
      <c r="N83" s="80">
        <f t="shared" si="3"/>
        <v>70.27</v>
      </c>
      <c r="O83" s="153">
        <v>21.07</v>
      </c>
      <c r="P83" s="153">
        <v>21.03</v>
      </c>
      <c r="Q83" s="153">
        <v>21.12</v>
      </c>
      <c r="R83" s="153">
        <v>21.06</v>
      </c>
      <c r="S83" s="4"/>
      <c r="U83" s="147" t="s">
        <v>162</v>
      </c>
      <c r="V83" s="11"/>
      <c r="W83" s="4"/>
      <c r="X83" s="12"/>
      <c r="Y83" s="14"/>
      <c r="Z83" s="4"/>
      <c r="AA83" s="13"/>
      <c r="AB83" s="11"/>
      <c r="AC83" s="4"/>
      <c r="AD83" s="12"/>
      <c r="AE83" s="13"/>
      <c r="AF83" s="14">
        <v>5.0111999999999997</v>
      </c>
      <c r="AG83" s="133"/>
      <c r="AI83" s="84"/>
      <c r="AL83" s="64">
        <v>4.1718400666666664</v>
      </c>
      <c r="AM83" s="56">
        <v>15.50000000000011</v>
      </c>
      <c r="AN83" s="56">
        <v>17.539999999999981</v>
      </c>
      <c r="AO83" s="62">
        <v>23.960000000000111</v>
      </c>
      <c r="AQ83" s="64">
        <v>4.0823016833333341</v>
      </c>
      <c r="AR83" s="56">
        <v>14.959999999999949</v>
      </c>
      <c r="AS83" s="56">
        <v>16.460000000000012</v>
      </c>
      <c r="AT83" s="62">
        <v>20.680000000000032</v>
      </c>
      <c r="AV83" s="64">
        <v>3.7287633833333338</v>
      </c>
      <c r="AW83" s="56">
        <v>14.360000000000021</v>
      </c>
      <c r="AX83" s="56">
        <v>15.880000000000029</v>
      </c>
      <c r="AY83" s="62">
        <v>20.760000000000019</v>
      </c>
      <c r="BA83" s="64">
        <v>3.1847013166666658</v>
      </c>
      <c r="BB83" s="56">
        <v>16.72000000000002</v>
      </c>
      <c r="BC83" s="56">
        <v>19.21999999999997</v>
      </c>
      <c r="BD83" s="62">
        <v>31.24000000000002</v>
      </c>
      <c r="BF83" s="64">
        <v>2.9172537333333342</v>
      </c>
      <c r="BG83" s="56">
        <v>20.61999999999999</v>
      </c>
      <c r="BH83" s="56">
        <v>27.339999999999961</v>
      </c>
      <c r="BI83" s="62">
        <v>57.460000000000022</v>
      </c>
      <c r="BJ83" s="69"/>
      <c r="BK83" s="51"/>
    </row>
    <row r="84" spans="1:63" x14ac:dyDescent="0.4">
      <c r="A84" s="11" t="s">
        <v>163</v>
      </c>
      <c r="B84" s="4"/>
      <c r="C84" s="4"/>
      <c r="D84" s="4"/>
      <c r="E84" s="12"/>
      <c r="G84" s="147" t="s">
        <v>163</v>
      </c>
      <c r="H84" s="159">
        <v>70.003</v>
      </c>
      <c r="I84" s="153">
        <v>70.39</v>
      </c>
      <c r="J84" s="153">
        <v>70.34</v>
      </c>
      <c r="K84" s="153">
        <v>70.31</v>
      </c>
      <c r="L84" s="153">
        <v>70.3</v>
      </c>
      <c r="M84" s="80">
        <f t="shared" si="2"/>
        <v>70.39</v>
      </c>
      <c r="N84" s="80">
        <f t="shared" si="3"/>
        <v>70.3</v>
      </c>
      <c r="O84" s="153">
        <v>21.06</v>
      </c>
      <c r="P84" s="153">
        <v>21.03</v>
      </c>
      <c r="Q84" s="153">
        <v>21.07</v>
      </c>
      <c r="R84" s="153">
        <v>21.04</v>
      </c>
      <c r="S84" s="4"/>
      <c r="U84" s="147" t="s">
        <v>163</v>
      </c>
      <c r="V84" s="11"/>
      <c r="W84" s="4"/>
      <c r="X84" s="12"/>
      <c r="Y84" s="14"/>
      <c r="Z84" s="4"/>
      <c r="AA84" s="13"/>
      <c r="AB84" s="11"/>
      <c r="AC84" s="4"/>
      <c r="AD84" s="12"/>
      <c r="AE84" s="13"/>
      <c r="AF84" s="14">
        <v>5.0278999999999998</v>
      </c>
      <c r="AG84" s="133"/>
      <c r="AI84" s="84"/>
      <c r="AL84" s="64">
        <v>4.1718773333333328</v>
      </c>
      <c r="AM84" s="56">
        <v>14.1</v>
      </c>
      <c r="AN84" s="56">
        <v>16.039999999999921</v>
      </c>
      <c r="AO84" s="62">
        <v>22.240000000000041</v>
      </c>
      <c r="AQ84" s="64">
        <v>4.08183585</v>
      </c>
      <c r="AR84" s="56">
        <v>13.480000000000031</v>
      </c>
      <c r="AS84" s="56">
        <v>14.87999999999996</v>
      </c>
      <c r="AT84" s="62">
        <v>18.86000000000001</v>
      </c>
      <c r="AV84" s="64">
        <v>3.7281442999999999</v>
      </c>
      <c r="AW84" s="56">
        <v>13.02000000000003</v>
      </c>
      <c r="AX84" s="56">
        <v>14.42000000000005</v>
      </c>
      <c r="AY84" s="62">
        <v>19.019999999999989</v>
      </c>
      <c r="BA84" s="64">
        <v>3.1881271999999998</v>
      </c>
      <c r="BB84" s="56">
        <v>15.96000000000002</v>
      </c>
      <c r="BC84" s="56">
        <v>18.379999999999971</v>
      </c>
      <c r="BD84" s="62">
        <v>30.119999999999969</v>
      </c>
      <c r="BF84" s="64">
        <v>2.9294688</v>
      </c>
      <c r="BG84" s="56">
        <v>19.859999999999989</v>
      </c>
      <c r="BH84" s="56">
        <v>26.580000000000052</v>
      </c>
      <c r="BI84" s="62">
        <v>55.460000000000058</v>
      </c>
      <c r="BJ84" s="69"/>
      <c r="BK84" s="51"/>
    </row>
    <row r="85" spans="1:63" x14ac:dyDescent="0.4">
      <c r="A85" s="11" t="s">
        <v>164</v>
      </c>
      <c r="B85" s="4"/>
      <c r="C85" s="4"/>
      <c r="D85" s="4"/>
      <c r="E85" s="12"/>
      <c r="G85" s="147" t="s">
        <v>164</v>
      </c>
      <c r="H85" s="159">
        <v>70.084000000000003</v>
      </c>
      <c r="I85" s="153">
        <v>70.319999999999993</v>
      </c>
      <c r="J85" s="153">
        <v>70.36</v>
      </c>
      <c r="K85" s="153">
        <v>70.38</v>
      </c>
      <c r="L85" s="153">
        <v>70.36</v>
      </c>
      <c r="M85" s="80">
        <f t="shared" si="2"/>
        <v>70.38</v>
      </c>
      <c r="N85" s="80">
        <f t="shared" si="3"/>
        <v>70.319999999999993</v>
      </c>
      <c r="O85" s="153">
        <v>21.03</v>
      </c>
      <c r="P85" s="153">
        <v>20.98</v>
      </c>
      <c r="Q85" s="153">
        <v>21.11</v>
      </c>
      <c r="R85" s="153">
        <v>21.05</v>
      </c>
      <c r="S85" s="4"/>
      <c r="U85" s="147" t="s">
        <v>164</v>
      </c>
      <c r="V85" s="11"/>
      <c r="W85" s="4"/>
      <c r="X85" s="12"/>
      <c r="Y85" s="14"/>
      <c r="Z85" s="4"/>
      <c r="AA85" s="13"/>
      <c r="AB85" s="11"/>
      <c r="AC85" s="4"/>
      <c r="AD85" s="12"/>
      <c r="AE85" s="13"/>
      <c r="AF85" s="14">
        <v>5.0335000000000001</v>
      </c>
      <c r="AG85" s="133"/>
      <c r="AI85" s="84"/>
      <c r="AL85" s="64">
        <v>4.1719230666666656</v>
      </c>
      <c r="AM85" s="56">
        <v>14.60000000000008</v>
      </c>
      <c r="AN85" s="56">
        <v>16.559999999999949</v>
      </c>
      <c r="AO85" s="62">
        <v>22.719999999999981</v>
      </c>
      <c r="AQ85" s="64">
        <v>4.0811654500000003</v>
      </c>
      <c r="AR85" s="56">
        <v>13.679999999999909</v>
      </c>
      <c r="AS85" s="56">
        <v>15.09999999999998</v>
      </c>
      <c r="AT85" s="62">
        <v>19.09999999999998</v>
      </c>
      <c r="AV85" s="64">
        <v>3.7287565500000008</v>
      </c>
      <c r="AW85" s="56">
        <v>13.239999999999959</v>
      </c>
      <c r="AX85" s="56">
        <v>14.65999999999994</v>
      </c>
      <c r="AY85" s="62">
        <v>19.32</v>
      </c>
      <c r="BA85" s="64">
        <v>3.1897130499999991</v>
      </c>
      <c r="BB85" s="56">
        <v>15.58000000000002</v>
      </c>
      <c r="BC85" s="56">
        <v>17.960000000000061</v>
      </c>
      <c r="BD85" s="62">
        <v>29.48000000000004</v>
      </c>
      <c r="BF85" s="64">
        <v>2.9180269666666669</v>
      </c>
      <c r="BG85" s="56">
        <v>19.460000000000029</v>
      </c>
      <c r="BH85" s="56">
        <v>26.40000000000002</v>
      </c>
      <c r="BI85" s="62">
        <v>56.380000000000052</v>
      </c>
      <c r="BJ85" s="69"/>
      <c r="BK85" s="51"/>
    </row>
    <row r="86" spans="1:63" x14ac:dyDescent="0.4">
      <c r="A86" s="11" t="s">
        <v>165</v>
      </c>
      <c r="B86" s="4"/>
      <c r="C86" s="4"/>
      <c r="D86" s="4"/>
      <c r="E86" s="12"/>
      <c r="G86" s="147" t="s">
        <v>165</v>
      </c>
      <c r="H86" s="159">
        <v>70.143000000000001</v>
      </c>
      <c r="I86" s="153">
        <v>70.3</v>
      </c>
      <c r="J86" s="153">
        <v>70.349999999999994</v>
      </c>
      <c r="K86" s="153">
        <v>70.34</v>
      </c>
      <c r="L86" s="153">
        <v>70.25</v>
      </c>
      <c r="M86" s="80">
        <f t="shared" si="2"/>
        <v>70.349999999999994</v>
      </c>
      <c r="N86" s="80">
        <f t="shared" si="3"/>
        <v>70.25</v>
      </c>
      <c r="O86" s="153">
        <v>21.05</v>
      </c>
      <c r="P86" s="153">
        <v>20.98</v>
      </c>
      <c r="Q86" s="153">
        <v>21.1</v>
      </c>
      <c r="R86" s="153">
        <v>21.07</v>
      </c>
      <c r="S86" s="4"/>
      <c r="U86" s="147" t="s">
        <v>165</v>
      </c>
      <c r="V86" s="11"/>
      <c r="W86" s="4"/>
      <c r="X86" s="12"/>
      <c r="Y86" s="14"/>
      <c r="Z86" s="4"/>
      <c r="AA86" s="13"/>
      <c r="AB86" s="11"/>
      <c r="AC86" s="4"/>
      <c r="AD86" s="12"/>
      <c r="AE86" s="13"/>
      <c r="AF86" s="14">
        <v>5.0023999999999997</v>
      </c>
      <c r="AG86" s="133"/>
      <c r="AI86" s="84"/>
      <c r="AL86" s="64">
        <v>4.1721035833333344</v>
      </c>
      <c r="AM86" s="56">
        <v>14.26000000000016</v>
      </c>
      <c r="AN86" s="56">
        <v>16.16</v>
      </c>
      <c r="AO86" s="62">
        <v>22.34000000000016</v>
      </c>
      <c r="AQ86" s="64">
        <v>4.0811594333333332</v>
      </c>
      <c r="AR86" s="56">
        <v>13.320000000000039</v>
      </c>
      <c r="AS86" s="56">
        <v>14.680000000000071</v>
      </c>
      <c r="AT86" s="62">
        <v>18.679999999999989</v>
      </c>
      <c r="AV86" s="64">
        <v>3.7278607166666662</v>
      </c>
      <c r="AW86" s="56">
        <v>12.73999999999997</v>
      </c>
      <c r="AX86" s="56">
        <v>14.14</v>
      </c>
      <c r="AY86" s="62">
        <v>18.719999999999981</v>
      </c>
      <c r="BA86" s="64">
        <v>3.1843083333333331</v>
      </c>
      <c r="BB86" s="56">
        <v>15.30000000000005</v>
      </c>
      <c r="BC86" s="56">
        <v>17.72</v>
      </c>
      <c r="BD86" s="62">
        <v>29.42</v>
      </c>
      <c r="BF86" s="64">
        <v>2.9227596500000002</v>
      </c>
      <c r="BG86" s="56">
        <v>19.25999999999997</v>
      </c>
      <c r="BH86" s="56">
        <v>26.140000000000011</v>
      </c>
      <c r="BI86" s="62">
        <v>55.959999999999972</v>
      </c>
      <c r="BJ86" s="69"/>
      <c r="BK86" s="51"/>
    </row>
    <row r="87" spans="1:63" x14ac:dyDescent="0.4">
      <c r="A87" s="11" t="s">
        <v>166</v>
      </c>
      <c r="B87" s="4"/>
      <c r="C87" s="4"/>
      <c r="D87" s="4"/>
      <c r="E87" s="12"/>
      <c r="G87" s="147" t="s">
        <v>166</v>
      </c>
      <c r="H87" s="159">
        <v>70.013999999999996</v>
      </c>
      <c r="I87" s="153">
        <v>70.319999999999993</v>
      </c>
      <c r="J87" s="153">
        <v>70.36</v>
      </c>
      <c r="K87" s="153">
        <v>70.34</v>
      </c>
      <c r="L87" s="153">
        <v>70.34</v>
      </c>
      <c r="M87" s="80">
        <f t="shared" si="2"/>
        <v>70.36</v>
      </c>
      <c r="N87" s="80">
        <f t="shared" si="3"/>
        <v>70.319999999999993</v>
      </c>
      <c r="O87" s="153">
        <v>21.02</v>
      </c>
      <c r="P87" s="153">
        <v>21</v>
      </c>
      <c r="Q87" s="153">
        <v>21.08</v>
      </c>
      <c r="R87" s="153">
        <v>21.06</v>
      </c>
      <c r="S87" s="4"/>
      <c r="U87" s="147" t="s">
        <v>166</v>
      </c>
      <c r="V87" s="11"/>
      <c r="W87" s="4"/>
      <c r="X87" s="12"/>
      <c r="Y87" s="14"/>
      <c r="Z87" s="4"/>
      <c r="AA87" s="13"/>
      <c r="AB87" s="11"/>
      <c r="AC87" s="4"/>
      <c r="AD87" s="12"/>
      <c r="AE87" s="13"/>
      <c r="AF87" s="14">
        <v>4.9934000000000003</v>
      </c>
      <c r="AG87" s="133"/>
      <c r="AI87" s="84"/>
      <c r="AL87" s="64">
        <v>4.1726888500000001</v>
      </c>
      <c r="AM87" s="56">
        <v>15.259999999999961</v>
      </c>
      <c r="AN87" s="56">
        <v>17.25999999999992</v>
      </c>
      <c r="AO87" s="62">
        <v>23.439999999999909</v>
      </c>
      <c r="AQ87" s="64">
        <v>4.0816164166666669</v>
      </c>
      <c r="AR87" s="56">
        <v>14.719999999999979</v>
      </c>
      <c r="AS87" s="56">
        <v>16.21999999999986</v>
      </c>
      <c r="AT87" s="62">
        <v>20.439999999999969</v>
      </c>
      <c r="AV87" s="64">
        <v>3.7274797999999998</v>
      </c>
      <c r="AW87" s="56">
        <v>14.079999999999959</v>
      </c>
      <c r="AX87" s="56">
        <v>15.599999999999969</v>
      </c>
      <c r="AY87" s="62">
        <v>20.439999999999969</v>
      </c>
      <c r="BA87" s="64">
        <v>3.1777961499999998</v>
      </c>
      <c r="BB87" s="56">
        <v>16.48000000000005</v>
      </c>
      <c r="BC87" s="56">
        <v>18.98</v>
      </c>
      <c r="BD87" s="62">
        <v>31.12000000000004</v>
      </c>
      <c r="BF87" s="64">
        <v>2.9140399833333328</v>
      </c>
      <c r="BG87" s="56">
        <v>20.340000000000021</v>
      </c>
      <c r="BH87" s="56">
        <v>27.120000000000029</v>
      </c>
      <c r="BI87" s="62">
        <v>57.52000000000006</v>
      </c>
      <c r="BJ87" s="69"/>
      <c r="BK87" s="51"/>
    </row>
    <row r="88" spans="1:63" x14ac:dyDescent="0.4">
      <c r="A88" s="11" t="s">
        <v>167</v>
      </c>
      <c r="B88" s="4"/>
      <c r="C88" s="4"/>
      <c r="D88" s="4"/>
      <c r="E88" s="12"/>
      <c r="G88" s="147" t="s">
        <v>167</v>
      </c>
      <c r="H88" s="159">
        <v>70.043999999999997</v>
      </c>
      <c r="I88" s="153">
        <v>70.349999999999994</v>
      </c>
      <c r="J88" s="153">
        <v>70.31</v>
      </c>
      <c r="K88" s="153">
        <v>70.349999999999994</v>
      </c>
      <c r="L88" s="153">
        <v>70.37</v>
      </c>
      <c r="M88" s="80">
        <f t="shared" si="2"/>
        <v>70.37</v>
      </c>
      <c r="N88" s="80">
        <f t="shared" si="3"/>
        <v>70.31</v>
      </c>
      <c r="O88" s="153">
        <v>21.04</v>
      </c>
      <c r="P88" s="153">
        <v>21.03</v>
      </c>
      <c r="Q88" s="153">
        <v>21.08</v>
      </c>
      <c r="R88" s="153">
        <v>21.07</v>
      </c>
      <c r="S88" s="4"/>
      <c r="U88" s="147" t="s">
        <v>167</v>
      </c>
      <c r="V88" s="11"/>
      <c r="W88" s="4"/>
      <c r="X88" s="12"/>
      <c r="Y88" s="14"/>
      <c r="Z88" s="4"/>
      <c r="AA88" s="13"/>
      <c r="AB88" s="11"/>
      <c r="AC88" s="4"/>
      <c r="AD88" s="12"/>
      <c r="AE88" s="13"/>
      <c r="AF88" s="14">
        <v>5.0087999999999999</v>
      </c>
      <c r="AG88" s="133"/>
      <c r="AI88" s="84"/>
      <c r="AL88" s="64">
        <v>4.1716965500000001</v>
      </c>
      <c r="AM88" s="56">
        <v>14.39999999999984</v>
      </c>
      <c r="AN88" s="56">
        <v>16.339999999999929</v>
      </c>
      <c r="AO88" s="62">
        <v>22.539999999999871</v>
      </c>
      <c r="AQ88" s="64">
        <v>4.0817040333333319</v>
      </c>
      <c r="AR88" s="56">
        <v>13.56000000000002</v>
      </c>
      <c r="AS88" s="56">
        <v>14.960000000000131</v>
      </c>
      <c r="AT88" s="62">
        <v>18.96000000000004</v>
      </c>
      <c r="AV88" s="64">
        <v>3.7276774833333328</v>
      </c>
      <c r="AW88" s="56">
        <v>12.999999999999989</v>
      </c>
      <c r="AX88" s="56">
        <v>14.41999999999997</v>
      </c>
      <c r="AY88" s="62">
        <v>19.08000000000003</v>
      </c>
      <c r="BA88" s="64">
        <v>3.185713816666667</v>
      </c>
      <c r="BB88" s="56">
        <v>15.54000000000002</v>
      </c>
      <c r="BC88" s="56">
        <v>17.95999999999998</v>
      </c>
      <c r="BD88" s="62">
        <v>29.8</v>
      </c>
      <c r="BF88" s="64">
        <v>2.9295939500000001</v>
      </c>
      <c r="BG88" s="56">
        <v>19.299999999999962</v>
      </c>
      <c r="BH88" s="56">
        <v>25.739999999999959</v>
      </c>
      <c r="BI88" s="62">
        <v>54.159999999999982</v>
      </c>
      <c r="BJ88" s="69"/>
      <c r="BK88" s="51"/>
    </row>
    <row r="89" spans="1:63" x14ac:dyDescent="0.4">
      <c r="A89" s="11" t="s">
        <v>168</v>
      </c>
      <c r="B89" s="4"/>
      <c r="C89" s="4"/>
      <c r="D89" s="4"/>
      <c r="E89" s="12"/>
      <c r="G89" s="147" t="s">
        <v>168</v>
      </c>
      <c r="H89" s="159">
        <v>69.971999999999994</v>
      </c>
      <c r="I89" s="153">
        <v>70.33</v>
      </c>
      <c r="J89" s="153">
        <v>70.319999999999993</v>
      </c>
      <c r="K89" s="153">
        <v>70.260000000000005</v>
      </c>
      <c r="L89" s="153">
        <v>70.290000000000006</v>
      </c>
      <c r="M89" s="80">
        <f t="shared" si="2"/>
        <v>70.33</v>
      </c>
      <c r="N89" s="80">
        <f t="shared" si="3"/>
        <v>70.260000000000005</v>
      </c>
      <c r="O89" s="153">
        <v>21.1</v>
      </c>
      <c r="P89" s="153">
        <v>21.01</v>
      </c>
      <c r="Q89" s="153">
        <v>21.07</v>
      </c>
      <c r="R89" s="153">
        <v>21.06</v>
      </c>
      <c r="S89" s="4"/>
      <c r="U89" s="147" t="s">
        <v>168</v>
      </c>
      <c r="V89" s="11"/>
      <c r="W89" s="4"/>
      <c r="X89" s="12"/>
      <c r="Y89" s="14"/>
      <c r="Z89" s="4"/>
      <c r="AA89" s="13"/>
      <c r="AB89" s="11"/>
      <c r="AC89" s="4"/>
      <c r="AD89" s="12"/>
      <c r="AE89" s="13"/>
      <c r="AF89" s="14">
        <v>5.0067000000000004</v>
      </c>
      <c r="AG89" s="133"/>
      <c r="AI89" s="84"/>
      <c r="AL89" s="64">
        <v>4.1720783833333339</v>
      </c>
      <c r="AM89" s="56">
        <v>15.28000000000009</v>
      </c>
      <c r="AN89" s="56">
        <v>17.320000000000139</v>
      </c>
      <c r="AO89" s="62">
        <v>23.70000000000001</v>
      </c>
      <c r="AQ89" s="64">
        <v>4.0823999333333338</v>
      </c>
      <c r="AR89" s="56">
        <v>14.5999999999999</v>
      </c>
      <c r="AS89" s="56">
        <v>16.099999999999959</v>
      </c>
      <c r="AT89" s="62">
        <v>20.339999999999939</v>
      </c>
      <c r="AV89" s="64">
        <v>3.7287579499999999</v>
      </c>
      <c r="AW89" s="56">
        <v>13.960000000000059</v>
      </c>
      <c r="AX89" s="56">
        <v>15.479999999999981</v>
      </c>
      <c r="AY89" s="62">
        <v>20.36000000000007</v>
      </c>
      <c r="BA89" s="64">
        <v>3.184962483333333</v>
      </c>
      <c r="BB89" s="56">
        <v>16.27999999999998</v>
      </c>
      <c r="BC89" s="56">
        <v>18.75999999999998</v>
      </c>
      <c r="BD89" s="62">
        <v>30.719999999999992</v>
      </c>
      <c r="BF89" s="64">
        <v>2.9295044666666672</v>
      </c>
      <c r="BG89" s="56">
        <v>20.219999999999949</v>
      </c>
      <c r="BH89" s="56">
        <v>27.219999999999981</v>
      </c>
      <c r="BI89" s="62">
        <v>56.579999999999941</v>
      </c>
      <c r="BJ89" s="69"/>
      <c r="BK89" s="51"/>
    </row>
    <row r="90" spans="1:63" x14ac:dyDescent="0.4">
      <c r="A90" s="11" t="s">
        <v>169</v>
      </c>
      <c r="B90" s="4"/>
      <c r="C90" s="4"/>
      <c r="D90" s="4"/>
      <c r="E90" s="12"/>
      <c r="G90" s="147" t="s">
        <v>169</v>
      </c>
      <c r="H90" s="159">
        <v>70.132999999999996</v>
      </c>
      <c r="I90" s="153">
        <v>70.319999999999993</v>
      </c>
      <c r="J90" s="153">
        <v>70.31</v>
      </c>
      <c r="K90" s="153">
        <v>70.3</v>
      </c>
      <c r="L90" s="153">
        <v>70.36</v>
      </c>
      <c r="M90" s="80">
        <f t="shared" si="2"/>
        <v>70.36</v>
      </c>
      <c r="N90" s="80">
        <f t="shared" si="3"/>
        <v>70.3</v>
      </c>
      <c r="O90" s="153">
        <v>21.01</v>
      </c>
      <c r="P90" s="153">
        <v>20.97</v>
      </c>
      <c r="Q90" s="153">
        <v>21.09</v>
      </c>
      <c r="R90" s="153">
        <v>21.03</v>
      </c>
      <c r="S90" s="4"/>
      <c r="U90" s="147" t="s">
        <v>169</v>
      </c>
      <c r="V90" s="11"/>
      <c r="W90" s="4"/>
      <c r="X90" s="12"/>
      <c r="Y90" s="14"/>
      <c r="Z90" s="4"/>
      <c r="AA90" s="13"/>
      <c r="AB90" s="11"/>
      <c r="AC90" s="4"/>
      <c r="AD90" s="12"/>
      <c r="AE90" s="13"/>
      <c r="AF90" s="14">
        <v>5.0340999999999996</v>
      </c>
      <c r="AG90" s="133"/>
      <c r="AI90" s="84"/>
      <c r="AL90" s="64">
        <v>4.1718934666666661</v>
      </c>
      <c r="AM90" s="56">
        <v>14.19999999999995</v>
      </c>
      <c r="AN90" s="56">
        <v>16.080000000000009</v>
      </c>
      <c r="AO90" s="62">
        <v>22.240000000000041</v>
      </c>
      <c r="AQ90" s="64">
        <v>4.0810676499999996</v>
      </c>
      <c r="AR90" s="56">
        <v>13.27999999999996</v>
      </c>
      <c r="AS90" s="56">
        <v>14.660000000000119</v>
      </c>
      <c r="AT90" s="62">
        <v>18.599999999999991</v>
      </c>
      <c r="AV90" s="64">
        <v>3.7283379666666669</v>
      </c>
      <c r="AW90" s="56">
        <v>12.760000000000019</v>
      </c>
      <c r="AX90" s="56">
        <v>14.14</v>
      </c>
      <c r="AY90" s="62">
        <v>18.700000000000031</v>
      </c>
      <c r="BA90" s="64">
        <v>3.1900689666666668</v>
      </c>
      <c r="BB90" s="56">
        <v>16.000000000000011</v>
      </c>
      <c r="BC90" s="56">
        <v>18.380000000000059</v>
      </c>
      <c r="BD90" s="62">
        <v>30.020000000000021</v>
      </c>
      <c r="BF90" s="64">
        <v>2.924878983333334</v>
      </c>
      <c r="BG90" s="56">
        <v>20.07999999999992</v>
      </c>
      <c r="BH90" s="56">
        <v>27.359999999999921</v>
      </c>
      <c r="BI90" s="62">
        <v>57.459999999999937</v>
      </c>
      <c r="BJ90" s="69"/>
      <c r="BK90" s="51"/>
    </row>
    <row r="91" spans="1:63" x14ac:dyDescent="0.4">
      <c r="A91" s="11" t="s">
        <v>170</v>
      </c>
      <c r="B91" s="4"/>
      <c r="C91" s="4"/>
      <c r="D91" s="4"/>
      <c r="E91" s="12"/>
      <c r="G91" s="147" t="s">
        <v>170</v>
      </c>
      <c r="H91" s="159">
        <v>70.012</v>
      </c>
      <c r="I91" s="153">
        <v>70.36</v>
      </c>
      <c r="J91" s="153">
        <v>70.36</v>
      </c>
      <c r="K91" s="153">
        <v>70.349999999999994</v>
      </c>
      <c r="L91" s="153">
        <v>70.36</v>
      </c>
      <c r="M91" s="80">
        <f t="shared" si="2"/>
        <v>70.36</v>
      </c>
      <c r="N91" s="80">
        <f t="shared" si="3"/>
        <v>70.349999999999994</v>
      </c>
      <c r="O91" s="153">
        <v>21.12</v>
      </c>
      <c r="P91" s="153">
        <v>21.02</v>
      </c>
      <c r="Q91" s="153">
        <v>21.07</v>
      </c>
      <c r="R91" s="153">
        <v>21.06</v>
      </c>
      <c r="S91" s="4"/>
      <c r="U91" s="147" t="s">
        <v>170</v>
      </c>
      <c r="V91" s="11"/>
      <c r="W91" s="4"/>
      <c r="X91" s="12"/>
      <c r="Y91" s="14"/>
      <c r="Z91" s="4"/>
      <c r="AA91" s="13"/>
      <c r="AB91" s="11"/>
      <c r="AC91" s="4"/>
      <c r="AD91" s="12"/>
      <c r="AE91" s="13"/>
      <c r="AF91" s="14">
        <v>5.0129999999999999</v>
      </c>
      <c r="AG91" s="133"/>
      <c r="AI91" s="84"/>
      <c r="AL91" s="64">
        <v>4.1720459999999999</v>
      </c>
      <c r="AM91" s="56">
        <v>15.50000000000011</v>
      </c>
      <c r="AN91" s="56">
        <v>17.520000000000021</v>
      </c>
      <c r="AO91" s="62">
        <v>23.88000000000012</v>
      </c>
      <c r="AQ91" s="64">
        <v>4.0810719666666664</v>
      </c>
      <c r="AR91" s="56">
        <v>14.57999999999995</v>
      </c>
      <c r="AS91" s="56">
        <v>16.060000000000048</v>
      </c>
      <c r="AT91" s="62">
        <v>20.280000000000079</v>
      </c>
      <c r="AV91" s="64">
        <v>3.7276262166666658</v>
      </c>
      <c r="AW91" s="56">
        <v>14.03999999999996</v>
      </c>
      <c r="AX91" s="56">
        <v>15.55999999999997</v>
      </c>
      <c r="AY91" s="62">
        <v>20.420000000000019</v>
      </c>
      <c r="BA91" s="64">
        <v>3.1845746500000001</v>
      </c>
      <c r="BB91" s="56">
        <v>16.5</v>
      </c>
      <c r="BC91" s="56">
        <v>18.96000000000004</v>
      </c>
      <c r="BD91" s="62">
        <v>30.90000000000002</v>
      </c>
      <c r="BF91" s="64">
        <v>2.9238483999999998</v>
      </c>
      <c r="BG91" s="56">
        <v>20.58</v>
      </c>
      <c r="BH91" s="56">
        <v>27.559999999999981</v>
      </c>
      <c r="BI91" s="62">
        <v>57.120000000000019</v>
      </c>
      <c r="BJ91" s="69"/>
      <c r="BK91" s="51"/>
    </row>
    <row r="92" spans="1:63" x14ac:dyDescent="0.4">
      <c r="A92" s="11" t="s">
        <v>171</v>
      </c>
      <c r="B92" s="4"/>
      <c r="C92" s="4"/>
      <c r="D92" s="4"/>
      <c r="E92" s="12"/>
      <c r="G92" s="147" t="s">
        <v>171</v>
      </c>
      <c r="H92" s="159">
        <v>70.007000000000005</v>
      </c>
      <c r="I92" s="153">
        <v>70.349999999999994</v>
      </c>
      <c r="J92" s="153">
        <v>70.31</v>
      </c>
      <c r="K92" s="153">
        <v>70.319999999999993</v>
      </c>
      <c r="L92" s="153">
        <v>70.33</v>
      </c>
      <c r="M92" s="80">
        <f t="shared" si="2"/>
        <v>70.349999999999994</v>
      </c>
      <c r="N92" s="80">
        <f t="shared" si="3"/>
        <v>70.31</v>
      </c>
      <c r="O92" s="153">
        <v>21.14</v>
      </c>
      <c r="P92" s="153">
        <v>20.98</v>
      </c>
      <c r="Q92" s="153">
        <v>21.09</v>
      </c>
      <c r="R92" s="153">
        <v>21.07</v>
      </c>
      <c r="S92" s="4"/>
      <c r="U92" s="147" t="s">
        <v>171</v>
      </c>
      <c r="V92" s="11"/>
      <c r="W92" s="4"/>
      <c r="X92" s="12"/>
      <c r="Y92" s="14"/>
      <c r="Z92" s="4"/>
      <c r="AA92" s="13"/>
      <c r="AB92" s="11"/>
      <c r="AC92" s="4"/>
      <c r="AD92" s="12"/>
      <c r="AE92" s="13"/>
      <c r="AF92" s="14">
        <v>4.9983000000000004</v>
      </c>
      <c r="AG92" s="133"/>
      <c r="AI92" s="84"/>
      <c r="AL92" s="74">
        <v>4.172262383333333</v>
      </c>
      <c r="AM92" s="75">
        <v>14.76000000000006</v>
      </c>
      <c r="AN92" s="75">
        <v>16.760000000000019</v>
      </c>
      <c r="AO92" s="78">
        <v>22.94</v>
      </c>
      <c r="AP92" s="82"/>
      <c r="AQ92" s="74">
        <v>4.0827917833333327</v>
      </c>
      <c r="AR92" s="75">
        <v>14.60000000000008</v>
      </c>
      <c r="AS92" s="75">
        <v>16.080000000000009</v>
      </c>
      <c r="AT92" s="78">
        <v>20.260000000000119</v>
      </c>
      <c r="AU92" s="82"/>
      <c r="AV92" s="74">
        <v>3.7284578000000002</v>
      </c>
      <c r="AW92" s="75">
        <v>14.02000000000001</v>
      </c>
      <c r="AX92" s="75">
        <v>15.54000000000002</v>
      </c>
      <c r="AY92" s="78">
        <v>20.39999999999997</v>
      </c>
      <c r="AZ92" s="82"/>
      <c r="BA92" s="74">
        <v>3.1793106</v>
      </c>
      <c r="BB92" s="75">
        <v>16.420000000000009</v>
      </c>
      <c r="BC92" s="75">
        <v>18.940000000000001</v>
      </c>
      <c r="BD92" s="78">
        <v>31.080000000000041</v>
      </c>
      <c r="BE92" s="82"/>
      <c r="BF92" s="74">
        <v>2.910523833333333</v>
      </c>
      <c r="BG92" s="75">
        <v>19.999999999999929</v>
      </c>
      <c r="BH92" s="75">
        <v>26.839999999999971</v>
      </c>
      <c r="BI92" s="78">
        <v>57.67999999999995</v>
      </c>
      <c r="BJ92" s="70"/>
      <c r="BK92" s="51"/>
    </row>
    <row r="93" spans="1:63" x14ac:dyDescent="0.4">
      <c r="A93" s="11" t="s">
        <v>172</v>
      </c>
      <c r="B93" s="4"/>
      <c r="C93" s="4"/>
      <c r="D93" s="4"/>
      <c r="E93" s="12"/>
      <c r="G93" s="147" t="s">
        <v>172</v>
      </c>
      <c r="H93" s="159">
        <v>70.77</v>
      </c>
      <c r="I93" s="153">
        <v>70.31</v>
      </c>
      <c r="J93" s="153">
        <v>70.33</v>
      </c>
      <c r="K93" s="153">
        <v>70.34</v>
      </c>
      <c r="L93" s="153">
        <v>70.3</v>
      </c>
      <c r="M93" s="80">
        <f t="shared" si="2"/>
        <v>70.34</v>
      </c>
      <c r="N93" s="80">
        <f t="shared" si="3"/>
        <v>70.3</v>
      </c>
      <c r="O93" s="153">
        <v>21.04</v>
      </c>
      <c r="P93" s="153">
        <v>20.94</v>
      </c>
      <c r="Q93" s="153">
        <v>21.11</v>
      </c>
      <c r="R93" s="153">
        <v>21.03</v>
      </c>
      <c r="S93" s="4"/>
      <c r="U93" s="147" t="s">
        <v>172</v>
      </c>
      <c r="V93" s="11"/>
      <c r="W93" s="4"/>
      <c r="X93" s="12"/>
      <c r="Y93" s="14"/>
      <c r="Z93" s="4"/>
      <c r="AA93" s="13"/>
      <c r="AB93" s="11"/>
      <c r="AC93" s="4"/>
      <c r="AD93" s="12"/>
      <c r="AE93" s="13"/>
      <c r="AF93" s="14">
        <v>5.0152000000000001</v>
      </c>
      <c r="AG93" s="133"/>
      <c r="AI93" s="84"/>
      <c r="AL93" s="74">
        <v>4.1719559166666667</v>
      </c>
      <c r="AM93" s="75">
        <v>15.039999999999941</v>
      </c>
      <c r="AN93" s="75">
        <v>17.040000000000081</v>
      </c>
      <c r="AO93" s="78">
        <v>23.339999999999961</v>
      </c>
      <c r="AP93" s="82"/>
      <c r="AQ93" s="74">
        <v>4.0823686500000003</v>
      </c>
      <c r="AR93" s="75">
        <v>14.499999999999959</v>
      </c>
      <c r="AS93" s="75">
        <v>16.000000000000011</v>
      </c>
      <c r="AT93" s="78">
        <v>20.139999999999961</v>
      </c>
      <c r="AU93" s="82"/>
      <c r="AV93" s="74">
        <v>3.7293564166666662</v>
      </c>
      <c r="AW93" s="75">
        <v>13.99999999999997</v>
      </c>
      <c r="AX93" s="75">
        <v>15.51999999999998</v>
      </c>
      <c r="AY93" s="78">
        <v>20.319999999999979</v>
      </c>
      <c r="AZ93" s="82"/>
      <c r="BA93" s="74">
        <v>3.185806083333333</v>
      </c>
      <c r="BB93" s="75">
        <v>16.420000000000009</v>
      </c>
      <c r="BC93" s="75">
        <v>18.86000000000001</v>
      </c>
      <c r="BD93" s="78">
        <v>30.74000000000003</v>
      </c>
      <c r="BE93" s="82"/>
      <c r="BF93" s="74">
        <v>2.91046205</v>
      </c>
      <c r="BG93" s="75">
        <v>20.420000000000019</v>
      </c>
      <c r="BH93" s="75">
        <v>27.120000000000029</v>
      </c>
      <c r="BI93" s="78">
        <v>57.859999999999978</v>
      </c>
      <c r="BJ93" s="70"/>
      <c r="BK93" s="51"/>
    </row>
    <row r="94" spans="1:63" x14ac:dyDescent="0.4">
      <c r="A94" s="11" t="s">
        <v>173</v>
      </c>
      <c r="B94" s="4"/>
      <c r="C94" s="4"/>
      <c r="D94" s="4"/>
      <c r="E94" s="12"/>
      <c r="G94" s="147" t="s">
        <v>173</v>
      </c>
      <c r="H94" s="159">
        <v>70.058999999999997</v>
      </c>
      <c r="I94" s="153">
        <v>70.33</v>
      </c>
      <c r="J94" s="153">
        <v>70.28</v>
      </c>
      <c r="K94" s="153">
        <v>70.27</v>
      </c>
      <c r="L94" s="153">
        <v>70.319999999999993</v>
      </c>
      <c r="M94" s="80">
        <f t="shared" si="2"/>
        <v>70.33</v>
      </c>
      <c r="N94" s="80">
        <f t="shared" si="3"/>
        <v>70.27</v>
      </c>
      <c r="O94" s="153">
        <v>21.02</v>
      </c>
      <c r="P94" s="153">
        <v>20.91</v>
      </c>
      <c r="Q94" s="153">
        <v>21.07</v>
      </c>
      <c r="R94" s="153">
        <v>21.06</v>
      </c>
      <c r="S94" s="4"/>
      <c r="U94" s="147" t="s">
        <v>173</v>
      </c>
      <c r="V94" s="11"/>
      <c r="W94" s="4"/>
      <c r="X94" s="12"/>
      <c r="Y94" s="14"/>
      <c r="Z94" s="4"/>
      <c r="AA94" s="13"/>
      <c r="AB94" s="11"/>
      <c r="AC94" s="4"/>
      <c r="AD94" s="12"/>
      <c r="AE94" s="13"/>
      <c r="AF94" s="14">
        <v>5.0342000000000002</v>
      </c>
      <c r="AG94" s="133"/>
      <c r="AI94" s="84"/>
      <c r="AL94" s="74">
        <v>4.1718848833333331</v>
      </c>
      <c r="AM94" s="75">
        <v>14.140000000000089</v>
      </c>
      <c r="AN94" s="75">
        <v>16.019999999999971</v>
      </c>
      <c r="AO94" s="78">
        <v>22.16000000000005</v>
      </c>
      <c r="AP94" s="82"/>
      <c r="AQ94" s="74">
        <v>4.0819148666666658</v>
      </c>
      <c r="AR94" s="75">
        <v>13.419999999999989</v>
      </c>
      <c r="AS94" s="75">
        <v>14.799999999999971</v>
      </c>
      <c r="AT94" s="78">
        <v>18.739999999999931</v>
      </c>
      <c r="AU94" s="82"/>
      <c r="AV94" s="74">
        <v>3.7285399666666659</v>
      </c>
      <c r="AW94" s="75">
        <v>12.900000000000039</v>
      </c>
      <c r="AX94" s="75">
        <v>14.28000000000003</v>
      </c>
      <c r="AY94" s="78">
        <v>18.86000000000001</v>
      </c>
      <c r="AZ94" s="82"/>
      <c r="BA94" s="74">
        <v>3.1918378166666672</v>
      </c>
      <c r="BB94" s="75">
        <v>15.45999999999994</v>
      </c>
      <c r="BC94" s="75">
        <v>17.779999999999951</v>
      </c>
      <c r="BD94" s="78">
        <v>29.279999999999969</v>
      </c>
      <c r="BE94" s="82"/>
      <c r="BF94" s="74">
        <v>2.9344879666666661</v>
      </c>
      <c r="BG94" s="75">
        <v>19.21999999999997</v>
      </c>
      <c r="BH94" s="75">
        <v>25.879999999999988</v>
      </c>
      <c r="BI94" s="78">
        <v>54.219999999999928</v>
      </c>
      <c r="BJ94" s="70"/>
      <c r="BK94" s="51"/>
    </row>
    <row r="95" spans="1:63" x14ac:dyDescent="0.4">
      <c r="A95" s="11" t="s">
        <v>174</v>
      </c>
      <c r="B95" s="4"/>
      <c r="C95" s="4"/>
      <c r="D95" s="4"/>
      <c r="E95" s="12"/>
      <c r="G95" s="147" t="s">
        <v>174</v>
      </c>
      <c r="H95" s="159">
        <v>70.034000000000006</v>
      </c>
      <c r="I95" s="153">
        <v>70.25</v>
      </c>
      <c r="J95" s="153">
        <v>70.260000000000005</v>
      </c>
      <c r="K95" s="153">
        <v>70.23</v>
      </c>
      <c r="L95" s="153">
        <v>70.27</v>
      </c>
      <c r="M95" s="80">
        <f t="shared" si="2"/>
        <v>70.27</v>
      </c>
      <c r="N95" s="80">
        <f t="shared" si="3"/>
        <v>70.23</v>
      </c>
      <c r="O95" s="153">
        <v>21.04</v>
      </c>
      <c r="P95" s="153">
        <v>20.97</v>
      </c>
      <c r="Q95" s="153">
        <v>21.08</v>
      </c>
      <c r="R95" s="153">
        <v>21.07</v>
      </c>
      <c r="S95" s="4"/>
      <c r="U95" s="147" t="s">
        <v>174</v>
      </c>
      <c r="V95" s="11"/>
      <c r="W95" s="4"/>
      <c r="X95" s="12"/>
      <c r="Y95" s="14"/>
      <c r="Z95" s="4"/>
      <c r="AA95" s="13"/>
      <c r="AB95" s="11"/>
      <c r="AC95" s="4"/>
      <c r="AD95" s="12"/>
      <c r="AE95" s="13"/>
      <c r="AF95" s="14">
        <v>5.0339999999999998</v>
      </c>
      <c r="AG95" s="133"/>
      <c r="AI95" s="84"/>
      <c r="AL95" s="74">
        <v>4.1720066666666664</v>
      </c>
      <c r="AM95" s="75">
        <v>14.279999999999941</v>
      </c>
      <c r="AN95" s="75">
        <v>16.1999999999999</v>
      </c>
      <c r="AO95" s="78">
        <v>22.359999999999939</v>
      </c>
      <c r="AP95" s="82"/>
      <c r="AQ95" s="74">
        <v>4.0831401500000002</v>
      </c>
      <c r="AR95" s="75">
        <v>13.640000000000009</v>
      </c>
      <c r="AS95" s="75">
        <v>15.059999999999899</v>
      </c>
      <c r="AT95" s="78">
        <v>19.039999999999949</v>
      </c>
      <c r="AU95" s="82"/>
      <c r="AV95" s="74">
        <v>3.7309379333333328</v>
      </c>
      <c r="AW95" s="75">
        <v>13.14000000000002</v>
      </c>
      <c r="AX95" s="75">
        <v>14.56</v>
      </c>
      <c r="AY95" s="78">
        <v>19.200000000000021</v>
      </c>
      <c r="AZ95" s="82"/>
      <c r="BA95" s="74">
        <v>3.191350616666667</v>
      </c>
      <c r="BB95" s="75">
        <v>15.860000000000079</v>
      </c>
      <c r="BC95" s="75">
        <v>18.24000000000003</v>
      </c>
      <c r="BD95" s="78">
        <v>29.860000000000039</v>
      </c>
      <c r="BE95" s="82"/>
      <c r="BF95" s="74">
        <v>2.9201362999999998</v>
      </c>
      <c r="BG95" s="75">
        <v>19.859999999999989</v>
      </c>
      <c r="BH95" s="75">
        <v>26.799999999999979</v>
      </c>
      <c r="BI95" s="78">
        <v>56.920000000000037</v>
      </c>
      <c r="BJ95" s="70"/>
      <c r="BK95" s="51"/>
    </row>
    <row r="96" spans="1:63" x14ac:dyDescent="0.4">
      <c r="A96" s="11" t="s">
        <v>175</v>
      </c>
      <c r="B96" s="4"/>
      <c r="C96" s="4"/>
      <c r="D96" s="4"/>
      <c r="E96" s="12"/>
      <c r="G96" s="147" t="s">
        <v>175</v>
      </c>
      <c r="H96" s="159">
        <v>70.043999999999997</v>
      </c>
      <c r="I96" s="153">
        <v>70.28</v>
      </c>
      <c r="J96" s="153">
        <v>70.290000000000006</v>
      </c>
      <c r="K96" s="153">
        <v>70.27</v>
      </c>
      <c r="L96" s="153">
        <v>70.28</v>
      </c>
      <c r="M96" s="80">
        <f t="shared" si="2"/>
        <v>70.290000000000006</v>
      </c>
      <c r="N96" s="80">
        <f t="shared" si="3"/>
        <v>70.27</v>
      </c>
      <c r="O96" s="153">
        <v>21.12</v>
      </c>
      <c r="P96" s="153">
        <v>21.07</v>
      </c>
      <c r="Q96" s="153">
        <v>21.07</v>
      </c>
      <c r="R96" s="153">
        <v>21.06</v>
      </c>
      <c r="S96" s="4"/>
      <c r="U96" s="147" t="s">
        <v>175</v>
      </c>
      <c r="V96" s="11"/>
      <c r="W96" s="4"/>
      <c r="X96" s="12"/>
      <c r="Y96" s="14"/>
      <c r="Z96" s="4"/>
      <c r="AA96" s="13"/>
      <c r="AB96" s="11"/>
      <c r="AC96" s="4"/>
      <c r="AD96" s="12"/>
      <c r="AE96" s="13"/>
      <c r="AF96" s="14">
        <v>5.0221999999999998</v>
      </c>
      <c r="AG96" s="133"/>
      <c r="AI96" s="84"/>
      <c r="AL96" s="74">
        <v>4.1716866833333333</v>
      </c>
      <c r="AM96" s="75">
        <v>13.999999999999879</v>
      </c>
      <c r="AN96" s="75">
        <v>15.91999999999984</v>
      </c>
      <c r="AO96" s="78">
        <v>22.079999999999881</v>
      </c>
      <c r="AP96" s="82"/>
      <c r="AQ96" s="74">
        <v>4.0835219833333332</v>
      </c>
      <c r="AR96" s="75">
        <v>13.56000000000002</v>
      </c>
      <c r="AS96" s="75">
        <v>14.959999999999949</v>
      </c>
      <c r="AT96" s="78">
        <v>18.919999999999959</v>
      </c>
      <c r="AU96" s="82"/>
      <c r="AV96" s="74">
        <v>3.7306038166666671</v>
      </c>
      <c r="AW96" s="75">
        <v>13.03999999999998</v>
      </c>
      <c r="AX96" s="75">
        <v>14.44000000000001</v>
      </c>
      <c r="AY96" s="78">
        <v>19.040000000000031</v>
      </c>
      <c r="AZ96" s="82"/>
      <c r="BA96" s="74">
        <v>3.1909189333333332</v>
      </c>
      <c r="BB96" s="75">
        <v>15.87999999999994</v>
      </c>
      <c r="BC96" s="75">
        <v>18.279999999999941</v>
      </c>
      <c r="BD96" s="78">
        <v>29.999999999999979</v>
      </c>
      <c r="BE96" s="82"/>
      <c r="BF96" s="74">
        <v>2.9319982166666669</v>
      </c>
      <c r="BG96" s="75">
        <v>19.879999999999939</v>
      </c>
      <c r="BH96" s="75">
        <v>26.999999999999961</v>
      </c>
      <c r="BI96" s="78">
        <v>56.579999999999941</v>
      </c>
      <c r="BJ96" s="70"/>
      <c r="BK96" s="51"/>
    </row>
    <row r="97" spans="1:63" x14ac:dyDescent="0.4">
      <c r="A97" s="11" t="s">
        <v>176</v>
      </c>
      <c r="B97" s="4"/>
      <c r="C97" s="4"/>
      <c r="D97" s="4"/>
      <c r="E97" s="12"/>
      <c r="G97" s="147" t="s">
        <v>176</v>
      </c>
      <c r="H97" s="159">
        <v>69.97</v>
      </c>
      <c r="I97" s="153">
        <v>70.400000000000006</v>
      </c>
      <c r="J97" s="153">
        <v>70.39</v>
      </c>
      <c r="K97" s="153">
        <v>70.31</v>
      </c>
      <c r="L97" s="153">
        <v>70.28</v>
      </c>
      <c r="M97" s="80">
        <f t="shared" si="2"/>
        <v>70.400000000000006</v>
      </c>
      <c r="N97" s="80">
        <f t="shared" si="3"/>
        <v>70.28</v>
      </c>
      <c r="O97" s="153">
        <v>21.12</v>
      </c>
      <c r="P97" s="153">
        <v>21.04</v>
      </c>
      <c r="Q97" s="153">
        <v>21.11</v>
      </c>
      <c r="R97" s="153">
        <v>21.07</v>
      </c>
      <c r="S97" s="4"/>
      <c r="U97" s="147" t="s">
        <v>176</v>
      </c>
      <c r="V97" s="11"/>
      <c r="W97" s="4"/>
      <c r="X97" s="12"/>
      <c r="Y97" s="14"/>
      <c r="Z97" s="4"/>
      <c r="AA97" s="13"/>
      <c r="AB97" s="11"/>
      <c r="AC97" s="4"/>
      <c r="AD97" s="12"/>
      <c r="AE97" s="13"/>
      <c r="AF97" s="14">
        <v>5.0072999999999999</v>
      </c>
      <c r="AG97" s="133"/>
      <c r="AI97" s="84"/>
      <c r="AL97" s="74">
        <v>4.1720579666666664</v>
      </c>
      <c r="AM97" s="75">
        <v>15.09999999999998</v>
      </c>
      <c r="AN97" s="75">
        <v>17.099999999999941</v>
      </c>
      <c r="AO97" s="78">
        <v>23.46000000000004</v>
      </c>
      <c r="AP97" s="82"/>
      <c r="AQ97" s="74">
        <v>4.0829508833333339</v>
      </c>
      <c r="AR97" s="75">
        <v>14.74000000000011</v>
      </c>
      <c r="AS97" s="75">
        <v>16.239999999999991</v>
      </c>
      <c r="AT97" s="78">
        <v>20.440000000000062</v>
      </c>
      <c r="AU97" s="82"/>
      <c r="AV97" s="74">
        <v>3.729348883333333</v>
      </c>
      <c r="AW97" s="75">
        <v>14.14</v>
      </c>
      <c r="AX97" s="75">
        <v>15.660000000000011</v>
      </c>
      <c r="AY97" s="78">
        <v>20.520000000000049</v>
      </c>
      <c r="AZ97" s="82"/>
      <c r="BA97" s="74">
        <v>3.1860106166666671</v>
      </c>
      <c r="BB97" s="75">
        <v>16.319999999999979</v>
      </c>
      <c r="BC97" s="75">
        <v>18.780000000000019</v>
      </c>
      <c r="BD97" s="78">
        <v>30.65999999999995</v>
      </c>
      <c r="BE97" s="82"/>
      <c r="BF97" s="74">
        <v>2.9142394999999999</v>
      </c>
      <c r="BG97" s="75">
        <v>20.300000000000029</v>
      </c>
      <c r="BH97" s="75">
        <v>27.099999999999991</v>
      </c>
      <c r="BI97" s="78">
        <v>57.479999999999983</v>
      </c>
      <c r="BJ97" s="70"/>
      <c r="BK97" s="51"/>
    </row>
    <row r="98" spans="1:63" x14ac:dyDescent="0.4">
      <c r="A98" s="11" t="s">
        <v>177</v>
      </c>
      <c r="B98" s="4"/>
      <c r="C98" s="4"/>
      <c r="D98" s="4"/>
      <c r="E98" s="12"/>
      <c r="G98" s="147" t="s">
        <v>177</v>
      </c>
      <c r="H98" s="159">
        <v>69.998999999999995</v>
      </c>
      <c r="I98" s="153">
        <v>70.31</v>
      </c>
      <c r="J98" s="153">
        <v>70.36</v>
      </c>
      <c r="K98" s="153">
        <v>70.349999999999994</v>
      </c>
      <c r="L98" s="153">
        <v>70.319999999999993</v>
      </c>
      <c r="M98" s="80">
        <f t="shared" si="2"/>
        <v>70.36</v>
      </c>
      <c r="N98" s="80">
        <f t="shared" si="3"/>
        <v>70.31</v>
      </c>
      <c r="O98" s="153">
        <v>21.19</v>
      </c>
      <c r="P98" s="153">
        <v>21.12</v>
      </c>
      <c r="Q98" s="153">
        <v>21.12</v>
      </c>
      <c r="R98" s="153">
        <v>21.09</v>
      </c>
      <c r="S98" s="4"/>
      <c r="U98" s="147" t="s">
        <v>177</v>
      </c>
      <c r="V98" s="11"/>
      <c r="W98" s="4"/>
      <c r="X98" s="12"/>
      <c r="Y98" s="14"/>
      <c r="Z98" s="4"/>
      <c r="AA98" s="13"/>
      <c r="AB98" s="11"/>
      <c r="AC98" s="4"/>
      <c r="AD98" s="12"/>
      <c r="AE98" s="13"/>
      <c r="AF98" s="14">
        <v>5.0144000000000002</v>
      </c>
      <c r="AG98" s="133"/>
      <c r="AI98" s="84"/>
      <c r="AL98" s="64">
        <v>4.1707536333333337</v>
      </c>
      <c r="AM98" s="56">
        <v>15.760000000000041</v>
      </c>
      <c r="AN98" s="56">
        <v>17.820000000000039</v>
      </c>
      <c r="AO98" s="62">
        <v>24.220000000000041</v>
      </c>
      <c r="AQ98" s="64">
        <v>4.0809361666666666</v>
      </c>
      <c r="AR98" s="56">
        <v>14.900000000000089</v>
      </c>
      <c r="AS98" s="56">
        <v>16.400000000000059</v>
      </c>
      <c r="AT98" s="62">
        <v>20.640000000000121</v>
      </c>
      <c r="AV98" s="64">
        <v>3.7266498000000001</v>
      </c>
      <c r="AW98" s="56">
        <v>14.1</v>
      </c>
      <c r="AX98" s="56">
        <v>15.64000000000005</v>
      </c>
      <c r="AY98" s="62">
        <v>20.54</v>
      </c>
      <c r="BA98" s="64">
        <v>3.1841498499999998</v>
      </c>
      <c r="BB98" s="56">
        <v>16.61999999999999</v>
      </c>
      <c r="BC98" s="56">
        <v>19.139999999999979</v>
      </c>
      <c r="BD98" s="62">
        <v>31.219999999999981</v>
      </c>
      <c r="BF98" s="64">
        <v>2.9203454</v>
      </c>
      <c r="BG98" s="56">
        <v>20.54</v>
      </c>
      <c r="BH98" s="56">
        <v>27.199999999999939</v>
      </c>
      <c r="BI98" s="62">
        <v>56.579999999999941</v>
      </c>
      <c r="BJ98" s="69"/>
      <c r="BK98" s="51"/>
    </row>
    <row r="99" spans="1:63" x14ac:dyDescent="0.4">
      <c r="A99" s="11" t="s">
        <v>178</v>
      </c>
      <c r="B99" s="4"/>
      <c r="C99" s="4"/>
      <c r="D99" s="4"/>
      <c r="E99" s="12"/>
      <c r="G99" s="147" t="s">
        <v>178</v>
      </c>
      <c r="H99" s="159">
        <v>69.995000000000005</v>
      </c>
      <c r="I99" s="153">
        <v>70.349999999999994</v>
      </c>
      <c r="J99" s="153">
        <v>70.319999999999993</v>
      </c>
      <c r="K99" s="153">
        <v>70.349999999999994</v>
      </c>
      <c r="L99" s="153">
        <v>70.349999999999994</v>
      </c>
      <c r="M99" s="80">
        <f t="shared" si="2"/>
        <v>70.349999999999994</v>
      </c>
      <c r="N99" s="80">
        <f t="shared" si="3"/>
        <v>70.319999999999993</v>
      </c>
      <c r="O99" s="153">
        <v>21.18</v>
      </c>
      <c r="P99" s="153">
        <v>21.12</v>
      </c>
      <c r="Q99" s="153">
        <v>21.1</v>
      </c>
      <c r="R99" s="160">
        <v>21.04</v>
      </c>
      <c r="S99" s="4"/>
      <c r="U99" s="147" t="s">
        <v>178</v>
      </c>
      <c r="V99" s="11"/>
      <c r="W99" s="4"/>
      <c r="X99" s="12"/>
      <c r="Y99" s="14"/>
      <c r="Z99" s="4"/>
      <c r="AA99" s="13"/>
      <c r="AB99" s="11"/>
      <c r="AC99" s="4"/>
      <c r="AD99" s="12"/>
      <c r="AE99" s="13"/>
      <c r="AF99" s="14">
        <v>5.0057</v>
      </c>
      <c r="AG99" s="133"/>
      <c r="AI99" s="84"/>
      <c r="AL99" s="74">
        <v>4.1712623833333344</v>
      </c>
      <c r="AM99" s="75">
        <v>15.479999999999981</v>
      </c>
      <c r="AN99" s="75">
        <v>17.520000000000021</v>
      </c>
      <c r="AO99" s="78">
        <v>23.899999999999899</v>
      </c>
      <c r="AP99" s="82"/>
      <c r="AQ99" s="74">
        <v>4.0814855999999997</v>
      </c>
      <c r="AR99" s="75">
        <v>14.700000000000021</v>
      </c>
      <c r="AS99" s="75">
        <v>16.200000000000081</v>
      </c>
      <c r="AT99" s="78">
        <v>20.460000000000012</v>
      </c>
      <c r="AU99" s="82"/>
      <c r="AV99" s="74">
        <v>3.7279122</v>
      </c>
      <c r="AW99" s="75">
        <v>14.040000000000051</v>
      </c>
      <c r="AX99" s="75">
        <v>15.54000000000002</v>
      </c>
      <c r="AY99" s="78">
        <v>20.440000000000062</v>
      </c>
      <c r="AZ99" s="82"/>
      <c r="BA99" s="74">
        <v>3.1846645666666662</v>
      </c>
      <c r="BB99" s="75">
        <v>16.379999999999932</v>
      </c>
      <c r="BC99" s="75">
        <v>18.859999999999921</v>
      </c>
      <c r="BD99" s="78">
        <v>30.81999999999994</v>
      </c>
      <c r="BE99" s="82"/>
      <c r="BF99" s="74">
        <v>2.927984583333334</v>
      </c>
      <c r="BG99" s="75">
        <v>20.27999999999999</v>
      </c>
      <c r="BH99" s="75">
        <v>27.299999999999969</v>
      </c>
      <c r="BI99" s="78">
        <v>56.579999999999941</v>
      </c>
      <c r="BJ99" s="70"/>
      <c r="BK99" s="51"/>
    </row>
    <row r="100" spans="1:63" x14ac:dyDescent="0.4">
      <c r="A100" s="11" t="s">
        <v>179</v>
      </c>
      <c r="B100" s="4"/>
      <c r="C100" s="4"/>
      <c r="D100" s="4"/>
      <c r="E100" s="12"/>
      <c r="G100" s="147" t="s">
        <v>179</v>
      </c>
      <c r="H100" s="159">
        <v>69.98</v>
      </c>
      <c r="I100" s="153">
        <v>70.260000000000005</v>
      </c>
      <c r="J100" s="153">
        <v>70.25</v>
      </c>
      <c r="K100" s="153">
        <v>70.33</v>
      </c>
      <c r="L100" s="153">
        <v>70.37</v>
      </c>
      <c r="M100" s="80">
        <f t="shared" si="2"/>
        <v>70.37</v>
      </c>
      <c r="N100" s="80">
        <f t="shared" si="3"/>
        <v>70.25</v>
      </c>
      <c r="O100" s="153">
        <v>21.16</v>
      </c>
      <c r="P100" s="153">
        <v>21.16</v>
      </c>
      <c r="Q100" s="153">
        <v>21.08</v>
      </c>
      <c r="R100" s="153">
        <v>21.07</v>
      </c>
      <c r="S100" s="4"/>
      <c r="U100" s="147" t="s">
        <v>179</v>
      </c>
      <c r="V100" s="11"/>
      <c r="W100" s="4"/>
      <c r="X100" s="12"/>
      <c r="Y100" s="14"/>
      <c r="Z100" s="4"/>
      <c r="AA100" s="13"/>
      <c r="AB100" s="11"/>
      <c r="AC100" s="4"/>
      <c r="AD100" s="12"/>
      <c r="AE100" s="13"/>
      <c r="AF100" s="14">
        <v>5.0140000000000002</v>
      </c>
      <c r="AG100" s="133"/>
      <c r="AI100" s="84"/>
      <c r="AL100" s="74">
        <v>4.1715440166666671</v>
      </c>
      <c r="AM100" s="75">
        <v>14.60000000000008</v>
      </c>
      <c r="AN100" s="75">
        <v>16.520000000000049</v>
      </c>
      <c r="AO100" s="78">
        <v>22.680000000000081</v>
      </c>
      <c r="AP100" s="82"/>
      <c r="AQ100" s="74">
        <v>4.0805375666666661</v>
      </c>
      <c r="AR100" s="75">
        <v>13.59999999999992</v>
      </c>
      <c r="AS100" s="75">
        <v>14.99999999999986</v>
      </c>
      <c r="AT100" s="78">
        <v>18.99999999999995</v>
      </c>
      <c r="AU100" s="82"/>
      <c r="AV100" s="74">
        <v>3.7266628333333331</v>
      </c>
      <c r="AW100" s="75">
        <v>13.12000000000006</v>
      </c>
      <c r="AX100" s="75">
        <v>14.52</v>
      </c>
      <c r="AY100" s="78">
        <v>19.160000000000021</v>
      </c>
      <c r="AZ100" s="82"/>
      <c r="BA100" s="74">
        <v>3.18348225</v>
      </c>
      <c r="BB100" s="75">
        <v>16.16</v>
      </c>
      <c r="BC100" s="75">
        <v>18.63999999999999</v>
      </c>
      <c r="BD100" s="78">
        <v>30.579999999999959</v>
      </c>
      <c r="BE100" s="82"/>
      <c r="BF100" s="74">
        <v>2.92966645</v>
      </c>
      <c r="BG100" s="75">
        <v>20.12</v>
      </c>
      <c r="BH100" s="75">
        <v>27.540000000000031</v>
      </c>
      <c r="BI100" s="78">
        <v>57.580000000000013</v>
      </c>
      <c r="BJ100" s="70"/>
      <c r="BK100" s="51"/>
    </row>
    <row r="101" spans="1:63" x14ac:dyDescent="0.4">
      <c r="A101" s="11" t="s">
        <v>180</v>
      </c>
      <c r="B101" s="4"/>
      <c r="C101" s="4"/>
      <c r="D101" s="4"/>
      <c r="E101" s="12"/>
      <c r="G101" s="147" t="s">
        <v>180</v>
      </c>
      <c r="H101" s="159">
        <v>70.09</v>
      </c>
      <c r="I101" s="153">
        <v>70.31</v>
      </c>
      <c r="J101" s="153">
        <v>70.3</v>
      </c>
      <c r="K101" s="153">
        <v>70.290000000000006</v>
      </c>
      <c r="L101" s="153">
        <v>70.3</v>
      </c>
      <c r="M101" s="80">
        <f t="shared" si="2"/>
        <v>70.31</v>
      </c>
      <c r="N101" s="80">
        <f t="shared" si="3"/>
        <v>70.290000000000006</v>
      </c>
      <c r="O101" s="153">
        <v>21.18</v>
      </c>
      <c r="P101" s="153">
        <v>21.15</v>
      </c>
      <c r="Q101" s="153">
        <v>21.1</v>
      </c>
      <c r="R101" s="153">
        <v>21.08</v>
      </c>
      <c r="S101" s="4"/>
      <c r="U101" s="147" t="s">
        <v>180</v>
      </c>
      <c r="V101" s="11"/>
      <c r="W101" s="4"/>
      <c r="X101" s="12"/>
      <c r="Y101" s="14"/>
      <c r="Z101" s="4"/>
      <c r="AA101" s="13"/>
      <c r="AB101" s="11"/>
      <c r="AC101" s="4"/>
      <c r="AD101" s="12"/>
      <c r="AE101" s="13"/>
      <c r="AF101" s="14">
        <v>5.0149999999999997</v>
      </c>
      <c r="AG101" s="133"/>
      <c r="AI101" s="84"/>
      <c r="AL101" s="64">
        <v>4.1716352666666667</v>
      </c>
      <c r="AM101" s="56">
        <v>14.13999999999991</v>
      </c>
      <c r="AN101" s="56">
        <v>16.019999999999971</v>
      </c>
      <c r="AO101" s="62">
        <v>22.18</v>
      </c>
      <c r="AQ101" s="64">
        <v>4.0819979999999996</v>
      </c>
      <c r="AR101" s="56">
        <v>13.3799999999999</v>
      </c>
      <c r="AS101" s="56">
        <v>14.779999999999839</v>
      </c>
      <c r="AT101" s="62">
        <v>18.739999999999931</v>
      </c>
      <c r="AV101" s="64">
        <v>3.7284957166666661</v>
      </c>
      <c r="AW101" s="56">
        <v>12.860000000000049</v>
      </c>
      <c r="AX101" s="56">
        <v>14.25999999999998</v>
      </c>
      <c r="AY101" s="62">
        <v>18.880000000000049</v>
      </c>
      <c r="BA101" s="64">
        <v>3.1865823666666668</v>
      </c>
      <c r="BB101" s="56">
        <v>15.75999999999995</v>
      </c>
      <c r="BC101" s="56">
        <v>18.14</v>
      </c>
      <c r="BD101" s="62">
        <v>29.95999999999999</v>
      </c>
      <c r="BF101" s="64">
        <v>2.9270149499999989</v>
      </c>
      <c r="BG101" s="56">
        <v>19.720000000000049</v>
      </c>
      <c r="BH101" s="56">
        <v>26.760000000000069</v>
      </c>
      <c r="BI101" s="62">
        <v>56.460000000000043</v>
      </c>
      <c r="BJ101" s="69"/>
      <c r="BK101" s="51"/>
    </row>
    <row r="102" spans="1:63" x14ac:dyDescent="0.4">
      <c r="A102" s="11" t="s">
        <v>181</v>
      </c>
      <c r="B102" s="4"/>
      <c r="C102" s="4"/>
      <c r="D102" s="4"/>
      <c r="E102" s="12"/>
      <c r="G102" s="147" t="s">
        <v>181</v>
      </c>
      <c r="H102" s="159">
        <v>70.123000000000005</v>
      </c>
      <c r="I102" s="153">
        <v>70.34</v>
      </c>
      <c r="J102" s="153">
        <v>70.34</v>
      </c>
      <c r="K102" s="153">
        <v>70.319999999999993</v>
      </c>
      <c r="L102" s="153">
        <v>70.33</v>
      </c>
      <c r="M102" s="80">
        <f t="shared" si="2"/>
        <v>70.34</v>
      </c>
      <c r="N102" s="80">
        <f t="shared" si="3"/>
        <v>70.319999999999993</v>
      </c>
      <c r="O102" s="153">
        <v>21.15</v>
      </c>
      <c r="P102" s="153">
        <v>21.14</v>
      </c>
      <c r="Q102" s="153">
        <v>21.12</v>
      </c>
      <c r="R102" s="153">
        <v>21.08</v>
      </c>
      <c r="S102" s="4"/>
      <c r="U102" s="147" t="s">
        <v>181</v>
      </c>
      <c r="V102" s="11"/>
      <c r="W102" s="4"/>
      <c r="X102" s="12"/>
      <c r="Y102" s="14"/>
      <c r="Z102" s="4"/>
      <c r="AA102" s="13"/>
      <c r="AB102" s="11"/>
      <c r="AC102" s="4"/>
      <c r="AD102" s="12"/>
      <c r="AE102" s="13"/>
      <c r="AF102" s="14">
        <v>5.0068000000000001</v>
      </c>
      <c r="AG102" s="133"/>
      <c r="AI102" s="84"/>
      <c r="AL102" s="64">
        <v>4.1723691999999986</v>
      </c>
      <c r="AM102" s="56">
        <v>15.41999999999994</v>
      </c>
      <c r="AN102" s="56">
        <v>17.419999999999899</v>
      </c>
      <c r="AO102" s="62">
        <v>23.78</v>
      </c>
      <c r="AQ102" s="64">
        <v>4.0811323333333336</v>
      </c>
      <c r="AR102" s="56">
        <v>14.76000000000006</v>
      </c>
      <c r="AS102" s="56">
        <v>16.26000000000003</v>
      </c>
      <c r="AT102" s="62">
        <v>20.460000000000012</v>
      </c>
      <c r="AV102" s="64">
        <v>3.7278757499999999</v>
      </c>
      <c r="AW102" s="56">
        <v>14.25999999999998</v>
      </c>
      <c r="AX102" s="56">
        <v>15.78</v>
      </c>
      <c r="AY102" s="62">
        <v>20.659999999999989</v>
      </c>
      <c r="BA102" s="64">
        <v>3.1821270333333329</v>
      </c>
      <c r="BB102" s="56">
        <v>16.520000000000049</v>
      </c>
      <c r="BC102" s="56">
        <v>19.040000000000031</v>
      </c>
      <c r="BD102" s="62">
        <v>31.00000000000005</v>
      </c>
      <c r="BF102" s="64">
        <v>2.907824366666667</v>
      </c>
      <c r="BG102" s="56">
        <v>20.27999999999999</v>
      </c>
      <c r="BH102" s="56">
        <v>26.879999999999971</v>
      </c>
      <c r="BI102" s="62">
        <v>57.399999999999977</v>
      </c>
      <c r="BJ102" s="69"/>
      <c r="BK102" s="51"/>
    </row>
    <row r="103" spans="1:63" x14ac:dyDescent="0.4">
      <c r="A103" s="11" t="s">
        <v>182</v>
      </c>
      <c r="B103" s="4"/>
      <c r="C103" s="4"/>
      <c r="D103" s="4"/>
      <c r="E103" s="12"/>
      <c r="G103" s="147" t="s">
        <v>182</v>
      </c>
      <c r="H103" s="159">
        <v>70.018000000000001</v>
      </c>
      <c r="I103" s="153">
        <v>70.31</v>
      </c>
      <c r="J103" s="153">
        <v>70.400000000000006</v>
      </c>
      <c r="K103" s="153">
        <v>70.319999999999993</v>
      </c>
      <c r="L103" s="153">
        <v>70.319999999999993</v>
      </c>
      <c r="M103" s="80">
        <f t="shared" si="2"/>
        <v>70.400000000000006</v>
      </c>
      <c r="N103" s="80">
        <f t="shared" si="3"/>
        <v>70.31</v>
      </c>
      <c r="O103" s="153">
        <v>21.17</v>
      </c>
      <c r="P103" s="153">
        <v>21.14</v>
      </c>
      <c r="Q103" s="153">
        <v>21.12</v>
      </c>
      <c r="R103" s="153">
        <v>21.09</v>
      </c>
      <c r="S103" s="4"/>
      <c r="U103" s="147" t="s">
        <v>182</v>
      </c>
      <c r="V103" s="11"/>
      <c r="W103" s="4"/>
      <c r="X103" s="12"/>
      <c r="Y103" s="14"/>
      <c r="Z103" s="4"/>
      <c r="AA103" s="13"/>
      <c r="AB103" s="11"/>
      <c r="AC103" s="4"/>
      <c r="AD103" s="12"/>
      <c r="AE103" s="13"/>
      <c r="AF103" s="14">
        <v>5.0231000000000003</v>
      </c>
      <c r="AG103" s="133"/>
      <c r="AI103" s="84"/>
      <c r="AL103" s="64">
        <v>4.1715262500000003</v>
      </c>
      <c r="AM103" s="56">
        <v>14.279999999999941</v>
      </c>
      <c r="AN103" s="56">
        <v>16.200000000000081</v>
      </c>
      <c r="AO103" s="62">
        <v>22.339999999999979</v>
      </c>
      <c r="AQ103" s="64">
        <v>4.0808397166666657</v>
      </c>
      <c r="AR103" s="56">
        <v>13.35999999999995</v>
      </c>
      <c r="AS103" s="56">
        <v>14.739999999999929</v>
      </c>
      <c r="AT103" s="62">
        <v>18.679999999999989</v>
      </c>
      <c r="AV103" s="64">
        <v>3.7272468499999989</v>
      </c>
      <c r="AW103" s="56">
        <v>12.82000000000005</v>
      </c>
      <c r="AX103" s="56">
        <v>14.200000000000029</v>
      </c>
      <c r="AY103" s="62">
        <v>18.75999999999998</v>
      </c>
      <c r="BA103" s="64">
        <v>3.188856733333334</v>
      </c>
      <c r="BB103" s="56">
        <v>15.28</v>
      </c>
      <c r="BC103" s="56">
        <v>17.619999999999969</v>
      </c>
      <c r="BD103" s="62">
        <v>29.199999999999982</v>
      </c>
      <c r="BF103" s="64">
        <v>2.936229716666666</v>
      </c>
      <c r="BG103" s="56">
        <v>19.08000000000003</v>
      </c>
      <c r="BH103" s="56">
        <v>25.659999999999972</v>
      </c>
      <c r="BI103" s="62">
        <v>53.720000000000027</v>
      </c>
      <c r="BJ103" s="69"/>
      <c r="BK103" s="51"/>
    </row>
    <row r="104" spans="1:63" x14ac:dyDescent="0.4">
      <c r="A104" s="11" t="s">
        <v>183</v>
      </c>
      <c r="B104" s="4"/>
      <c r="C104" s="4"/>
      <c r="D104" s="4"/>
      <c r="E104" s="12"/>
      <c r="G104" s="147" t="s">
        <v>183</v>
      </c>
      <c r="H104" s="159">
        <v>70.108999999999995</v>
      </c>
      <c r="I104" s="153">
        <v>70.41</v>
      </c>
      <c r="J104" s="153">
        <v>70.41</v>
      </c>
      <c r="K104" s="153">
        <v>70.41</v>
      </c>
      <c r="L104" s="153">
        <v>70.37</v>
      </c>
      <c r="M104" s="80">
        <f t="shared" si="2"/>
        <v>70.41</v>
      </c>
      <c r="N104" s="80">
        <f t="shared" si="3"/>
        <v>70.37</v>
      </c>
      <c r="O104" s="153">
        <v>21.18</v>
      </c>
      <c r="P104" s="153">
        <v>21.14</v>
      </c>
      <c r="Q104" s="153">
        <v>21.13</v>
      </c>
      <c r="R104" s="153">
        <v>21.09</v>
      </c>
      <c r="S104" s="4"/>
      <c r="U104" s="147" t="s">
        <v>183</v>
      </c>
      <c r="V104" s="11"/>
      <c r="W104" s="4"/>
      <c r="X104" s="12"/>
      <c r="Y104" s="14"/>
      <c r="Z104" s="4"/>
      <c r="AA104" s="13"/>
      <c r="AB104" s="11"/>
      <c r="AC104" s="4"/>
      <c r="AD104" s="12"/>
      <c r="AE104" s="13"/>
      <c r="AF104" s="14">
        <v>5.0274999999999999</v>
      </c>
      <c r="AG104" s="133"/>
      <c r="AI104" s="84"/>
      <c r="AL104" s="64">
        <v>4.1714466333333329</v>
      </c>
      <c r="AM104" s="56">
        <v>14.56</v>
      </c>
      <c r="AN104" s="56">
        <v>16.480000000000139</v>
      </c>
      <c r="AO104" s="62">
        <v>22.680000000000081</v>
      </c>
      <c r="AQ104" s="64">
        <v>4.0811032166666674</v>
      </c>
      <c r="AR104" s="56">
        <v>13.759999999999909</v>
      </c>
      <c r="AS104" s="56">
        <v>15.140000000000059</v>
      </c>
      <c r="AT104" s="62">
        <v>19.139999999999979</v>
      </c>
      <c r="AV104" s="64">
        <v>3.7276117499999999</v>
      </c>
      <c r="AW104" s="56">
        <v>13.3</v>
      </c>
      <c r="AX104" s="56">
        <v>14.74000000000002</v>
      </c>
      <c r="AY104" s="62">
        <v>19.36</v>
      </c>
      <c r="BA104" s="64">
        <v>3.1896060333333329</v>
      </c>
      <c r="BB104" s="56">
        <v>15.980000000000061</v>
      </c>
      <c r="BC104" s="56">
        <v>18.360000000000021</v>
      </c>
      <c r="BD104" s="62">
        <v>30.020000000000021</v>
      </c>
      <c r="BF104" s="64">
        <v>2.9323493666666671</v>
      </c>
      <c r="BG104" s="56">
        <v>19.799999999999951</v>
      </c>
      <c r="BH104" s="56">
        <v>26.499999999999972</v>
      </c>
      <c r="BI104" s="62">
        <v>54.899999999999949</v>
      </c>
      <c r="BJ104" s="69"/>
      <c r="BK104" s="51"/>
    </row>
    <row r="105" spans="1:63" x14ac:dyDescent="0.4">
      <c r="A105" s="11" t="s">
        <v>184</v>
      </c>
      <c r="B105" s="4"/>
      <c r="C105" s="4"/>
      <c r="D105" s="4"/>
      <c r="E105" s="12"/>
      <c r="G105" s="147" t="s">
        <v>184</v>
      </c>
      <c r="H105" s="159">
        <v>69.984999999999999</v>
      </c>
      <c r="I105" s="153">
        <v>70.31</v>
      </c>
      <c r="J105" s="153">
        <v>70.319999999999993</v>
      </c>
      <c r="K105" s="153">
        <v>70.33</v>
      </c>
      <c r="L105" s="153">
        <v>70.37</v>
      </c>
      <c r="M105" s="80">
        <f t="shared" si="2"/>
        <v>70.37</v>
      </c>
      <c r="N105" s="80">
        <f t="shared" si="3"/>
        <v>70.31</v>
      </c>
      <c r="O105" s="153">
        <v>21.17</v>
      </c>
      <c r="P105" s="153">
        <v>21.15</v>
      </c>
      <c r="Q105" s="153">
        <v>21.13</v>
      </c>
      <c r="R105" s="153">
        <v>21.09</v>
      </c>
      <c r="S105" s="4"/>
      <c r="U105" s="147" t="s">
        <v>184</v>
      </c>
      <c r="V105" s="11"/>
      <c r="W105" s="4"/>
      <c r="X105" s="12"/>
      <c r="Y105" s="14"/>
      <c r="Z105" s="4"/>
      <c r="AA105" s="13"/>
      <c r="AB105" s="11"/>
      <c r="AC105" s="4"/>
      <c r="AD105" s="12"/>
      <c r="AE105" s="13"/>
      <c r="AF105" s="14">
        <v>5.0331000000000001</v>
      </c>
      <c r="AG105" s="133"/>
      <c r="AI105" s="84"/>
      <c r="AL105" s="64">
        <v>4.1719060666666667</v>
      </c>
      <c r="AM105" s="56">
        <v>14.499999999999959</v>
      </c>
      <c r="AN105" s="56">
        <v>16.440000000000051</v>
      </c>
      <c r="AO105" s="62">
        <v>22.62000000000004</v>
      </c>
      <c r="AQ105" s="64">
        <v>4.0815571333333338</v>
      </c>
      <c r="AR105" s="56">
        <v>13.56000000000002</v>
      </c>
      <c r="AS105" s="56">
        <v>14.94</v>
      </c>
      <c r="AT105" s="62">
        <v>18.940000000000001</v>
      </c>
      <c r="AV105" s="64">
        <v>3.7293403500000002</v>
      </c>
      <c r="AW105" s="56">
        <v>13.060000000000031</v>
      </c>
      <c r="AX105" s="56">
        <v>14.48</v>
      </c>
      <c r="AY105" s="62">
        <v>19.09999999999998</v>
      </c>
      <c r="BA105" s="64">
        <v>3.190800966666667</v>
      </c>
      <c r="BB105" s="56">
        <v>15.72000000000005</v>
      </c>
      <c r="BC105" s="56">
        <v>18.079999999999959</v>
      </c>
      <c r="BD105" s="62">
        <v>29.60000000000003</v>
      </c>
      <c r="BF105" s="64">
        <v>2.9226576</v>
      </c>
      <c r="BG105" s="56">
        <v>19.659999999999918</v>
      </c>
      <c r="BH105" s="56">
        <v>26.479999999999929</v>
      </c>
      <c r="BI105" s="62">
        <v>55.859999999999928</v>
      </c>
      <c r="BJ105" s="69"/>
      <c r="BK105" s="51"/>
    </row>
    <row r="106" spans="1:63" x14ac:dyDescent="0.4">
      <c r="A106" s="11" t="s">
        <v>185</v>
      </c>
      <c r="B106" s="4"/>
      <c r="C106" s="4"/>
      <c r="D106" s="4"/>
      <c r="E106" s="12"/>
      <c r="G106" s="147" t="s">
        <v>185</v>
      </c>
      <c r="H106" s="159">
        <v>69.942999999999998</v>
      </c>
      <c r="I106" s="153">
        <v>70.3</v>
      </c>
      <c r="J106" s="153">
        <v>70.33</v>
      </c>
      <c r="K106" s="153">
        <v>70.33</v>
      </c>
      <c r="L106" s="153">
        <v>70.34</v>
      </c>
      <c r="M106" s="80">
        <f t="shared" si="2"/>
        <v>70.34</v>
      </c>
      <c r="N106" s="80">
        <f t="shared" si="3"/>
        <v>70.3</v>
      </c>
      <c r="O106" s="153">
        <v>21.19</v>
      </c>
      <c r="P106" s="153">
        <v>21.14</v>
      </c>
      <c r="Q106" s="153">
        <v>21.14</v>
      </c>
      <c r="R106" s="153">
        <v>21.09</v>
      </c>
      <c r="S106" s="4"/>
      <c r="U106" s="147" t="s">
        <v>185</v>
      </c>
      <c r="V106" s="11"/>
      <c r="W106" s="4"/>
      <c r="X106" s="12"/>
      <c r="Y106" s="14"/>
      <c r="Z106" s="4"/>
      <c r="AA106" s="13"/>
      <c r="AB106" s="11"/>
      <c r="AC106" s="4"/>
      <c r="AD106" s="12"/>
      <c r="AE106" s="13"/>
      <c r="AF106" s="14">
        <v>5.0087999999999999</v>
      </c>
      <c r="AG106" s="133"/>
      <c r="AI106" s="84"/>
      <c r="AL106" s="64">
        <v>4.1716813166666666</v>
      </c>
      <c r="AM106" s="56">
        <v>14.459999999999869</v>
      </c>
      <c r="AN106" s="56">
        <v>16.359999999999889</v>
      </c>
      <c r="AO106" s="62">
        <v>22.579999999999959</v>
      </c>
      <c r="AQ106" s="64">
        <v>4.0817295333333323</v>
      </c>
      <c r="AR106" s="56">
        <v>13.74000000000013</v>
      </c>
      <c r="AS106" s="56">
        <v>15.140000000000059</v>
      </c>
      <c r="AT106" s="62">
        <v>19.140000000000072</v>
      </c>
      <c r="AV106" s="64">
        <v>3.7284955333333318</v>
      </c>
      <c r="AW106" s="56">
        <v>13.18000000000001</v>
      </c>
      <c r="AX106" s="56">
        <v>14.599999999999991</v>
      </c>
      <c r="AY106" s="62">
        <v>19.240000000000009</v>
      </c>
      <c r="BA106" s="64">
        <v>3.1875371333333331</v>
      </c>
      <c r="BB106" s="56">
        <v>16.080000000000009</v>
      </c>
      <c r="BC106" s="56">
        <v>18.499999999999961</v>
      </c>
      <c r="BD106" s="62">
        <v>30.359999999999939</v>
      </c>
      <c r="BF106" s="64">
        <v>2.9339609499999999</v>
      </c>
      <c r="BG106" s="56">
        <v>20.080000000000009</v>
      </c>
      <c r="BH106" s="56">
        <v>27.099999999999991</v>
      </c>
      <c r="BI106" s="62">
        <v>56.280000000000022</v>
      </c>
      <c r="BJ106" s="69"/>
      <c r="BK106" s="51"/>
    </row>
    <row r="107" spans="1:63" x14ac:dyDescent="0.4">
      <c r="A107" s="11" t="s">
        <v>186</v>
      </c>
      <c r="B107" s="4"/>
      <c r="C107" s="4"/>
      <c r="D107" s="4"/>
      <c r="E107" s="12"/>
      <c r="G107" s="147" t="s">
        <v>186</v>
      </c>
      <c r="H107" s="159">
        <v>70.088999999999999</v>
      </c>
      <c r="I107" s="153">
        <v>70.349999999999994</v>
      </c>
      <c r="J107" s="153">
        <v>70.349999999999994</v>
      </c>
      <c r="K107" s="153">
        <v>70.319999999999993</v>
      </c>
      <c r="L107" s="153">
        <v>70.33</v>
      </c>
      <c r="M107" s="80">
        <f t="shared" si="2"/>
        <v>70.349999999999994</v>
      </c>
      <c r="N107" s="80">
        <f t="shared" si="3"/>
        <v>70.319999999999993</v>
      </c>
      <c r="O107" s="153">
        <v>21.16</v>
      </c>
      <c r="P107" s="153">
        <v>21.14</v>
      </c>
      <c r="Q107" s="153">
        <v>21.12</v>
      </c>
      <c r="R107" s="153">
        <v>21.08</v>
      </c>
      <c r="S107" s="4"/>
      <c r="U107" s="147" t="s">
        <v>186</v>
      </c>
      <c r="V107" s="11"/>
      <c r="W107" s="4"/>
      <c r="X107" s="12"/>
      <c r="Y107" s="14"/>
      <c r="Z107" s="4"/>
      <c r="AA107" s="13"/>
      <c r="AB107" s="11"/>
      <c r="AC107" s="4"/>
      <c r="AD107" s="12"/>
      <c r="AE107" s="13"/>
      <c r="AF107" s="14">
        <v>4.9893999999999998</v>
      </c>
      <c r="AG107" s="133"/>
      <c r="AI107" s="84"/>
      <c r="AL107" s="74">
        <v>4.1723112499999999</v>
      </c>
      <c r="AM107" s="75">
        <v>14.81999999999992</v>
      </c>
      <c r="AN107" s="75">
        <v>16.820000000000061</v>
      </c>
      <c r="AO107" s="78">
        <v>23.08000000000003</v>
      </c>
      <c r="AP107" s="82"/>
      <c r="AQ107" s="74">
        <v>4.0831229333333336</v>
      </c>
      <c r="AR107" s="75">
        <v>14.48</v>
      </c>
      <c r="AS107" s="75">
        <v>15.939999999999969</v>
      </c>
      <c r="AT107" s="78">
        <v>20.139999999999961</v>
      </c>
      <c r="AU107" s="82"/>
      <c r="AV107" s="74">
        <v>3.7287049833333339</v>
      </c>
      <c r="AW107" s="75">
        <v>13.90000000000002</v>
      </c>
      <c r="AX107" s="75">
        <v>15.39999999999999</v>
      </c>
      <c r="AY107" s="78">
        <v>20.239999999999991</v>
      </c>
      <c r="AZ107" s="82"/>
      <c r="BA107" s="74">
        <v>3.179332749999999</v>
      </c>
      <c r="BB107" s="75">
        <v>16.560000000000041</v>
      </c>
      <c r="BC107" s="75">
        <v>19.100000000000069</v>
      </c>
      <c r="BD107" s="78">
        <v>31.36000000000001</v>
      </c>
      <c r="BE107" s="82"/>
      <c r="BF107" s="74">
        <v>2.9207084999999999</v>
      </c>
      <c r="BG107" s="75">
        <v>20.39999999999997</v>
      </c>
      <c r="BH107" s="75">
        <v>27.219999999999981</v>
      </c>
      <c r="BI107" s="78">
        <v>57.20000000000001</v>
      </c>
      <c r="BJ107" s="70"/>
      <c r="BK107" s="51"/>
    </row>
    <row r="108" spans="1:63" x14ac:dyDescent="0.4">
      <c r="A108" s="11" t="s">
        <v>187</v>
      </c>
      <c r="B108" s="4"/>
      <c r="C108" s="4"/>
      <c r="D108" s="4"/>
      <c r="E108" s="12"/>
      <c r="G108" s="147" t="s">
        <v>187</v>
      </c>
      <c r="H108" s="159">
        <v>70.084999999999994</v>
      </c>
      <c r="I108" s="153">
        <v>70.37</v>
      </c>
      <c r="J108" s="153">
        <v>70.319999999999993</v>
      </c>
      <c r="K108" s="153">
        <v>70.319999999999993</v>
      </c>
      <c r="L108" s="153">
        <v>70.34</v>
      </c>
      <c r="M108" s="80">
        <f t="shared" si="2"/>
        <v>70.37</v>
      </c>
      <c r="N108" s="80">
        <f t="shared" si="3"/>
        <v>70.319999999999993</v>
      </c>
      <c r="O108" s="153">
        <v>21.16</v>
      </c>
      <c r="P108" s="153">
        <v>21.14</v>
      </c>
      <c r="Q108" s="153">
        <v>21.11</v>
      </c>
      <c r="R108" s="153">
        <v>21.1</v>
      </c>
      <c r="S108" s="4"/>
      <c r="U108" s="147" t="s">
        <v>187</v>
      </c>
      <c r="V108" s="11"/>
      <c r="W108" s="4"/>
      <c r="X108" s="12"/>
      <c r="Y108" s="14"/>
      <c r="Z108" s="4"/>
      <c r="AA108" s="13"/>
      <c r="AB108" s="11"/>
      <c r="AC108" s="4"/>
      <c r="AD108" s="12"/>
      <c r="AE108" s="13"/>
      <c r="AF108" s="14">
        <v>5.0194000000000001</v>
      </c>
      <c r="AG108" s="133"/>
      <c r="AI108" s="84"/>
      <c r="AL108" s="74">
        <v>4.1717124333333331</v>
      </c>
      <c r="AM108" s="75">
        <v>14.059999999999921</v>
      </c>
      <c r="AN108" s="75">
        <v>15.97999999999988</v>
      </c>
      <c r="AO108" s="78">
        <v>22.139999999999919</v>
      </c>
      <c r="AP108" s="82"/>
      <c r="AQ108" s="74">
        <v>4.0820976499999988</v>
      </c>
      <c r="AR108" s="75">
        <v>13.29999999999991</v>
      </c>
      <c r="AS108" s="75">
        <v>14.67999999999989</v>
      </c>
      <c r="AT108" s="78">
        <v>18.65999999999994</v>
      </c>
      <c r="AU108" s="82"/>
      <c r="AV108" s="74">
        <v>3.728786916666667</v>
      </c>
      <c r="AW108" s="75">
        <v>12.779999999999969</v>
      </c>
      <c r="AX108" s="75">
        <v>14.179999999999991</v>
      </c>
      <c r="AY108" s="78">
        <v>18.780000000000019</v>
      </c>
      <c r="AZ108" s="82"/>
      <c r="BA108" s="74">
        <v>3.188585333333334</v>
      </c>
      <c r="BB108" s="75">
        <v>15.36</v>
      </c>
      <c r="BC108" s="75">
        <v>17.740000000000041</v>
      </c>
      <c r="BD108" s="78">
        <v>29.38000000000001</v>
      </c>
      <c r="BE108" s="82"/>
      <c r="BF108" s="74">
        <v>2.9296481833333332</v>
      </c>
      <c r="BG108" s="75">
        <v>19.21999999999997</v>
      </c>
      <c r="BH108" s="75">
        <v>26.259999999999991</v>
      </c>
      <c r="BI108" s="78">
        <v>55.560000000000009</v>
      </c>
      <c r="BJ108" s="70"/>
      <c r="BK108" s="51"/>
    </row>
    <row r="109" spans="1:63" x14ac:dyDescent="0.4">
      <c r="A109" s="11" t="s">
        <v>188</v>
      </c>
      <c r="B109" s="4"/>
      <c r="C109" s="4"/>
      <c r="D109" s="4"/>
      <c r="E109" s="12"/>
      <c r="G109" s="147" t="s">
        <v>188</v>
      </c>
      <c r="H109" s="159">
        <v>69.994</v>
      </c>
      <c r="I109" s="153">
        <v>70.41</v>
      </c>
      <c r="J109" s="153">
        <v>70.36</v>
      </c>
      <c r="K109" s="153">
        <v>70.37</v>
      </c>
      <c r="L109" s="153">
        <v>70.36</v>
      </c>
      <c r="M109" s="80">
        <f t="shared" si="2"/>
        <v>70.41</v>
      </c>
      <c r="N109" s="80">
        <f t="shared" si="3"/>
        <v>70.36</v>
      </c>
      <c r="O109" s="153">
        <v>21.16</v>
      </c>
      <c r="P109" s="153">
        <v>21.15</v>
      </c>
      <c r="Q109" s="153">
        <v>21.11</v>
      </c>
      <c r="R109" s="153">
        <v>21.08</v>
      </c>
      <c r="S109" s="4"/>
      <c r="U109" s="147" t="s">
        <v>188</v>
      </c>
      <c r="V109" s="11"/>
      <c r="W109" s="4"/>
      <c r="X109" s="12"/>
      <c r="Y109" s="14"/>
      <c r="Z109" s="4"/>
      <c r="AA109" s="13"/>
      <c r="AB109" s="11"/>
      <c r="AC109" s="4"/>
      <c r="AD109" s="12"/>
      <c r="AE109" s="13"/>
      <c r="AF109" s="14">
        <v>5.0156999999999998</v>
      </c>
      <c r="AG109" s="133"/>
      <c r="AI109" s="84"/>
      <c r="AL109" s="74">
        <v>4.1718981166666662</v>
      </c>
      <c r="AM109" s="75">
        <v>15.06000000000007</v>
      </c>
      <c r="AN109" s="75">
        <v>17.040000000000081</v>
      </c>
      <c r="AO109" s="78">
        <v>23.359999999999911</v>
      </c>
      <c r="AP109" s="82"/>
      <c r="AQ109" s="74">
        <v>4.0818342166666666</v>
      </c>
      <c r="AR109" s="75">
        <v>14.48</v>
      </c>
      <c r="AS109" s="75">
        <v>15.939999999999969</v>
      </c>
      <c r="AT109" s="78">
        <v>20.14000000000005</v>
      </c>
      <c r="AU109" s="82"/>
      <c r="AV109" s="74">
        <v>3.7291625666666661</v>
      </c>
      <c r="AW109" s="75">
        <v>13.90000000000002</v>
      </c>
      <c r="AX109" s="75">
        <v>15.39999999999999</v>
      </c>
      <c r="AY109" s="78">
        <v>20.220000000000041</v>
      </c>
      <c r="AZ109" s="82"/>
      <c r="BA109" s="74">
        <v>3.1892212</v>
      </c>
      <c r="BB109" s="75">
        <v>16.340000000000021</v>
      </c>
      <c r="BC109" s="75">
        <v>18.780000000000019</v>
      </c>
      <c r="BD109" s="78">
        <v>30.560000000000009</v>
      </c>
      <c r="BE109" s="82"/>
      <c r="BF109" s="74">
        <v>2.9268227999999992</v>
      </c>
      <c r="BG109" s="75">
        <v>20.180000000000039</v>
      </c>
      <c r="BH109" s="75">
        <v>26.879999999999971</v>
      </c>
      <c r="BI109" s="78">
        <v>55.820000000000022</v>
      </c>
      <c r="BJ109" s="70"/>
      <c r="BK109" s="51"/>
    </row>
    <row r="110" spans="1:63" x14ac:dyDescent="0.4">
      <c r="A110" s="11" t="s">
        <v>189</v>
      </c>
      <c r="B110" s="4"/>
      <c r="C110" s="4"/>
      <c r="D110" s="4"/>
      <c r="E110" s="12"/>
      <c r="G110" s="147" t="s">
        <v>189</v>
      </c>
      <c r="H110" s="159">
        <v>70.087999999999994</v>
      </c>
      <c r="I110" s="153">
        <v>70.400000000000006</v>
      </c>
      <c r="J110" s="153">
        <v>70.31</v>
      </c>
      <c r="K110" s="153">
        <v>70.319999999999993</v>
      </c>
      <c r="L110" s="153">
        <v>70.34</v>
      </c>
      <c r="M110" s="80">
        <f t="shared" si="2"/>
        <v>70.400000000000006</v>
      </c>
      <c r="N110" s="80">
        <f t="shared" si="3"/>
        <v>70.31</v>
      </c>
      <c r="O110" s="153">
        <v>21.19</v>
      </c>
      <c r="P110" s="153">
        <v>21.14</v>
      </c>
      <c r="Q110" s="153">
        <v>21.14</v>
      </c>
      <c r="R110" s="153">
        <v>21.08</v>
      </c>
      <c r="S110" s="4"/>
      <c r="U110" s="147" t="s">
        <v>189</v>
      </c>
      <c r="V110" s="11"/>
      <c r="W110" s="4"/>
      <c r="X110" s="12"/>
      <c r="Y110" s="14"/>
      <c r="Z110" s="4"/>
      <c r="AA110" s="13"/>
      <c r="AB110" s="11"/>
      <c r="AC110" s="4"/>
      <c r="AD110" s="12"/>
      <c r="AE110" s="13"/>
      <c r="AF110" s="14">
        <v>5.0176999999999996</v>
      </c>
      <c r="AG110" s="133"/>
      <c r="AI110" s="84"/>
      <c r="AL110" s="74">
        <v>4.1711227499999994</v>
      </c>
      <c r="AM110" s="75">
        <v>14.54000000000004</v>
      </c>
      <c r="AN110" s="75">
        <v>16.460000000000012</v>
      </c>
      <c r="AO110" s="78">
        <v>22.680000000000081</v>
      </c>
      <c r="AP110" s="82"/>
      <c r="AQ110" s="74">
        <v>4.0819139833333331</v>
      </c>
      <c r="AR110" s="75">
        <v>13.78000000000004</v>
      </c>
      <c r="AS110" s="75">
        <v>15.199999999999919</v>
      </c>
      <c r="AT110" s="78">
        <v>19.199999999999928</v>
      </c>
      <c r="AU110" s="82"/>
      <c r="AV110" s="74">
        <v>3.7287000666666672</v>
      </c>
      <c r="AW110" s="75">
        <v>13.36000000000004</v>
      </c>
      <c r="AX110" s="75">
        <v>14.780000000000021</v>
      </c>
      <c r="AY110" s="78">
        <v>19.439999999999991</v>
      </c>
      <c r="AZ110" s="82"/>
      <c r="BA110" s="74">
        <v>3.1875664833333328</v>
      </c>
      <c r="BB110" s="75">
        <v>16.5</v>
      </c>
      <c r="BC110" s="75">
        <v>18.96000000000004</v>
      </c>
      <c r="BD110" s="78">
        <v>30.90000000000002</v>
      </c>
      <c r="BE110" s="82"/>
      <c r="BF110" s="74">
        <v>2.930420783333334</v>
      </c>
      <c r="BG110" s="75">
        <v>20.48000000000005</v>
      </c>
      <c r="BH110" s="75">
        <v>27.760000000000051</v>
      </c>
      <c r="BI110" s="78">
        <v>57.500000000000007</v>
      </c>
      <c r="BJ110" s="70"/>
      <c r="BK110" s="51"/>
    </row>
    <row r="111" spans="1:63" x14ac:dyDescent="0.4">
      <c r="A111" s="11" t="s">
        <v>190</v>
      </c>
      <c r="B111" s="4"/>
      <c r="C111" s="4"/>
      <c r="D111" s="4"/>
      <c r="E111" s="12"/>
      <c r="G111" s="147" t="s">
        <v>190</v>
      </c>
      <c r="H111" s="159">
        <v>70.019000000000005</v>
      </c>
      <c r="I111" s="153">
        <v>70.400000000000006</v>
      </c>
      <c r="J111" s="153">
        <v>70.33</v>
      </c>
      <c r="K111" s="153">
        <v>70.290000000000006</v>
      </c>
      <c r="L111" s="153">
        <v>70.37</v>
      </c>
      <c r="M111" s="80">
        <f t="shared" si="2"/>
        <v>70.400000000000006</v>
      </c>
      <c r="N111" s="80">
        <f t="shared" si="3"/>
        <v>70.290000000000006</v>
      </c>
      <c r="O111" s="153">
        <v>21.19</v>
      </c>
      <c r="P111" s="153">
        <v>21.15</v>
      </c>
      <c r="Q111" s="153">
        <v>21.12</v>
      </c>
      <c r="R111" s="153">
        <v>21.09</v>
      </c>
      <c r="S111" s="4"/>
      <c r="U111" s="147" t="s">
        <v>190</v>
      </c>
      <c r="V111" s="11"/>
      <c r="W111" s="4"/>
      <c r="X111" s="12"/>
      <c r="Y111" s="14"/>
      <c r="Z111" s="4"/>
      <c r="AA111" s="13"/>
      <c r="AB111" s="11"/>
      <c r="AC111" s="4"/>
      <c r="AD111" s="12"/>
      <c r="AE111" s="13"/>
      <c r="AF111" s="14">
        <v>5.0167999999999999</v>
      </c>
      <c r="AG111" s="133"/>
      <c r="AI111" s="84"/>
      <c r="AL111" s="64">
        <v>4.1711684666666669</v>
      </c>
      <c r="AM111" s="56">
        <v>13.79999999999999</v>
      </c>
      <c r="AN111" s="56">
        <v>15.7</v>
      </c>
      <c r="AO111" s="62">
        <v>21.860000000000031</v>
      </c>
      <c r="AQ111" s="64">
        <v>4.0833622500000004</v>
      </c>
      <c r="AR111" s="56">
        <v>13.26000000000001</v>
      </c>
      <c r="AS111" s="56">
        <v>14.63999999999999</v>
      </c>
      <c r="AT111" s="62">
        <v>18.62000000000004</v>
      </c>
      <c r="AV111" s="64">
        <v>3.730288666666667</v>
      </c>
      <c r="AW111" s="56">
        <v>12.680000000000019</v>
      </c>
      <c r="AX111" s="56">
        <v>14.1</v>
      </c>
      <c r="AY111" s="62">
        <v>18.700000000000031</v>
      </c>
      <c r="BA111" s="64">
        <v>3.1900144166666671</v>
      </c>
      <c r="BB111" s="56">
        <v>15.26000000000005</v>
      </c>
      <c r="BC111" s="56">
        <v>17.640000000000011</v>
      </c>
      <c r="BD111" s="62">
        <v>29.280000000000062</v>
      </c>
      <c r="BF111" s="64">
        <v>2.9311741499999999</v>
      </c>
      <c r="BG111" s="56">
        <v>18.98</v>
      </c>
      <c r="BH111" s="56">
        <v>26.119999999999969</v>
      </c>
      <c r="BI111" s="62">
        <v>55.41999999999998</v>
      </c>
      <c r="BJ111" s="69"/>
      <c r="BK111" s="51"/>
    </row>
    <row r="112" spans="1:63" x14ac:dyDescent="0.4">
      <c r="A112" s="11" t="s">
        <v>191</v>
      </c>
      <c r="B112" s="4"/>
      <c r="C112" s="4"/>
      <c r="D112" s="4"/>
      <c r="E112" s="12"/>
      <c r="G112" s="147" t="s">
        <v>191</v>
      </c>
      <c r="H112" s="159">
        <v>69.893000000000001</v>
      </c>
      <c r="I112" s="153">
        <v>70.34</v>
      </c>
      <c r="J112" s="153">
        <v>70.39</v>
      </c>
      <c r="K112" s="153">
        <v>70.37</v>
      </c>
      <c r="L112" s="153">
        <v>70.37</v>
      </c>
      <c r="M112" s="80">
        <f t="shared" si="2"/>
        <v>70.39</v>
      </c>
      <c r="N112" s="80">
        <f t="shared" si="3"/>
        <v>70.34</v>
      </c>
      <c r="O112" s="153">
        <v>21.19</v>
      </c>
      <c r="P112" s="153">
        <v>21.15</v>
      </c>
      <c r="Q112" s="153">
        <v>21.15</v>
      </c>
      <c r="R112" s="153">
        <v>21.09</v>
      </c>
      <c r="S112" s="4"/>
      <c r="U112" s="147" t="s">
        <v>191</v>
      </c>
      <c r="V112" s="11"/>
      <c r="W112" s="4"/>
      <c r="X112" s="12"/>
      <c r="Y112" s="14"/>
      <c r="Z112" s="4"/>
      <c r="AA112" s="13"/>
      <c r="AB112" s="11"/>
      <c r="AC112" s="4"/>
      <c r="AD112" s="12"/>
      <c r="AE112" s="13"/>
      <c r="AF112" s="14">
        <v>4.9927999999999999</v>
      </c>
      <c r="AG112" s="133"/>
      <c r="AI112" s="84"/>
      <c r="AL112" s="64">
        <v>4.1714539999999998</v>
      </c>
      <c r="AM112" s="56">
        <v>15.38000000000004</v>
      </c>
      <c r="AN112" s="56">
        <v>17.399999999999949</v>
      </c>
      <c r="AO112" s="62">
        <v>23.68000000000006</v>
      </c>
      <c r="AQ112" s="64">
        <v>4.0826558333333338</v>
      </c>
      <c r="AR112" s="56">
        <v>14.63999999999999</v>
      </c>
      <c r="AS112" s="56">
        <v>16.16</v>
      </c>
      <c r="AT112" s="62">
        <v>20.359999999999982</v>
      </c>
      <c r="AV112" s="64">
        <v>3.7289683666666669</v>
      </c>
      <c r="AW112" s="56">
        <v>14.119999999999949</v>
      </c>
      <c r="AX112" s="56">
        <v>15.62000000000001</v>
      </c>
      <c r="AY112" s="62">
        <v>20.51999999999996</v>
      </c>
      <c r="BA112" s="64">
        <v>3.1797096333333328</v>
      </c>
      <c r="BB112" s="56">
        <v>16.560000000000041</v>
      </c>
      <c r="BC112" s="56">
        <v>19.120000000000029</v>
      </c>
      <c r="BD112" s="62">
        <v>31.320000000000011</v>
      </c>
      <c r="BF112" s="64">
        <v>2.9158935333333331</v>
      </c>
      <c r="BG112" s="56">
        <v>20.440000000000062</v>
      </c>
      <c r="BH112" s="56">
        <v>27.13999999999999</v>
      </c>
      <c r="BI112" s="62">
        <v>57.340000000000039</v>
      </c>
      <c r="BJ112" s="69"/>
      <c r="BK112" s="51"/>
    </row>
    <row r="113" spans="1:63" x14ac:dyDescent="0.4">
      <c r="A113" s="11" t="s">
        <v>192</v>
      </c>
      <c r="B113" s="4"/>
      <c r="C113" s="4"/>
      <c r="D113" s="4"/>
      <c r="E113" s="12"/>
      <c r="G113" s="147" t="s">
        <v>192</v>
      </c>
      <c r="H113" s="159">
        <v>70.031999999999996</v>
      </c>
      <c r="I113" s="153">
        <v>70.37</v>
      </c>
      <c r="J113" s="153">
        <v>70.37</v>
      </c>
      <c r="K113" s="153">
        <v>70.34</v>
      </c>
      <c r="L113" s="153">
        <v>70.33</v>
      </c>
      <c r="M113" s="80">
        <f t="shared" si="2"/>
        <v>70.37</v>
      </c>
      <c r="N113" s="80">
        <f t="shared" si="3"/>
        <v>70.33</v>
      </c>
      <c r="O113" s="153">
        <v>21.17</v>
      </c>
      <c r="P113" s="153">
        <v>21.15</v>
      </c>
      <c r="Q113" s="153">
        <v>21.12</v>
      </c>
      <c r="R113" s="153">
        <v>21.11</v>
      </c>
      <c r="S113" s="4"/>
      <c r="U113" s="147" t="s">
        <v>192</v>
      </c>
      <c r="V113" s="11"/>
      <c r="W113" s="4"/>
      <c r="X113" s="12"/>
      <c r="Y113" s="14"/>
      <c r="Z113" s="4"/>
      <c r="AA113" s="13"/>
      <c r="AB113" s="11"/>
      <c r="AC113" s="4"/>
      <c r="AD113" s="12"/>
      <c r="AE113" s="13"/>
      <c r="AF113" s="14">
        <v>5.0126999999999997</v>
      </c>
      <c r="AG113" s="133"/>
      <c r="AI113" s="84"/>
      <c r="AL113" s="64">
        <v>4.1709280666666668</v>
      </c>
      <c r="AM113" s="56">
        <v>14.69999999999985</v>
      </c>
      <c r="AN113" s="56">
        <v>16.63999999999994</v>
      </c>
      <c r="AO113" s="62">
        <v>22.819999999999929</v>
      </c>
      <c r="AQ113" s="64">
        <v>4.0797293999999997</v>
      </c>
      <c r="AR113" s="56">
        <v>13.61999999999988</v>
      </c>
      <c r="AS113" s="56">
        <v>15.019999999999991</v>
      </c>
      <c r="AT113" s="62">
        <v>19.039999999999949</v>
      </c>
      <c r="AV113" s="64">
        <v>3.7257479666666669</v>
      </c>
      <c r="AW113" s="56">
        <v>13.100000000000019</v>
      </c>
      <c r="AX113" s="56">
        <v>14.52</v>
      </c>
      <c r="AY113" s="62">
        <v>19.139999999999979</v>
      </c>
      <c r="BA113" s="64">
        <v>3.1838129999999998</v>
      </c>
      <c r="BB113" s="56">
        <v>15.899999999999981</v>
      </c>
      <c r="BC113" s="56">
        <v>18.320000000000029</v>
      </c>
      <c r="BD113" s="62">
        <v>30.100000000000019</v>
      </c>
      <c r="BF113" s="64">
        <v>2.9301910666666671</v>
      </c>
      <c r="BG113" s="56">
        <v>19.620000000000019</v>
      </c>
      <c r="BH113" s="56">
        <v>26.379999999999981</v>
      </c>
      <c r="BI113" s="62">
        <v>54.84</v>
      </c>
      <c r="BJ113" s="69"/>
      <c r="BK113" s="51"/>
    </row>
    <row r="114" spans="1:63" x14ac:dyDescent="0.4">
      <c r="A114" s="11" t="s">
        <v>193</v>
      </c>
      <c r="B114" s="4"/>
      <c r="C114" s="4"/>
      <c r="D114" s="4"/>
      <c r="E114" s="12"/>
      <c r="G114" s="147" t="s">
        <v>193</v>
      </c>
      <c r="H114" s="159">
        <v>70.06</v>
      </c>
      <c r="I114" s="153">
        <v>70.37</v>
      </c>
      <c r="J114" s="153">
        <v>70.349999999999994</v>
      </c>
      <c r="K114" s="153">
        <v>70.349999999999994</v>
      </c>
      <c r="L114" s="153">
        <v>70.36</v>
      </c>
      <c r="M114" s="80">
        <f t="shared" si="2"/>
        <v>70.37</v>
      </c>
      <c r="N114" s="80">
        <f t="shared" si="3"/>
        <v>70.349999999999994</v>
      </c>
      <c r="O114" s="153">
        <v>21.19</v>
      </c>
      <c r="P114" s="153">
        <v>21.15</v>
      </c>
      <c r="Q114" s="153">
        <v>21.12</v>
      </c>
      <c r="R114" s="153">
        <v>21.09</v>
      </c>
      <c r="S114" s="4"/>
      <c r="U114" s="147" t="s">
        <v>193</v>
      </c>
      <c r="V114" s="11"/>
      <c r="W114" s="4"/>
      <c r="X114" s="12"/>
      <c r="Y114" s="14"/>
      <c r="Z114" s="4"/>
      <c r="AA114" s="13"/>
      <c r="AB114" s="11"/>
      <c r="AC114" s="4"/>
      <c r="AD114" s="12"/>
      <c r="AE114" s="13"/>
      <c r="AF114" s="14">
        <v>4.9863</v>
      </c>
      <c r="AG114" s="133"/>
      <c r="AI114" s="84"/>
      <c r="AL114" s="74">
        <v>4.1713152666666664</v>
      </c>
      <c r="AM114" s="75">
        <v>15.240000000000011</v>
      </c>
      <c r="AN114" s="75">
        <v>17.25999999999992</v>
      </c>
      <c r="AO114" s="78">
        <v>23.49999999999994</v>
      </c>
      <c r="AP114" s="82"/>
      <c r="AQ114" s="74">
        <v>4.0817615500000004</v>
      </c>
      <c r="AR114" s="75">
        <v>14.58000000000013</v>
      </c>
      <c r="AS114" s="75">
        <v>16.10000000000014</v>
      </c>
      <c r="AT114" s="78">
        <v>20.300000000000029</v>
      </c>
      <c r="AU114" s="82"/>
      <c r="AV114" s="74">
        <v>3.7279425166666669</v>
      </c>
      <c r="AW114" s="75">
        <v>14.00000000000006</v>
      </c>
      <c r="AX114" s="75">
        <v>15.54000000000002</v>
      </c>
      <c r="AY114" s="78">
        <v>20.400000000000059</v>
      </c>
      <c r="AZ114" s="82"/>
      <c r="BA114" s="74">
        <v>3.1776154999999999</v>
      </c>
      <c r="BB114" s="75">
        <v>16.760000000000019</v>
      </c>
      <c r="BC114" s="75">
        <v>19.34000000000005</v>
      </c>
      <c r="BD114" s="78">
        <v>31.660000000000021</v>
      </c>
      <c r="BE114" s="82"/>
      <c r="BF114" s="74">
        <v>2.917721733333333</v>
      </c>
      <c r="BG114" s="75">
        <v>20.680000000000032</v>
      </c>
      <c r="BH114" s="75">
        <v>27.46000000000004</v>
      </c>
      <c r="BI114" s="78">
        <v>57.540000000000013</v>
      </c>
      <c r="BJ114" s="70"/>
      <c r="BK114" s="51"/>
    </row>
    <row r="115" spans="1:63" x14ac:dyDescent="0.4">
      <c r="A115" s="11" t="s">
        <v>194</v>
      </c>
      <c r="B115" s="4"/>
      <c r="C115" s="4"/>
      <c r="D115" s="4"/>
      <c r="E115" s="12"/>
      <c r="G115" s="147" t="s">
        <v>194</v>
      </c>
      <c r="H115" s="159">
        <v>70.025999999999996</v>
      </c>
      <c r="I115" s="153">
        <v>70.33</v>
      </c>
      <c r="J115" s="153">
        <v>70.34</v>
      </c>
      <c r="K115" s="153">
        <v>70.36</v>
      </c>
      <c r="L115" s="153">
        <v>70.34</v>
      </c>
      <c r="M115" s="80">
        <f t="shared" si="2"/>
        <v>70.36</v>
      </c>
      <c r="N115" s="80">
        <f t="shared" si="3"/>
        <v>70.33</v>
      </c>
      <c r="O115" s="153">
        <v>21.16</v>
      </c>
      <c r="P115" s="153">
        <v>21.15</v>
      </c>
      <c r="Q115" s="153">
        <v>21.12</v>
      </c>
      <c r="R115" s="153">
        <v>21.08</v>
      </c>
      <c r="S115" s="4"/>
      <c r="U115" s="147" t="s">
        <v>194</v>
      </c>
      <c r="V115" s="11"/>
      <c r="W115" s="4"/>
      <c r="X115" s="12"/>
      <c r="Y115" s="14"/>
      <c r="Z115" s="4"/>
      <c r="AA115" s="13"/>
      <c r="AB115" s="11"/>
      <c r="AC115" s="4"/>
      <c r="AD115" s="12"/>
      <c r="AE115" s="13"/>
      <c r="AF115" s="14">
        <v>5.0114999999999998</v>
      </c>
      <c r="AG115" s="133"/>
      <c r="AI115" s="84"/>
      <c r="AL115" s="74">
        <v>4.1710548000000003</v>
      </c>
      <c r="AM115" s="75">
        <v>14.660000000000119</v>
      </c>
      <c r="AN115" s="75">
        <v>16.56000000000013</v>
      </c>
      <c r="AO115" s="78">
        <v>22.760000000000069</v>
      </c>
      <c r="AP115" s="82"/>
      <c r="AQ115" s="74">
        <v>4.079093883333333</v>
      </c>
      <c r="AR115" s="75">
        <v>13.400000000000031</v>
      </c>
      <c r="AS115" s="75">
        <v>14.76000000000006</v>
      </c>
      <c r="AT115" s="78">
        <v>18.74000000000002</v>
      </c>
      <c r="AU115" s="82"/>
      <c r="AV115" s="74">
        <v>3.7254926666666659</v>
      </c>
      <c r="AW115" s="75">
        <v>12.840000000000011</v>
      </c>
      <c r="AX115" s="75">
        <v>14.24000000000003</v>
      </c>
      <c r="AY115" s="78">
        <v>18.839999999999971</v>
      </c>
      <c r="AZ115" s="82"/>
      <c r="BA115" s="74">
        <v>3.183557033333333</v>
      </c>
      <c r="BB115" s="75">
        <v>15.39999999999999</v>
      </c>
      <c r="BC115" s="75">
        <v>17.820000000000039</v>
      </c>
      <c r="BD115" s="78">
        <v>29.560000000000031</v>
      </c>
      <c r="BE115" s="82"/>
      <c r="BF115" s="74">
        <v>2.9273909333333328</v>
      </c>
      <c r="BG115" s="75">
        <v>19.36</v>
      </c>
      <c r="BH115" s="75">
        <v>26.52000000000001</v>
      </c>
      <c r="BI115" s="78">
        <v>55.999999999999957</v>
      </c>
      <c r="BJ115" s="70"/>
      <c r="BK115" s="51"/>
    </row>
    <row r="116" spans="1:63" x14ac:dyDescent="0.4">
      <c r="A116" s="11" t="s">
        <v>195</v>
      </c>
      <c r="B116" s="4"/>
      <c r="C116" s="4"/>
      <c r="D116" s="4"/>
      <c r="E116" s="12"/>
      <c r="G116" s="147" t="s">
        <v>195</v>
      </c>
      <c r="H116" s="159">
        <v>70.046999999999997</v>
      </c>
      <c r="I116" s="153">
        <v>70.349999999999994</v>
      </c>
      <c r="J116" s="153">
        <v>70.38</v>
      </c>
      <c r="K116" s="153">
        <v>70.37</v>
      </c>
      <c r="L116" s="153">
        <v>70.349999999999994</v>
      </c>
      <c r="M116" s="80">
        <f t="shared" si="2"/>
        <v>70.38</v>
      </c>
      <c r="N116" s="80">
        <f t="shared" si="3"/>
        <v>70.349999999999994</v>
      </c>
      <c r="O116" s="153">
        <v>21.18</v>
      </c>
      <c r="P116" s="153">
        <v>21.16</v>
      </c>
      <c r="Q116" s="153">
        <v>21.12</v>
      </c>
      <c r="R116" s="153">
        <v>21.08</v>
      </c>
      <c r="S116" s="4"/>
      <c r="U116" s="147" t="s">
        <v>195</v>
      </c>
      <c r="V116" s="11"/>
      <c r="W116" s="4"/>
      <c r="X116" s="12"/>
      <c r="Y116" s="14"/>
      <c r="Z116" s="4"/>
      <c r="AA116" s="13"/>
      <c r="AB116" s="11"/>
      <c r="AC116" s="4"/>
      <c r="AD116" s="12"/>
      <c r="AE116" s="13"/>
      <c r="AF116" s="14">
        <v>5.0190000000000001</v>
      </c>
      <c r="AG116" s="133"/>
      <c r="AI116" s="84"/>
      <c r="AL116" s="64">
        <v>4.1708251666666669</v>
      </c>
      <c r="AM116" s="56">
        <v>14.700000000000021</v>
      </c>
      <c r="AN116" s="56">
        <v>16.63999999999994</v>
      </c>
      <c r="AO116" s="62">
        <v>22.84000000000006</v>
      </c>
      <c r="AQ116" s="64">
        <v>4.0807468333333334</v>
      </c>
      <c r="AR116" s="56">
        <v>13.73999999999995</v>
      </c>
      <c r="AS116" s="56">
        <v>15.140000000000059</v>
      </c>
      <c r="AT116" s="62">
        <v>19.179999999999971</v>
      </c>
      <c r="AV116" s="64">
        <v>3.7275241499999998</v>
      </c>
      <c r="AW116" s="56">
        <v>13.27999999999996</v>
      </c>
      <c r="AX116" s="56">
        <v>14.699999999999941</v>
      </c>
      <c r="AY116" s="62">
        <v>19.379999999999949</v>
      </c>
      <c r="BA116" s="64">
        <v>3.187277166666667</v>
      </c>
      <c r="BB116" s="56">
        <v>16.239999999999991</v>
      </c>
      <c r="BC116" s="56">
        <v>18.719999999999981</v>
      </c>
      <c r="BD116" s="62">
        <v>30.6</v>
      </c>
      <c r="BF116" s="64">
        <v>2.9331871</v>
      </c>
      <c r="BG116" s="56">
        <v>20.26000000000003</v>
      </c>
      <c r="BH116" s="56">
        <v>27.420000000000041</v>
      </c>
      <c r="BI116" s="62">
        <v>56.620000000000033</v>
      </c>
      <c r="BJ116" s="69"/>
      <c r="BK116" s="51"/>
    </row>
    <row r="117" spans="1:63" x14ac:dyDescent="0.4">
      <c r="A117" s="11" t="s">
        <v>196</v>
      </c>
      <c r="B117" s="4"/>
      <c r="C117" s="4"/>
      <c r="D117" s="4"/>
      <c r="E117" s="12"/>
      <c r="G117" s="147" t="s">
        <v>196</v>
      </c>
      <c r="H117" s="159">
        <v>70.043000000000006</v>
      </c>
      <c r="I117" s="153">
        <v>70.349999999999994</v>
      </c>
      <c r="J117" s="153">
        <v>70.319999999999993</v>
      </c>
      <c r="K117" s="153">
        <v>70.34</v>
      </c>
      <c r="L117" s="153">
        <v>70.349999999999994</v>
      </c>
      <c r="M117" s="80">
        <f t="shared" si="2"/>
        <v>70.349999999999994</v>
      </c>
      <c r="N117" s="80">
        <f t="shared" si="3"/>
        <v>70.319999999999993</v>
      </c>
      <c r="O117" s="153">
        <v>21.15</v>
      </c>
      <c r="P117" s="153">
        <v>21.14</v>
      </c>
      <c r="Q117" s="153">
        <v>21.11</v>
      </c>
      <c r="R117" s="153">
        <v>21.1</v>
      </c>
      <c r="S117" s="4"/>
      <c r="U117" s="147" t="s">
        <v>196</v>
      </c>
      <c r="V117" s="11"/>
      <c r="W117" s="4"/>
      <c r="X117" s="12"/>
      <c r="Y117" s="14"/>
      <c r="Z117" s="4"/>
      <c r="AA117" s="13"/>
      <c r="AB117" s="11"/>
      <c r="AC117" s="4"/>
      <c r="AD117" s="12"/>
      <c r="AE117" s="13"/>
      <c r="AF117" s="14">
        <v>4.9968000000000004</v>
      </c>
      <c r="AG117" s="133"/>
      <c r="AI117" s="84"/>
      <c r="AL117" s="74">
        <v>4.1715505333333338</v>
      </c>
      <c r="AM117" s="75">
        <v>15.220000000000059</v>
      </c>
      <c r="AN117" s="75">
        <v>17.280000000000051</v>
      </c>
      <c r="AO117" s="78">
        <v>23.68000000000006</v>
      </c>
      <c r="AP117" s="82"/>
      <c r="AQ117" s="74">
        <v>4.0819260166666664</v>
      </c>
      <c r="AR117" s="75">
        <v>14.799999999999971</v>
      </c>
      <c r="AS117" s="75">
        <v>16.300000000000029</v>
      </c>
      <c r="AT117" s="78">
        <v>20.54</v>
      </c>
      <c r="AU117" s="82"/>
      <c r="AV117" s="74">
        <v>3.7281456999999998</v>
      </c>
      <c r="AW117" s="75">
        <v>14.179999999999991</v>
      </c>
      <c r="AX117" s="75">
        <v>15.7</v>
      </c>
      <c r="AY117" s="78">
        <v>20.58</v>
      </c>
      <c r="AZ117" s="82"/>
      <c r="BA117" s="74">
        <v>3.1817450833333329</v>
      </c>
      <c r="BB117" s="75">
        <v>16.259999999999941</v>
      </c>
      <c r="BC117" s="75">
        <v>18.74000000000002</v>
      </c>
      <c r="BD117" s="78">
        <v>30.719999999999992</v>
      </c>
      <c r="BE117" s="82"/>
      <c r="BF117" s="74">
        <v>2.913351333333333</v>
      </c>
      <c r="BG117" s="75">
        <v>20.019999999999971</v>
      </c>
      <c r="BH117" s="75">
        <v>26.679999999999989</v>
      </c>
      <c r="BI117" s="78">
        <v>56.879999999999953</v>
      </c>
      <c r="BJ117" s="70"/>
      <c r="BK117" s="51"/>
    </row>
    <row r="118" spans="1:63" x14ac:dyDescent="0.4">
      <c r="A118" s="11" t="s">
        <v>197</v>
      </c>
      <c r="B118" s="4"/>
      <c r="C118" s="4"/>
      <c r="D118" s="4"/>
      <c r="E118" s="12"/>
      <c r="G118" s="147" t="s">
        <v>197</v>
      </c>
      <c r="H118" s="159">
        <v>70.102000000000004</v>
      </c>
      <c r="I118" s="153">
        <v>70.33</v>
      </c>
      <c r="J118" s="153">
        <v>70.31</v>
      </c>
      <c r="K118" s="153">
        <v>70.33</v>
      </c>
      <c r="L118" s="153">
        <v>70.319999999999993</v>
      </c>
      <c r="M118" s="80">
        <f t="shared" si="2"/>
        <v>70.33</v>
      </c>
      <c r="N118" s="80">
        <f t="shared" si="3"/>
        <v>70.31</v>
      </c>
      <c r="O118" s="153">
        <v>21.18</v>
      </c>
      <c r="P118" s="153">
        <v>21.15</v>
      </c>
      <c r="Q118" s="153">
        <v>21.1</v>
      </c>
      <c r="R118" s="153">
        <v>21.09</v>
      </c>
      <c r="S118" s="4"/>
      <c r="U118" s="147" t="s">
        <v>197</v>
      </c>
      <c r="V118" s="11"/>
      <c r="W118" s="4"/>
      <c r="X118" s="12"/>
      <c r="Y118" s="14"/>
      <c r="Z118" s="4"/>
      <c r="AA118" s="13"/>
      <c r="AB118" s="11"/>
      <c r="AC118" s="4"/>
      <c r="AD118" s="12"/>
      <c r="AE118" s="13"/>
      <c r="AF118" s="14">
        <v>5.0053000000000001</v>
      </c>
      <c r="AG118" s="133"/>
      <c r="AI118" s="84"/>
      <c r="AL118" s="74">
        <v>4.1708082666666666</v>
      </c>
      <c r="AM118" s="75">
        <v>14.620000000000029</v>
      </c>
      <c r="AN118" s="75">
        <v>16.520000000000049</v>
      </c>
      <c r="AO118" s="78">
        <v>22.739999999999942</v>
      </c>
      <c r="AP118" s="82"/>
      <c r="AQ118" s="74">
        <v>4.0799215833333342</v>
      </c>
      <c r="AR118" s="75">
        <v>13.380000000000081</v>
      </c>
      <c r="AS118" s="75">
        <v>14.780000000000021</v>
      </c>
      <c r="AT118" s="78">
        <v>18.780000000000019</v>
      </c>
      <c r="AU118" s="82"/>
      <c r="AV118" s="74">
        <v>3.7256788666666671</v>
      </c>
      <c r="AW118" s="75">
        <v>12.85999999999996</v>
      </c>
      <c r="AX118" s="75">
        <v>14.28000000000003</v>
      </c>
      <c r="AY118" s="78">
        <v>18.919999999999959</v>
      </c>
      <c r="AZ118" s="82"/>
      <c r="BA118" s="74">
        <v>3.1823478833333341</v>
      </c>
      <c r="BB118" s="75">
        <v>15.74</v>
      </c>
      <c r="BC118" s="75">
        <v>18.14</v>
      </c>
      <c r="BD118" s="78">
        <v>30.039999999999981</v>
      </c>
      <c r="BE118" s="82"/>
      <c r="BF118" s="74">
        <v>2.9304538</v>
      </c>
      <c r="BG118" s="75">
        <v>19.61999999999993</v>
      </c>
      <c r="BH118" s="75">
        <v>26.53999999999996</v>
      </c>
      <c r="BI118" s="78">
        <v>55.559999999999917</v>
      </c>
      <c r="BJ118" s="70"/>
      <c r="BK118" s="51"/>
    </row>
    <row r="119" spans="1:63" x14ac:dyDescent="0.4">
      <c r="A119" s="11" t="s">
        <v>198</v>
      </c>
      <c r="B119" s="4"/>
      <c r="C119" s="4"/>
      <c r="D119" s="4"/>
      <c r="E119" s="12"/>
      <c r="G119" s="147" t="s">
        <v>198</v>
      </c>
      <c r="H119" s="159">
        <v>70.114999999999995</v>
      </c>
      <c r="I119" s="153">
        <v>70.349999999999994</v>
      </c>
      <c r="J119" s="153">
        <v>70.319999999999993</v>
      </c>
      <c r="K119" s="153">
        <v>70.34</v>
      </c>
      <c r="L119" s="153">
        <v>70.34</v>
      </c>
      <c r="M119" s="80">
        <f t="shared" si="2"/>
        <v>70.349999999999994</v>
      </c>
      <c r="N119" s="80">
        <f t="shared" si="3"/>
        <v>70.319999999999993</v>
      </c>
      <c r="O119" s="153">
        <v>21.2</v>
      </c>
      <c r="P119" s="153">
        <v>21.17</v>
      </c>
      <c r="Q119" s="153">
        <v>21.18</v>
      </c>
      <c r="R119" s="153">
        <v>21.12</v>
      </c>
      <c r="S119" s="4"/>
      <c r="U119" s="147" t="s">
        <v>198</v>
      </c>
      <c r="V119" s="11"/>
      <c r="W119" s="4"/>
      <c r="X119" s="12"/>
      <c r="Y119" s="14"/>
      <c r="Z119" s="4"/>
      <c r="AA119" s="13"/>
      <c r="AB119" s="11"/>
      <c r="AC119" s="4"/>
      <c r="AD119" s="12"/>
      <c r="AE119" s="13"/>
      <c r="AF119" s="14">
        <v>5.0258000000000003</v>
      </c>
      <c r="AG119" s="133"/>
      <c r="AI119" s="84"/>
      <c r="AL119" s="74">
        <v>4.1709409666666666</v>
      </c>
      <c r="AM119" s="75">
        <v>14.780000000000021</v>
      </c>
      <c r="AN119" s="75">
        <v>16.759999999999842</v>
      </c>
      <c r="AO119" s="78">
        <v>23.07999999999986</v>
      </c>
      <c r="AP119" s="82"/>
      <c r="AQ119" s="74">
        <v>4.0825666333333333</v>
      </c>
      <c r="AR119" s="75">
        <v>14.32000000000002</v>
      </c>
      <c r="AS119" s="75">
        <v>15.78</v>
      </c>
      <c r="AT119" s="78">
        <v>20.02000000000006</v>
      </c>
      <c r="AU119" s="82"/>
      <c r="AV119" s="74">
        <v>3.7302559666666659</v>
      </c>
      <c r="AW119" s="75">
        <v>13.78000000000004</v>
      </c>
      <c r="AX119" s="75">
        <v>15.28</v>
      </c>
      <c r="AY119" s="78">
        <v>20.100000000000051</v>
      </c>
      <c r="AZ119" s="82"/>
      <c r="BA119" s="74">
        <v>3.1927864833333328</v>
      </c>
      <c r="BB119" s="75">
        <v>15.859999999999991</v>
      </c>
      <c r="BC119" s="75">
        <v>18.24000000000003</v>
      </c>
      <c r="BD119" s="78">
        <v>29.82000000000005</v>
      </c>
      <c r="BE119" s="82"/>
      <c r="BF119" s="74">
        <v>2.9284396666666659</v>
      </c>
      <c r="BG119" s="75">
        <v>19.799999999999951</v>
      </c>
      <c r="BH119" s="75">
        <v>26.31999999999994</v>
      </c>
      <c r="BI119" s="78">
        <v>55.039999999999978</v>
      </c>
      <c r="BJ119" s="70"/>
      <c r="BK119" s="51"/>
    </row>
    <row r="120" spans="1:63" x14ac:dyDescent="0.4">
      <c r="A120" s="11" t="s">
        <v>199</v>
      </c>
      <c r="B120" s="4"/>
      <c r="C120" s="4"/>
      <c r="D120" s="4"/>
      <c r="E120" s="12"/>
      <c r="G120" s="147" t="s">
        <v>199</v>
      </c>
      <c r="H120" s="159">
        <v>69.968000000000004</v>
      </c>
      <c r="I120" s="153">
        <v>70.36</v>
      </c>
      <c r="J120" s="153">
        <v>70.36</v>
      </c>
      <c r="K120" s="153">
        <v>70.349999999999994</v>
      </c>
      <c r="L120" s="153">
        <v>70.349999999999994</v>
      </c>
      <c r="M120" s="80">
        <f t="shared" si="2"/>
        <v>70.36</v>
      </c>
      <c r="N120" s="80">
        <f t="shared" si="3"/>
        <v>70.349999999999994</v>
      </c>
      <c r="O120" s="153">
        <v>21.19</v>
      </c>
      <c r="P120" s="153">
        <v>21.17</v>
      </c>
      <c r="Q120" s="153">
        <v>21.14</v>
      </c>
      <c r="R120" s="153">
        <v>21.11</v>
      </c>
      <c r="S120" s="4"/>
      <c r="U120" s="147" t="s">
        <v>199</v>
      </c>
      <c r="V120" s="11"/>
      <c r="W120" s="4"/>
      <c r="X120" s="12"/>
      <c r="Y120" s="14"/>
      <c r="Z120" s="4"/>
      <c r="AA120" s="13"/>
      <c r="AB120" s="11"/>
      <c r="AC120" s="4"/>
      <c r="AD120" s="12"/>
      <c r="AE120" s="13"/>
      <c r="AF120" s="14">
        <v>5.0213000000000001</v>
      </c>
      <c r="AG120" s="133"/>
      <c r="AI120" s="84"/>
      <c r="AL120" s="64">
        <v>4.1707851499999986</v>
      </c>
      <c r="AM120" s="56">
        <v>14.1</v>
      </c>
      <c r="AN120" s="56">
        <v>16.000000000000011</v>
      </c>
      <c r="AO120" s="62">
        <v>22.19999999999995</v>
      </c>
      <c r="AQ120" s="64">
        <v>4.0830931333333336</v>
      </c>
      <c r="AR120" s="56">
        <v>13.539999999999891</v>
      </c>
      <c r="AS120" s="56">
        <v>14.91999999999987</v>
      </c>
      <c r="AT120" s="62">
        <v>18.89999999999992</v>
      </c>
      <c r="AV120" s="64">
        <v>3.7302064000000001</v>
      </c>
      <c r="AW120" s="56">
        <v>13.04000000000007</v>
      </c>
      <c r="AX120" s="56">
        <v>14.44000000000001</v>
      </c>
      <c r="AY120" s="62">
        <v>19.06000000000008</v>
      </c>
      <c r="BA120" s="64">
        <v>3.1915860999999999</v>
      </c>
      <c r="BB120" s="56">
        <v>16.16</v>
      </c>
      <c r="BC120" s="56">
        <v>18.599999999999991</v>
      </c>
      <c r="BD120" s="62">
        <v>30.340000000000082</v>
      </c>
      <c r="BF120" s="64">
        <v>2.935139416666666</v>
      </c>
      <c r="BG120" s="56">
        <v>20.100000000000051</v>
      </c>
      <c r="BH120" s="56">
        <v>27.44</v>
      </c>
      <c r="BI120" s="62">
        <v>56.920000000000037</v>
      </c>
      <c r="BJ120" s="69"/>
      <c r="BK120" s="51"/>
    </row>
    <row r="121" spans="1:63" x14ac:dyDescent="0.4">
      <c r="A121" s="11" t="s">
        <v>200</v>
      </c>
      <c r="B121" s="4"/>
      <c r="C121" s="4"/>
      <c r="D121" s="4"/>
      <c r="E121" s="12"/>
      <c r="G121" s="147" t="s">
        <v>200</v>
      </c>
      <c r="H121" s="159">
        <v>70.040000000000006</v>
      </c>
      <c r="I121" s="153">
        <v>70.37</v>
      </c>
      <c r="J121" s="153">
        <v>70.319999999999993</v>
      </c>
      <c r="K121" s="153">
        <v>70.349999999999994</v>
      </c>
      <c r="L121" s="153">
        <v>70.34</v>
      </c>
      <c r="M121" s="80">
        <f t="shared" si="2"/>
        <v>70.37</v>
      </c>
      <c r="N121" s="80">
        <f t="shared" si="3"/>
        <v>70.319999999999993</v>
      </c>
      <c r="O121" s="153">
        <v>21.21</v>
      </c>
      <c r="P121" s="153">
        <v>21.18</v>
      </c>
      <c r="Q121" s="153">
        <v>21.15</v>
      </c>
      <c r="R121" s="153">
        <v>21.12</v>
      </c>
      <c r="S121" s="4"/>
      <c r="U121" s="147" t="s">
        <v>200</v>
      </c>
      <c r="V121" s="11"/>
      <c r="W121" s="4"/>
      <c r="X121" s="12"/>
      <c r="Y121" s="14"/>
      <c r="Z121" s="4"/>
      <c r="AA121" s="13"/>
      <c r="AB121" s="11"/>
      <c r="AC121" s="4"/>
      <c r="AD121" s="12"/>
      <c r="AE121" s="13"/>
      <c r="AF121" s="14">
        <v>5.0045000000000002</v>
      </c>
      <c r="AG121" s="133"/>
      <c r="AI121" s="84"/>
      <c r="AL121" s="74">
        <v>4.1702309499999997</v>
      </c>
      <c r="AM121" s="75">
        <v>15.640000000000139</v>
      </c>
      <c r="AN121" s="75">
        <v>17.700000000000141</v>
      </c>
      <c r="AO121" s="78">
        <v>24.080000000000009</v>
      </c>
      <c r="AP121" s="82"/>
      <c r="AQ121" s="74">
        <v>4.0819063333333334</v>
      </c>
      <c r="AR121" s="75">
        <v>14.799999999999971</v>
      </c>
      <c r="AS121" s="75">
        <v>16.300000000000029</v>
      </c>
      <c r="AT121" s="78">
        <v>20.54</v>
      </c>
      <c r="AU121" s="82"/>
      <c r="AV121" s="74">
        <v>3.7275935499999999</v>
      </c>
      <c r="AW121" s="75">
        <v>14.160000000000039</v>
      </c>
      <c r="AX121" s="75">
        <v>15.7</v>
      </c>
      <c r="AY121" s="78">
        <v>20.600000000000041</v>
      </c>
      <c r="AZ121" s="82"/>
      <c r="BA121" s="74">
        <v>3.1861533166666671</v>
      </c>
      <c r="BB121" s="75">
        <v>16.559999999999949</v>
      </c>
      <c r="BC121" s="75">
        <v>19.059999999999992</v>
      </c>
      <c r="BD121" s="78">
        <v>31.119999999999951</v>
      </c>
      <c r="BE121" s="82"/>
      <c r="BF121" s="74">
        <v>2.9288037166666672</v>
      </c>
      <c r="BG121" s="75">
        <v>20.499999999999918</v>
      </c>
      <c r="BH121" s="75">
        <v>26.979999999999919</v>
      </c>
      <c r="BI121" s="78">
        <v>55.719999999999992</v>
      </c>
      <c r="BJ121" s="70"/>
      <c r="BK121" s="51"/>
    </row>
    <row r="122" spans="1:63" x14ac:dyDescent="0.4">
      <c r="A122" s="11" t="s">
        <v>201</v>
      </c>
      <c r="B122" s="4"/>
      <c r="C122" s="4"/>
      <c r="D122" s="4"/>
      <c r="E122" s="12"/>
      <c r="G122" s="147" t="s">
        <v>201</v>
      </c>
      <c r="H122" s="159">
        <v>69.977000000000004</v>
      </c>
      <c r="I122" s="153">
        <v>69.980999999999995</v>
      </c>
      <c r="J122" s="153">
        <v>70.42</v>
      </c>
      <c r="K122" s="153">
        <v>70.37</v>
      </c>
      <c r="L122" s="153">
        <v>70.349999999999994</v>
      </c>
      <c r="M122" s="80">
        <v>70.36</v>
      </c>
      <c r="N122" s="80">
        <f t="shared" si="3"/>
        <v>69.980999999999995</v>
      </c>
      <c r="O122" s="153">
        <v>21.18</v>
      </c>
      <c r="P122" s="153">
        <v>21.14</v>
      </c>
      <c r="Q122" s="153">
        <v>21.12</v>
      </c>
      <c r="R122" s="153">
        <v>21.11</v>
      </c>
      <c r="S122" s="4"/>
      <c r="U122" s="147" t="s">
        <v>201</v>
      </c>
      <c r="V122" s="11"/>
      <c r="W122" s="4"/>
      <c r="X122" s="12"/>
      <c r="Y122" s="14"/>
      <c r="Z122" s="4"/>
      <c r="AA122" s="13"/>
      <c r="AB122" s="11"/>
      <c r="AC122" s="4"/>
      <c r="AD122" s="12"/>
      <c r="AE122" s="13"/>
      <c r="AF122" s="14">
        <v>4.9878</v>
      </c>
      <c r="AG122" s="133"/>
      <c r="AI122" s="84"/>
      <c r="AL122" s="64">
        <v>4.1709713833333337</v>
      </c>
      <c r="AM122" s="56">
        <v>15.640000000000139</v>
      </c>
      <c r="AN122" s="56">
        <v>17.68000000000001</v>
      </c>
      <c r="AO122" s="62">
        <v>24.019999999999971</v>
      </c>
      <c r="AQ122" s="64">
        <v>4.081895349999999</v>
      </c>
      <c r="AR122" s="56">
        <v>14.780000000000021</v>
      </c>
      <c r="AS122" s="56">
        <v>16.280000000000069</v>
      </c>
      <c r="AT122" s="62">
        <v>20.54</v>
      </c>
      <c r="AV122" s="64">
        <v>3.727560233333334</v>
      </c>
      <c r="AW122" s="56">
        <v>14.059999999999921</v>
      </c>
      <c r="AX122" s="56">
        <v>15.579999999999931</v>
      </c>
      <c r="AY122" s="62">
        <v>20.479999999999961</v>
      </c>
      <c r="BA122" s="64">
        <v>3.1785061666666659</v>
      </c>
      <c r="BB122" s="56">
        <v>16.679999999999939</v>
      </c>
      <c r="BC122" s="56">
        <v>19.23999999999992</v>
      </c>
      <c r="BD122" s="62">
        <v>31.47999999999999</v>
      </c>
      <c r="BF122" s="64">
        <v>2.9189890333333328</v>
      </c>
      <c r="BG122" s="56">
        <v>20.55999999999996</v>
      </c>
      <c r="BH122" s="56">
        <v>27.280000000000019</v>
      </c>
      <c r="BI122" s="62">
        <v>57.24</v>
      </c>
      <c r="BJ122" s="69"/>
      <c r="BK122" s="51"/>
    </row>
    <row r="123" spans="1:63" x14ac:dyDescent="0.4">
      <c r="A123" s="11" t="s">
        <v>202</v>
      </c>
      <c r="B123" s="4"/>
      <c r="C123" s="4"/>
      <c r="D123" s="4"/>
      <c r="E123" s="12"/>
      <c r="G123" s="147" t="s">
        <v>202</v>
      </c>
      <c r="H123" s="159">
        <v>70.02</v>
      </c>
      <c r="I123" s="153">
        <v>70.34</v>
      </c>
      <c r="J123" s="153">
        <v>70.349999999999994</v>
      </c>
      <c r="K123" s="153">
        <v>70.36</v>
      </c>
      <c r="L123" s="153">
        <v>70.349999999999994</v>
      </c>
      <c r="M123" s="80">
        <f t="shared" si="2"/>
        <v>70.36</v>
      </c>
      <c r="N123" s="80">
        <f t="shared" si="3"/>
        <v>70.34</v>
      </c>
      <c r="O123" s="153">
        <v>21.17</v>
      </c>
      <c r="P123" s="153">
        <v>21.16</v>
      </c>
      <c r="Q123" s="153">
        <v>21.13</v>
      </c>
      <c r="R123" s="153">
        <v>21.11</v>
      </c>
      <c r="S123" s="4"/>
      <c r="U123" s="147" t="s">
        <v>202</v>
      </c>
      <c r="V123" s="11"/>
      <c r="W123" s="4"/>
      <c r="X123" s="12"/>
      <c r="Y123" s="14"/>
      <c r="Z123" s="4"/>
      <c r="AA123" s="13"/>
      <c r="AB123" s="11"/>
      <c r="AC123" s="4"/>
      <c r="AD123" s="12"/>
      <c r="AE123" s="13"/>
      <c r="AF123" s="14">
        <v>5.0153999999999996</v>
      </c>
      <c r="AG123" s="133"/>
      <c r="AI123" s="84"/>
      <c r="AL123" s="64">
        <v>4.1707539833333334</v>
      </c>
      <c r="AM123" s="56">
        <v>14.119999999999949</v>
      </c>
      <c r="AN123" s="56">
        <v>16.040000000000099</v>
      </c>
      <c r="AO123" s="62">
        <v>22.220000000000081</v>
      </c>
      <c r="AQ123" s="64">
        <v>4.0828672833333339</v>
      </c>
      <c r="AR123" s="56">
        <v>13.620000000000051</v>
      </c>
      <c r="AS123" s="56">
        <v>15.02000000000017</v>
      </c>
      <c r="AT123" s="62">
        <v>19.04000000000012</v>
      </c>
      <c r="AV123" s="64">
        <v>3.729235866666667</v>
      </c>
      <c r="AW123" s="56">
        <v>13.13999999999993</v>
      </c>
      <c r="AX123" s="56">
        <v>14.56</v>
      </c>
      <c r="AY123" s="62">
        <v>19.179999999999971</v>
      </c>
      <c r="BA123" s="64">
        <v>3.1889079833333329</v>
      </c>
      <c r="BB123" s="56">
        <v>15.58000000000002</v>
      </c>
      <c r="BC123" s="56">
        <v>17.95999999999998</v>
      </c>
      <c r="BD123" s="62">
        <v>29.61999999999998</v>
      </c>
      <c r="BF123" s="64">
        <v>2.9345819333333329</v>
      </c>
      <c r="BG123" s="56">
        <v>19.380000000000042</v>
      </c>
      <c r="BH123" s="56">
        <v>25.95999999999998</v>
      </c>
      <c r="BI123" s="62">
        <v>54.319999999999958</v>
      </c>
      <c r="BJ123" s="69"/>
      <c r="BK123" s="51"/>
    </row>
    <row r="124" spans="1:63" x14ac:dyDescent="0.4">
      <c r="A124" s="11" t="s">
        <v>203</v>
      </c>
      <c r="B124" s="4"/>
      <c r="C124" s="4"/>
      <c r="D124" s="4"/>
      <c r="E124" s="12"/>
      <c r="G124" s="147" t="s">
        <v>203</v>
      </c>
      <c r="H124" s="159">
        <v>70</v>
      </c>
      <c r="I124" s="153">
        <v>70.349999999999994</v>
      </c>
      <c r="J124" s="153">
        <v>70.31</v>
      </c>
      <c r="K124" s="153">
        <v>70.400000000000006</v>
      </c>
      <c r="L124" s="153">
        <v>70.42</v>
      </c>
      <c r="M124" s="80">
        <f t="shared" si="2"/>
        <v>70.42</v>
      </c>
      <c r="N124" s="80">
        <f t="shared" si="3"/>
        <v>70.31</v>
      </c>
      <c r="O124" s="153">
        <v>21.17</v>
      </c>
      <c r="P124" s="153">
        <v>21.15</v>
      </c>
      <c r="Q124" s="153">
        <v>21.12</v>
      </c>
      <c r="R124" s="153">
        <v>21.09</v>
      </c>
      <c r="S124" s="4"/>
      <c r="U124" s="147" t="s">
        <v>203</v>
      </c>
      <c r="V124" s="11"/>
      <c r="W124" s="4"/>
      <c r="X124" s="12"/>
      <c r="Y124" s="14"/>
      <c r="Z124" s="4"/>
      <c r="AA124" s="13"/>
      <c r="AB124" s="11"/>
      <c r="AC124" s="4"/>
      <c r="AD124" s="12"/>
      <c r="AE124" s="13"/>
      <c r="AF124" s="14">
        <v>4.9907000000000004</v>
      </c>
      <c r="AG124" s="133"/>
      <c r="AI124" s="84"/>
      <c r="AL124" s="64">
        <v>4.1712583333333342</v>
      </c>
      <c r="AM124" s="56">
        <v>15.55999999999997</v>
      </c>
      <c r="AN124" s="56">
        <v>17.559999999999931</v>
      </c>
      <c r="AO124" s="62">
        <v>23.78</v>
      </c>
      <c r="AQ124" s="64">
        <v>4.0811331000000006</v>
      </c>
      <c r="AR124" s="56">
        <v>14.739999999999929</v>
      </c>
      <c r="AS124" s="56">
        <v>16.220000000000031</v>
      </c>
      <c r="AT124" s="62">
        <v>20.479999999999961</v>
      </c>
      <c r="AV124" s="64">
        <v>3.727315383333333</v>
      </c>
      <c r="AW124" s="56">
        <v>13.940000000000021</v>
      </c>
      <c r="AX124" s="56">
        <v>15.460000000000029</v>
      </c>
      <c r="AY124" s="62">
        <v>20.359999999999982</v>
      </c>
      <c r="BA124" s="64">
        <v>3.1776638500000001</v>
      </c>
      <c r="BB124" s="56">
        <v>16.36000000000006</v>
      </c>
      <c r="BC124" s="56">
        <v>18.86000000000001</v>
      </c>
      <c r="BD124" s="62">
        <v>31.06</v>
      </c>
      <c r="BF124" s="64">
        <v>2.917982583333333</v>
      </c>
      <c r="BG124" s="56">
        <v>20.14000000000005</v>
      </c>
      <c r="BH124" s="56">
        <v>26.900000000000009</v>
      </c>
      <c r="BI124" s="62">
        <v>56.880000000000038</v>
      </c>
      <c r="BJ124" s="69"/>
      <c r="BK124" s="51"/>
    </row>
    <row r="125" spans="1:63" x14ac:dyDescent="0.4">
      <c r="A125" s="11" t="s">
        <v>204</v>
      </c>
      <c r="B125" s="4"/>
      <c r="C125" s="4"/>
      <c r="D125" s="4"/>
      <c r="E125" s="12"/>
      <c r="G125" s="147" t="s">
        <v>204</v>
      </c>
      <c r="H125" s="159">
        <v>70.054000000000002</v>
      </c>
      <c r="I125" s="153">
        <v>70.38</v>
      </c>
      <c r="J125" s="153">
        <v>70.34</v>
      </c>
      <c r="K125" s="153">
        <v>70.349999999999994</v>
      </c>
      <c r="L125" s="153">
        <v>70.319999999999993</v>
      </c>
      <c r="M125" s="80">
        <f t="shared" si="2"/>
        <v>70.38</v>
      </c>
      <c r="N125" s="80">
        <f t="shared" si="3"/>
        <v>70.319999999999993</v>
      </c>
      <c r="O125" s="153">
        <v>21.19</v>
      </c>
      <c r="P125" s="153">
        <v>21.17</v>
      </c>
      <c r="Q125" s="153">
        <v>21.11</v>
      </c>
      <c r="R125" s="153">
        <v>21.09</v>
      </c>
      <c r="S125" s="4"/>
      <c r="U125" s="147" t="s">
        <v>204</v>
      </c>
      <c r="V125" s="11"/>
      <c r="W125" s="4"/>
      <c r="X125" s="12"/>
      <c r="Y125" s="14"/>
      <c r="Z125" s="4"/>
      <c r="AA125" s="13"/>
      <c r="AB125" s="11"/>
      <c r="AC125" s="4"/>
      <c r="AD125" s="12"/>
      <c r="AE125" s="13"/>
      <c r="AF125" s="14">
        <v>5.0042</v>
      </c>
      <c r="AG125" s="133"/>
      <c r="AI125" s="84"/>
      <c r="AL125" s="64">
        <v>4.1705573166666667</v>
      </c>
      <c r="AM125" s="56">
        <v>15.460000000000029</v>
      </c>
      <c r="AN125" s="56">
        <v>17.45999999999999</v>
      </c>
      <c r="AO125" s="62">
        <v>23.820000000000089</v>
      </c>
      <c r="AQ125" s="64">
        <v>4.0807802166666658</v>
      </c>
      <c r="AR125" s="56">
        <v>14.460000000000051</v>
      </c>
      <c r="AS125" s="56">
        <v>15.939999999999969</v>
      </c>
      <c r="AT125" s="62">
        <v>20.17999999999995</v>
      </c>
      <c r="AV125" s="64">
        <v>3.726603916666666</v>
      </c>
      <c r="AW125" s="56">
        <v>13.940000000000021</v>
      </c>
      <c r="AX125" s="56">
        <v>15.439999999999991</v>
      </c>
      <c r="AY125" s="62">
        <v>20.27999999999999</v>
      </c>
      <c r="BA125" s="64">
        <v>3.1826889500000002</v>
      </c>
      <c r="BB125" s="56">
        <v>16.439999999999969</v>
      </c>
      <c r="BC125" s="56">
        <v>18.940000000000001</v>
      </c>
      <c r="BD125" s="62">
        <v>30.959999999999969</v>
      </c>
      <c r="BF125" s="64">
        <v>2.9343115333333341</v>
      </c>
      <c r="BG125" s="56">
        <v>20.2</v>
      </c>
      <c r="BH125" s="56">
        <v>27.339999999999961</v>
      </c>
      <c r="BI125" s="62">
        <v>56.219999999999978</v>
      </c>
      <c r="BJ125" s="69"/>
      <c r="BK125" s="51"/>
    </row>
    <row r="126" spans="1:63" x14ac:dyDescent="0.4">
      <c r="A126" s="11" t="s">
        <v>205</v>
      </c>
      <c r="B126" s="4"/>
      <c r="C126" s="4"/>
      <c r="D126" s="4"/>
      <c r="E126" s="12"/>
      <c r="G126" s="147" t="s">
        <v>205</v>
      </c>
      <c r="H126" s="159">
        <v>69.995000000000005</v>
      </c>
      <c r="I126" s="153">
        <v>70.349999999999994</v>
      </c>
      <c r="J126" s="153">
        <v>70.37</v>
      </c>
      <c r="K126" s="153">
        <v>70.36</v>
      </c>
      <c r="L126" s="153">
        <v>70.349999999999994</v>
      </c>
      <c r="M126" s="80">
        <f t="shared" si="2"/>
        <v>70.37</v>
      </c>
      <c r="N126" s="80">
        <f t="shared" si="3"/>
        <v>70.349999999999994</v>
      </c>
      <c r="O126" s="153">
        <v>21.17</v>
      </c>
      <c r="P126" s="153">
        <v>21.16</v>
      </c>
      <c r="Q126" s="153">
        <v>21.13</v>
      </c>
      <c r="R126" s="153">
        <v>21.12</v>
      </c>
      <c r="S126" s="4"/>
      <c r="U126" s="147" t="s">
        <v>205</v>
      </c>
      <c r="V126" s="11"/>
      <c r="W126" s="4"/>
      <c r="X126" s="12"/>
      <c r="Y126" s="14"/>
      <c r="Z126" s="4"/>
      <c r="AA126" s="13"/>
      <c r="AB126" s="11"/>
      <c r="AC126" s="4"/>
      <c r="AD126" s="12"/>
      <c r="AE126" s="13"/>
      <c r="AF126" s="14">
        <v>5.0129000000000001</v>
      </c>
      <c r="AG126" s="133"/>
      <c r="AI126" s="84"/>
      <c r="AL126" s="74">
        <v>4.1707336833333333</v>
      </c>
      <c r="AM126" s="75">
        <v>14.620000000000029</v>
      </c>
      <c r="AN126" s="75">
        <v>16.54</v>
      </c>
      <c r="AO126" s="78">
        <v>22.780000000000019</v>
      </c>
      <c r="AP126" s="82"/>
      <c r="AQ126" s="74">
        <v>4.0814879499999996</v>
      </c>
      <c r="AR126" s="75">
        <v>13.620000000000051</v>
      </c>
      <c r="AS126" s="75">
        <v>15.019999999999991</v>
      </c>
      <c r="AT126" s="78">
        <v>19.059999999999992</v>
      </c>
      <c r="AU126" s="82"/>
      <c r="AV126" s="74">
        <v>3.7278591333333329</v>
      </c>
      <c r="AW126" s="75">
        <v>13.160000000000061</v>
      </c>
      <c r="AX126" s="75">
        <v>14.580000000000039</v>
      </c>
      <c r="AY126" s="78">
        <v>19.260000000000051</v>
      </c>
      <c r="AZ126" s="82"/>
      <c r="BA126" s="74">
        <v>3.1861014999999999</v>
      </c>
      <c r="BB126" s="75">
        <v>16.300000000000029</v>
      </c>
      <c r="BC126" s="75">
        <v>18.760000000000069</v>
      </c>
      <c r="BD126" s="78">
        <v>30.68</v>
      </c>
      <c r="BE126" s="82"/>
      <c r="BF126" s="74">
        <v>2.9305499500000001</v>
      </c>
      <c r="BG126" s="75">
        <v>20.359999999999982</v>
      </c>
      <c r="BH126" s="75">
        <v>27.579999999999941</v>
      </c>
      <c r="BI126" s="78">
        <v>57.179999999999957</v>
      </c>
      <c r="BJ126" s="70"/>
      <c r="BK126" s="51"/>
    </row>
    <row r="127" spans="1:63" x14ac:dyDescent="0.4">
      <c r="A127" s="11" t="s">
        <v>206</v>
      </c>
      <c r="B127" s="4"/>
      <c r="C127" s="4"/>
      <c r="D127" s="4"/>
      <c r="E127" s="12"/>
      <c r="G127" s="147" t="s">
        <v>206</v>
      </c>
      <c r="H127" s="159">
        <v>69.977000000000004</v>
      </c>
      <c r="I127" s="153">
        <v>70.38</v>
      </c>
      <c r="J127" s="153">
        <v>70.39</v>
      </c>
      <c r="K127" s="153">
        <v>70.38</v>
      </c>
      <c r="L127" s="153">
        <v>70.38</v>
      </c>
      <c r="M127" s="80">
        <f t="shared" si="2"/>
        <v>70.39</v>
      </c>
      <c r="N127" s="80">
        <f t="shared" si="3"/>
        <v>70.38</v>
      </c>
      <c r="O127" s="153">
        <v>21.17</v>
      </c>
      <c r="P127" s="153">
        <v>21.15</v>
      </c>
      <c r="Q127" s="153">
        <v>21.11</v>
      </c>
      <c r="R127" s="153">
        <v>21.1</v>
      </c>
      <c r="S127" s="4"/>
      <c r="U127" s="147" t="s">
        <v>206</v>
      </c>
      <c r="V127" s="11"/>
      <c r="W127" s="4"/>
      <c r="X127" s="12"/>
      <c r="Y127" s="14"/>
      <c r="Z127" s="4"/>
      <c r="AA127" s="13"/>
      <c r="AB127" s="11"/>
      <c r="AC127" s="4"/>
      <c r="AD127" s="12"/>
      <c r="AE127" s="13"/>
      <c r="AF127" s="14">
        <v>4.9863999999999997</v>
      </c>
      <c r="AG127" s="133"/>
      <c r="AI127" s="84"/>
      <c r="AL127" s="74">
        <v>4.1710313333333344</v>
      </c>
      <c r="AM127" s="75">
        <v>15.34000000000013</v>
      </c>
      <c r="AN127" s="75">
        <v>17.360000000000039</v>
      </c>
      <c r="AO127" s="78">
        <v>23.6600000000001</v>
      </c>
      <c r="AP127" s="82"/>
      <c r="AQ127" s="74">
        <v>4.082288983333334</v>
      </c>
      <c r="AR127" s="75">
        <v>14.54000000000004</v>
      </c>
      <c r="AS127" s="75">
        <v>16.039999999999921</v>
      </c>
      <c r="AT127" s="78">
        <v>20.27999999999999</v>
      </c>
      <c r="AU127" s="82"/>
      <c r="AV127" s="74">
        <v>3.7282119833333338</v>
      </c>
      <c r="AW127" s="75">
        <v>13.980000000000009</v>
      </c>
      <c r="AX127" s="75">
        <v>15.50000000000002</v>
      </c>
      <c r="AY127" s="78">
        <v>20.340000000000021</v>
      </c>
      <c r="AZ127" s="82"/>
      <c r="BA127" s="74">
        <v>3.1789023333333328</v>
      </c>
      <c r="BB127" s="75">
        <v>16.479999999999961</v>
      </c>
      <c r="BC127" s="75">
        <v>18.99999999999995</v>
      </c>
      <c r="BD127" s="78">
        <v>31.15999999999994</v>
      </c>
      <c r="BE127" s="82"/>
      <c r="BF127" s="74">
        <v>2.917927866666667</v>
      </c>
      <c r="BG127" s="75">
        <v>20.339999999999939</v>
      </c>
      <c r="BH127" s="75">
        <v>27.079999999999949</v>
      </c>
      <c r="BI127" s="78">
        <v>57.039999999999942</v>
      </c>
      <c r="BJ127" s="70"/>
      <c r="BK127" s="51"/>
    </row>
    <row r="128" spans="1:63" x14ac:dyDescent="0.4">
      <c r="A128" s="11" t="s">
        <v>207</v>
      </c>
      <c r="B128" s="4"/>
      <c r="C128" s="4"/>
      <c r="D128" s="4"/>
      <c r="E128" s="12"/>
      <c r="G128" s="147" t="s">
        <v>207</v>
      </c>
      <c r="H128" s="159">
        <v>70.031999999999996</v>
      </c>
      <c r="I128" s="153">
        <v>70.31</v>
      </c>
      <c r="J128" s="153">
        <v>70.34</v>
      </c>
      <c r="K128" s="153">
        <v>70.39</v>
      </c>
      <c r="L128" s="153">
        <v>70.349999999999994</v>
      </c>
      <c r="M128" s="80">
        <f t="shared" si="2"/>
        <v>70.39</v>
      </c>
      <c r="N128" s="80">
        <f t="shared" si="3"/>
        <v>70.31</v>
      </c>
      <c r="O128" s="153">
        <v>21.16</v>
      </c>
      <c r="P128" s="153">
        <v>21.15</v>
      </c>
      <c r="Q128" s="153">
        <v>21.12</v>
      </c>
      <c r="R128" s="153">
        <v>21.09</v>
      </c>
      <c r="S128" s="4"/>
      <c r="U128" s="147" t="s">
        <v>207</v>
      </c>
      <c r="V128" s="11"/>
      <c r="W128" s="4"/>
      <c r="X128" s="12"/>
      <c r="Y128" s="14"/>
      <c r="Z128" s="4"/>
      <c r="AA128" s="13"/>
      <c r="AB128" s="11"/>
      <c r="AC128" s="4"/>
      <c r="AD128" s="12"/>
      <c r="AE128" s="13"/>
      <c r="AF128" s="14">
        <v>4.9949000000000003</v>
      </c>
      <c r="AG128" s="133"/>
      <c r="AI128" s="84"/>
      <c r="AL128" s="74">
        <v>4.1699475499999998</v>
      </c>
      <c r="AM128" s="75">
        <v>15.859999999999991</v>
      </c>
      <c r="AN128" s="75">
        <v>17.900000000000031</v>
      </c>
      <c r="AO128" s="78">
        <v>24.36000000000007</v>
      </c>
      <c r="AP128" s="82"/>
      <c r="AQ128" s="74">
        <v>4.0814876166666663</v>
      </c>
      <c r="AR128" s="75">
        <v>14.94</v>
      </c>
      <c r="AS128" s="75">
        <v>16.460000000000012</v>
      </c>
      <c r="AT128" s="78">
        <v>20.699999999999989</v>
      </c>
      <c r="AU128" s="82"/>
      <c r="AV128" s="74">
        <v>3.726904966666666</v>
      </c>
      <c r="AW128" s="75">
        <v>14.21999999999999</v>
      </c>
      <c r="AX128" s="75">
        <v>15.75999999999995</v>
      </c>
      <c r="AY128" s="78">
        <v>20.679999999999939</v>
      </c>
      <c r="AZ128" s="82"/>
      <c r="BA128" s="74">
        <v>3.1827240333333329</v>
      </c>
      <c r="BB128" s="75">
        <v>16.579999999999991</v>
      </c>
      <c r="BC128" s="75">
        <v>19.119999999999941</v>
      </c>
      <c r="BD128" s="78">
        <v>31.319999999999929</v>
      </c>
      <c r="BE128" s="82"/>
      <c r="BF128" s="74">
        <v>2.9286689166666671</v>
      </c>
      <c r="BG128" s="75">
        <v>20.39999999999997</v>
      </c>
      <c r="BH128" s="75">
        <v>26.959999999999962</v>
      </c>
      <c r="BI128" s="78">
        <v>55.739999999999952</v>
      </c>
      <c r="BJ128" s="70"/>
      <c r="BK128" s="51"/>
    </row>
    <row r="129" spans="1:63" x14ac:dyDescent="0.4">
      <c r="A129" s="11" t="s">
        <v>208</v>
      </c>
      <c r="B129" s="4"/>
      <c r="C129" s="4"/>
      <c r="D129" s="4"/>
      <c r="E129" s="12"/>
      <c r="G129" s="147" t="s">
        <v>208</v>
      </c>
      <c r="H129" s="159">
        <v>70.046999999999997</v>
      </c>
      <c r="I129" s="153">
        <v>70.400000000000006</v>
      </c>
      <c r="J129" s="153">
        <v>70.319999999999993</v>
      </c>
      <c r="K129" s="153">
        <v>70.3</v>
      </c>
      <c r="L129" s="153">
        <v>70.34</v>
      </c>
      <c r="M129" s="80">
        <f t="shared" si="2"/>
        <v>70.400000000000006</v>
      </c>
      <c r="N129" s="80">
        <f t="shared" si="3"/>
        <v>70.3</v>
      </c>
      <c r="O129" s="153">
        <v>21.16</v>
      </c>
      <c r="P129" s="153">
        <v>21.14</v>
      </c>
      <c r="Q129" s="153">
        <v>21.11</v>
      </c>
      <c r="R129" s="153">
        <v>21.09</v>
      </c>
      <c r="S129" s="4"/>
      <c r="U129" s="147" t="s">
        <v>208</v>
      </c>
      <c r="V129" s="11"/>
      <c r="W129" s="4"/>
      <c r="X129" s="12"/>
      <c r="Y129" s="14"/>
      <c r="Z129" s="4"/>
      <c r="AA129" s="13"/>
      <c r="AB129" s="11"/>
      <c r="AC129" s="4"/>
      <c r="AD129" s="12"/>
      <c r="AE129" s="13"/>
      <c r="AF129" s="14">
        <v>4.9978999999999996</v>
      </c>
      <c r="AG129" s="133"/>
      <c r="AI129" s="84"/>
      <c r="AL129" s="74">
        <v>4.1706730333333342</v>
      </c>
      <c r="AM129" s="75">
        <v>15.479999999999981</v>
      </c>
      <c r="AN129" s="75">
        <v>17.47999999999994</v>
      </c>
      <c r="AO129" s="78">
        <v>23.799999999999951</v>
      </c>
      <c r="AP129" s="82"/>
      <c r="AQ129" s="74">
        <v>4.0813204000000001</v>
      </c>
      <c r="AR129" s="75">
        <v>14.50000000000014</v>
      </c>
      <c r="AS129" s="75">
        <v>15.980000000000061</v>
      </c>
      <c r="AT129" s="78">
        <v>20.200000000000081</v>
      </c>
      <c r="AU129" s="82"/>
      <c r="AV129" s="74">
        <v>3.7275538166666671</v>
      </c>
      <c r="AW129" s="75">
        <v>13.899999999999929</v>
      </c>
      <c r="AX129" s="75">
        <v>15.379999999999949</v>
      </c>
      <c r="AY129" s="78">
        <v>20.17999999999995</v>
      </c>
      <c r="AZ129" s="82"/>
      <c r="BA129" s="74">
        <v>3.1836152000000002</v>
      </c>
      <c r="BB129" s="75">
        <v>16.38000000000002</v>
      </c>
      <c r="BC129" s="75">
        <v>18.839999999999971</v>
      </c>
      <c r="BD129" s="78">
        <v>30.839999999999979</v>
      </c>
      <c r="BE129" s="82"/>
      <c r="BF129" s="74">
        <v>2.9363760333333331</v>
      </c>
      <c r="BG129" s="75">
        <v>20.239999999999991</v>
      </c>
      <c r="BH129" s="75">
        <v>27.079999999999949</v>
      </c>
      <c r="BI129" s="78">
        <v>55.519999999999918</v>
      </c>
      <c r="BJ129" s="70"/>
      <c r="BK129" s="51"/>
    </row>
    <row r="130" spans="1:63" x14ac:dyDescent="0.4">
      <c r="A130" s="11" t="s">
        <v>209</v>
      </c>
      <c r="B130" s="4"/>
      <c r="C130" s="4"/>
      <c r="D130" s="4"/>
      <c r="E130" s="12"/>
      <c r="G130" s="147" t="s">
        <v>209</v>
      </c>
      <c r="H130" s="159">
        <v>69.968999999999994</v>
      </c>
      <c r="I130" s="153">
        <v>70.38</v>
      </c>
      <c r="J130" s="153">
        <v>70.33</v>
      </c>
      <c r="K130" s="153">
        <v>70.34</v>
      </c>
      <c r="L130" s="153">
        <v>70.349999999999994</v>
      </c>
      <c r="M130" s="80">
        <f t="shared" si="2"/>
        <v>70.38</v>
      </c>
      <c r="N130" s="80">
        <f t="shared" si="3"/>
        <v>70.33</v>
      </c>
      <c r="O130" s="153">
        <v>21.16</v>
      </c>
      <c r="P130" s="153">
        <v>21.14</v>
      </c>
      <c r="Q130" s="153">
        <v>21.1</v>
      </c>
      <c r="R130" s="153">
        <v>21.08</v>
      </c>
      <c r="S130" s="4"/>
      <c r="U130" s="147" t="s">
        <v>209</v>
      </c>
      <c r="V130" s="11"/>
      <c r="W130" s="4"/>
      <c r="X130" s="12"/>
      <c r="Y130" s="14"/>
      <c r="Z130" s="4"/>
      <c r="AA130" s="13"/>
      <c r="AB130" s="11"/>
      <c r="AC130" s="4"/>
      <c r="AD130" s="12"/>
      <c r="AE130" s="13"/>
      <c r="AF130" s="14">
        <v>5.0185000000000004</v>
      </c>
      <c r="AG130" s="133"/>
      <c r="AI130" s="84"/>
      <c r="AL130" s="74">
        <v>4.1710258500000004</v>
      </c>
      <c r="AM130" s="75">
        <v>14.63999999999999</v>
      </c>
      <c r="AN130" s="75">
        <v>16.58000000000008</v>
      </c>
      <c r="AO130" s="78">
        <v>22.780000000000019</v>
      </c>
      <c r="AP130" s="82"/>
      <c r="AQ130" s="74">
        <v>4.0807830333333328</v>
      </c>
      <c r="AR130" s="75">
        <v>13.61999999999988</v>
      </c>
      <c r="AS130" s="75">
        <v>15.019999999999991</v>
      </c>
      <c r="AT130" s="78">
        <v>19.039999999999949</v>
      </c>
      <c r="AU130" s="82"/>
      <c r="AV130" s="74">
        <v>3.7271966666666669</v>
      </c>
      <c r="AW130" s="75">
        <v>13.22000000000001</v>
      </c>
      <c r="AX130" s="75">
        <v>14.63999999999999</v>
      </c>
      <c r="AY130" s="78">
        <v>19.299999999999962</v>
      </c>
      <c r="AZ130" s="82"/>
      <c r="BA130" s="74">
        <v>3.1861287333333341</v>
      </c>
      <c r="BB130" s="75">
        <v>16.340000000000021</v>
      </c>
      <c r="BC130" s="75">
        <v>18.800000000000061</v>
      </c>
      <c r="BD130" s="78">
        <v>30.64</v>
      </c>
      <c r="BE130" s="82"/>
      <c r="BF130" s="74">
        <v>2.9299315333333338</v>
      </c>
      <c r="BG130" s="75">
        <v>20.39999999999997</v>
      </c>
      <c r="BH130" s="75">
        <v>27.579999999999941</v>
      </c>
      <c r="BI130" s="78">
        <v>57.099999999999973</v>
      </c>
      <c r="BJ130" s="70"/>
      <c r="BK130" s="51"/>
    </row>
    <row r="131" spans="1:63" x14ac:dyDescent="0.4">
      <c r="A131" s="11" t="s">
        <v>210</v>
      </c>
      <c r="B131" s="4"/>
      <c r="C131" s="4"/>
      <c r="D131" s="4"/>
      <c r="E131" s="12"/>
      <c r="G131" s="147" t="s">
        <v>210</v>
      </c>
      <c r="H131" s="159">
        <v>70.036000000000001</v>
      </c>
      <c r="I131" s="153">
        <v>70.39</v>
      </c>
      <c r="J131" s="153">
        <v>70.319999999999993</v>
      </c>
      <c r="K131" s="153">
        <v>70.319999999999993</v>
      </c>
      <c r="L131" s="153">
        <v>70.319999999999993</v>
      </c>
      <c r="M131" s="80">
        <f t="shared" si="2"/>
        <v>70.39</v>
      </c>
      <c r="N131" s="80">
        <f t="shared" si="3"/>
        <v>70.319999999999993</v>
      </c>
      <c r="O131" s="153">
        <v>21.18</v>
      </c>
      <c r="P131" s="153">
        <v>21.17</v>
      </c>
      <c r="Q131" s="153">
        <v>21.12</v>
      </c>
      <c r="R131" s="153">
        <v>21.1</v>
      </c>
      <c r="S131" s="4"/>
      <c r="U131" s="147" t="s">
        <v>210</v>
      </c>
      <c r="V131" s="11"/>
      <c r="W131" s="4"/>
      <c r="X131" s="12"/>
      <c r="Y131" s="14"/>
      <c r="Z131" s="4"/>
      <c r="AA131" s="13"/>
      <c r="AB131" s="11"/>
      <c r="AC131" s="4"/>
      <c r="AD131" s="12"/>
      <c r="AE131" s="13"/>
      <c r="AF131" s="14">
        <v>4.9981999999999998</v>
      </c>
      <c r="AG131" s="133"/>
      <c r="AI131" s="84"/>
      <c r="AL131" s="74">
        <v>4.1703237499999997</v>
      </c>
      <c r="AM131" s="75">
        <v>15.220000000000059</v>
      </c>
      <c r="AN131" s="75">
        <v>17.22000000000001</v>
      </c>
      <c r="AO131" s="78">
        <v>23.559999999999981</v>
      </c>
      <c r="AP131" s="82"/>
      <c r="AQ131" s="74">
        <v>4.0828168333333332</v>
      </c>
      <c r="AR131" s="75">
        <v>14.60000000000008</v>
      </c>
      <c r="AS131" s="75">
        <v>16.080000000000009</v>
      </c>
      <c r="AT131" s="78">
        <v>20.300000000000122</v>
      </c>
      <c r="AU131" s="82"/>
      <c r="AV131" s="74">
        <v>3.7280164166666672</v>
      </c>
      <c r="AW131" s="75">
        <v>14.1</v>
      </c>
      <c r="AX131" s="75">
        <v>15.599999999999969</v>
      </c>
      <c r="AY131" s="78">
        <v>20.500000000000011</v>
      </c>
      <c r="AZ131" s="82"/>
      <c r="BA131" s="74">
        <v>3.1834276500000001</v>
      </c>
      <c r="BB131" s="75">
        <v>16.599999999999952</v>
      </c>
      <c r="BC131" s="75">
        <v>19.08000000000003</v>
      </c>
      <c r="BD131" s="78">
        <v>31.24000000000002</v>
      </c>
      <c r="BE131" s="82"/>
      <c r="BF131" s="74">
        <v>2.9323089499999999</v>
      </c>
      <c r="BG131" s="75">
        <v>20.419999999999931</v>
      </c>
      <c r="BH131" s="75">
        <v>26.91999999999997</v>
      </c>
      <c r="BI131" s="78">
        <v>55.379999999999981</v>
      </c>
      <c r="BJ131" s="70"/>
      <c r="BK131" s="51"/>
    </row>
    <row r="132" spans="1:63" x14ac:dyDescent="0.4">
      <c r="A132" s="11" t="s">
        <v>211</v>
      </c>
      <c r="B132" s="4"/>
      <c r="C132" s="4"/>
      <c r="D132" s="4"/>
      <c r="E132" s="12"/>
      <c r="G132" s="147" t="s">
        <v>211</v>
      </c>
      <c r="H132" s="159">
        <v>70.031999999999996</v>
      </c>
      <c r="I132" s="153">
        <v>70.39</v>
      </c>
      <c r="J132" s="153">
        <v>70.38</v>
      </c>
      <c r="K132" s="153">
        <v>70.37</v>
      </c>
      <c r="L132" s="153">
        <v>70.37</v>
      </c>
      <c r="M132" s="80">
        <f t="shared" si="2"/>
        <v>70.39</v>
      </c>
      <c r="N132" s="80">
        <f t="shared" si="3"/>
        <v>70.37</v>
      </c>
      <c r="O132" s="153">
        <v>21.18</v>
      </c>
      <c r="P132" s="153">
        <v>21.15</v>
      </c>
      <c r="Q132" s="153">
        <v>21.1</v>
      </c>
      <c r="R132" s="153">
        <v>21.09</v>
      </c>
      <c r="S132" s="4"/>
      <c r="U132" s="147" t="s">
        <v>211</v>
      </c>
      <c r="V132" s="11"/>
      <c r="W132" s="4"/>
      <c r="X132" s="12"/>
      <c r="Y132" s="14"/>
      <c r="Z132" s="4"/>
      <c r="AA132" s="13"/>
      <c r="AB132" s="11"/>
      <c r="AC132" s="4"/>
      <c r="AD132" s="12"/>
      <c r="AE132" s="13"/>
      <c r="AF132" s="14">
        <v>5.0042</v>
      </c>
      <c r="AG132" s="133"/>
      <c r="AI132" s="84"/>
      <c r="AL132" s="64">
        <v>4.1710794833333331</v>
      </c>
      <c r="AM132" s="56">
        <v>15.06000000000007</v>
      </c>
      <c r="AN132" s="56">
        <v>17.060000000000031</v>
      </c>
      <c r="AO132" s="62">
        <v>23.340000000000138</v>
      </c>
      <c r="AQ132" s="64">
        <v>4.0821420499999999</v>
      </c>
      <c r="AR132" s="56">
        <v>14.54000000000004</v>
      </c>
      <c r="AS132" s="56">
        <v>16.040000000000099</v>
      </c>
      <c r="AT132" s="62">
        <v>20.26000000000003</v>
      </c>
      <c r="AV132" s="64">
        <v>3.728112083333333</v>
      </c>
      <c r="AW132" s="56">
        <v>14.00000000000006</v>
      </c>
      <c r="AX132" s="56">
        <v>15.50000000000002</v>
      </c>
      <c r="AY132" s="62">
        <v>20.36000000000007</v>
      </c>
      <c r="BA132" s="64">
        <v>3.1800897666666672</v>
      </c>
      <c r="BB132" s="56">
        <v>16.440000000000051</v>
      </c>
      <c r="BC132" s="56">
        <v>18.96000000000004</v>
      </c>
      <c r="BD132" s="62">
        <v>31.06</v>
      </c>
      <c r="BF132" s="64">
        <v>2.9214973</v>
      </c>
      <c r="BG132" s="56">
        <v>19.879999999999939</v>
      </c>
      <c r="BH132" s="56">
        <v>26.959999999999962</v>
      </c>
      <c r="BI132" s="62">
        <v>56.679999999999971</v>
      </c>
      <c r="BJ132" s="69"/>
      <c r="BK132" s="51"/>
    </row>
    <row r="133" spans="1:63" x14ac:dyDescent="0.4">
      <c r="A133" s="11" t="s">
        <v>212</v>
      </c>
      <c r="B133" s="4"/>
      <c r="C133" s="4"/>
      <c r="D133" s="4"/>
      <c r="E133" s="12"/>
      <c r="G133" s="147" t="s">
        <v>212</v>
      </c>
      <c r="H133" s="159">
        <v>70.025999999999996</v>
      </c>
      <c r="I133" s="153">
        <v>70.349999999999994</v>
      </c>
      <c r="J133" s="153">
        <v>70.37</v>
      </c>
      <c r="K133" s="153">
        <v>70.34</v>
      </c>
      <c r="L133" s="153">
        <v>70.349999999999994</v>
      </c>
      <c r="M133" s="80">
        <f t="shared" si="2"/>
        <v>70.37</v>
      </c>
      <c r="N133" s="80">
        <f t="shared" si="3"/>
        <v>70.34</v>
      </c>
      <c r="O133" s="153">
        <v>21.14</v>
      </c>
      <c r="P133" s="153">
        <v>21.12</v>
      </c>
      <c r="Q133" s="153">
        <v>21.13</v>
      </c>
      <c r="R133" s="153">
        <v>21.08</v>
      </c>
      <c r="S133" s="4"/>
      <c r="U133" s="147" t="s">
        <v>212</v>
      </c>
      <c r="V133" s="11"/>
      <c r="W133" s="4"/>
      <c r="X133" s="12"/>
      <c r="Y133" s="14"/>
      <c r="Z133" s="4"/>
      <c r="AA133" s="13"/>
      <c r="AB133" s="11"/>
      <c r="AC133" s="4"/>
      <c r="AD133" s="12"/>
      <c r="AE133" s="13"/>
      <c r="AF133" s="14">
        <v>5.0282999999999998</v>
      </c>
      <c r="AG133" s="133"/>
      <c r="AI133" s="84"/>
      <c r="AL133" s="74">
        <v>4.1707943166666661</v>
      </c>
      <c r="AM133" s="75">
        <v>14.33999999999997</v>
      </c>
      <c r="AN133" s="75">
        <v>16.239999999999991</v>
      </c>
      <c r="AO133" s="78">
        <v>22.40000000000002</v>
      </c>
      <c r="AP133" s="82"/>
      <c r="AQ133" s="74">
        <v>4.0825405999999997</v>
      </c>
      <c r="AR133" s="75">
        <v>13.49999999999998</v>
      </c>
      <c r="AS133" s="75">
        <v>14.900000000000089</v>
      </c>
      <c r="AT133" s="78">
        <v>18.900000000000009</v>
      </c>
      <c r="AU133" s="82"/>
      <c r="AV133" s="74">
        <v>3.72863955</v>
      </c>
      <c r="AW133" s="75">
        <v>13.019999999999939</v>
      </c>
      <c r="AX133" s="75">
        <v>14.44000000000001</v>
      </c>
      <c r="AY133" s="78">
        <v>19.059999999999992</v>
      </c>
      <c r="AZ133" s="82"/>
      <c r="BA133" s="74">
        <v>3.187484766666667</v>
      </c>
      <c r="BB133" s="75">
        <v>15.62000000000001</v>
      </c>
      <c r="BC133" s="75">
        <v>18.02000000000001</v>
      </c>
      <c r="BD133" s="78">
        <v>29.779999999999959</v>
      </c>
      <c r="BE133" s="82"/>
      <c r="BF133" s="74">
        <v>2.9383323166666671</v>
      </c>
      <c r="BG133" s="75">
        <v>19.339999999999961</v>
      </c>
      <c r="BH133" s="75">
        <v>25.97999999999994</v>
      </c>
      <c r="BI133" s="78">
        <v>54.139999999999937</v>
      </c>
      <c r="BJ133" s="70"/>
      <c r="BK133" s="51"/>
    </row>
    <row r="134" spans="1:63" x14ac:dyDescent="0.4">
      <c r="A134" s="11" t="s">
        <v>213</v>
      </c>
      <c r="B134" s="4"/>
      <c r="C134" s="4"/>
      <c r="D134" s="4"/>
      <c r="E134" s="12"/>
      <c r="G134" s="147" t="s">
        <v>213</v>
      </c>
      <c r="H134" s="159">
        <v>69.945999999999998</v>
      </c>
      <c r="I134" s="153">
        <v>70.37</v>
      </c>
      <c r="J134" s="153">
        <v>70.349999999999994</v>
      </c>
      <c r="K134" s="153">
        <v>70.33</v>
      </c>
      <c r="L134" s="153">
        <v>70.349999999999994</v>
      </c>
      <c r="M134" s="80">
        <f t="shared" ref="M134:M197" si="4">MAX(I134:L134)</f>
        <v>70.37</v>
      </c>
      <c r="N134" s="80">
        <f t="shared" ref="N134:N197" si="5">MIN(I134:L134)</f>
        <v>70.33</v>
      </c>
      <c r="O134" s="153">
        <v>21.21</v>
      </c>
      <c r="P134" s="153">
        <v>21.19</v>
      </c>
      <c r="Q134" s="153">
        <v>21.16</v>
      </c>
      <c r="R134" s="153">
        <v>21.14</v>
      </c>
      <c r="S134" s="4"/>
      <c r="U134" s="147" t="s">
        <v>213</v>
      </c>
      <c r="V134" s="11"/>
      <c r="W134" s="4"/>
      <c r="X134" s="12"/>
      <c r="Y134" s="14"/>
      <c r="Z134" s="4"/>
      <c r="AA134" s="13"/>
      <c r="AB134" s="11"/>
      <c r="AC134" s="4"/>
      <c r="AD134" s="12"/>
      <c r="AE134" s="13"/>
      <c r="AF134" s="14">
        <v>4.9932999999999996</v>
      </c>
      <c r="AG134" s="133"/>
      <c r="AI134" s="84"/>
      <c r="AL134" s="74">
        <v>4.1717124333333331</v>
      </c>
      <c r="AM134" s="75">
        <v>14.059999999999921</v>
      </c>
      <c r="AN134" s="75">
        <v>15.97999999999988</v>
      </c>
      <c r="AO134" s="78">
        <v>22.139999999999919</v>
      </c>
      <c r="AP134" s="82"/>
      <c r="AQ134" s="74">
        <v>4.0820976499999988</v>
      </c>
      <c r="AR134" s="75">
        <v>13.29999999999991</v>
      </c>
      <c r="AS134" s="75">
        <v>14.67999999999989</v>
      </c>
      <c r="AT134" s="78">
        <v>18.65999999999994</v>
      </c>
      <c r="AU134" s="82"/>
      <c r="AV134" s="74">
        <v>3.728786916666667</v>
      </c>
      <c r="AW134" s="75">
        <v>12.779999999999969</v>
      </c>
      <c r="AX134" s="75">
        <v>14.179999999999991</v>
      </c>
      <c r="AY134" s="78">
        <v>18.780000000000019</v>
      </c>
      <c r="AZ134" s="82"/>
      <c r="BA134" s="74">
        <v>3.188585333333334</v>
      </c>
      <c r="BB134" s="75">
        <v>15.36</v>
      </c>
      <c r="BC134" s="75">
        <v>17.740000000000041</v>
      </c>
      <c r="BD134" s="78">
        <v>29.38000000000001</v>
      </c>
      <c r="BE134" s="82"/>
      <c r="BF134" s="74">
        <v>2.9296481833333332</v>
      </c>
      <c r="BG134" s="75">
        <v>19.21999999999997</v>
      </c>
      <c r="BH134" s="75">
        <v>26.259999999999991</v>
      </c>
      <c r="BI134" s="78">
        <v>55.560000000000009</v>
      </c>
      <c r="BJ134" s="70"/>
      <c r="BK134" s="51"/>
    </row>
    <row r="135" spans="1:63" x14ac:dyDescent="0.4">
      <c r="A135" s="11" t="s">
        <v>214</v>
      </c>
      <c r="B135" s="4"/>
      <c r="C135" s="4"/>
      <c r="D135" s="4"/>
      <c r="E135" s="12"/>
      <c r="G135" s="147" t="s">
        <v>214</v>
      </c>
      <c r="H135" s="159">
        <v>69.986999999999995</v>
      </c>
      <c r="I135" s="153">
        <v>70.400000000000006</v>
      </c>
      <c r="J135" s="153">
        <v>70.37</v>
      </c>
      <c r="K135" s="153">
        <v>70.34</v>
      </c>
      <c r="L135" s="153">
        <v>70.3</v>
      </c>
      <c r="M135" s="80">
        <f t="shared" si="4"/>
        <v>70.400000000000006</v>
      </c>
      <c r="N135" s="80">
        <f t="shared" si="5"/>
        <v>70.3</v>
      </c>
      <c r="O135" s="153">
        <v>21.16</v>
      </c>
      <c r="P135" s="153">
        <v>21.15</v>
      </c>
      <c r="Q135" s="153">
        <v>21.13</v>
      </c>
      <c r="R135" s="153">
        <v>21.12</v>
      </c>
      <c r="S135" s="4"/>
      <c r="U135" s="147" t="s">
        <v>214</v>
      </c>
      <c r="V135" s="11"/>
      <c r="W135" s="4"/>
      <c r="X135" s="12"/>
      <c r="Y135" s="14"/>
      <c r="Z135" s="4"/>
      <c r="AA135" s="13"/>
      <c r="AB135" s="11"/>
      <c r="AC135" s="4"/>
      <c r="AD135" s="12"/>
      <c r="AE135" s="13"/>
      <c r="AF135" s="14">
        <v>5.0209000000000001</v>
      </c>
      <c r="AG135" s="133"/>
      <c r="AI135" s="84"/>
      <c r="AL135" s="64">
        <v>4.1722899833333331</v>
      </c>
      <c r="AM135" s="56">
        <v>15.359999999999911</v>
      </c>
      <c r="AN135" s="56">
        <v>17.399999999999949</v>
      </c>
      <c r="AO135" s="62">
        <v>23.760000000000051</v>
      </c>
      <c r="AQ135" s="64">
        <v>4.081574633333334</v>
      </c>
      <c r="AR135" s="56">
        <v>14.86000000000001</v>
      </c>
      <c r="AS135" s="56">
        <v>16.39999999999997</v>
      </c>
      <c r="AT135" s="62">
        <v>20.659999999999989</v>
      </c>
      <c r="AV135" s="64">
        <v>3.7270391999999992</v>
      </c>
      <c r="AW135" s="56">
        <v>14.400000000000009</v>
      </c>
      <c r="AX135" s="56">
        <v>15.920000000000019</v>
      </c>
      <c r="AY135" s="62">
        <v>20.88000000000001</v>
      </c>
      <c r="BA135" s="64">
        <v>3.176665433333334</v>
      </c>
      <c r="BB135" s="56">
        <v>17.319999999999961</v>
      </c>
      <c r="BC135" s="56">
        <v>19.919999999999941</v>
      </c>
      <c r="BD135" s="62">
        <v>32.499999999999929</v>
      </c>
      <c r="BF135" s="64">
        <v>2.9346929333333329</v>
      </c>
      <c r="BG135" s="56">
        <v>20.479999999999961</v>
      </c>
      <c r="BH135" s="56">
        <v>27.079999999999949</v>
      </c>
      <c r="BI135" s="62">
        <v>55.41999999999998</v>
      </c>
      <c r="BJ135" s="69"/>
      <c r="BK135" s="51"/>
    </row>
    <row r="136" spans="1:63" x14ac:dyDescent="0.4">
      <c r="A136" s="11" t="s">
        <v>215</v>
      </c>
      <c r="B136" s="4"/>
      <c r="C136" s="4"/>
      <c r="D136" s="4"/>
      <c r="E136" s="12"/>
      <c r="G136" s="147" t="s">
        <v>215</v>
      </c>
      <c r="H136" s="159">
        <v>70.081000000000003</v>
      </c>
      <c r="I136" s="153">
        <v>70.33</v>
      </c>
      <c r="J136" s="153">
        <v>70.349999999999994</v>
      </c>
      <c r="K136" s="153">
        <v>70.349999999999994</v>
      </c>
      <c r="L136" s="153">
        <v>70.36</v>
      </c>
      <c r="M136" s="80">
        <f t="shared" si="4"/>
        <v>70.36</v>
      </c>
      <c r="N136" s="80">
        <f t="shared" si="5"/>
        <v>70.33</v>
      </c>
      <c r="O136" s="153">
        <v>21.14</v>
      </c>
      <c r="P136" s="153">
        <v>21.13</v>
      </c>
      <c r="Q136" s="153">
        <v>21.13</v>
      </c>
      <c r="R136" s="153">
        <v>21.11</v>
      </c>
      <c r="S136" s="4"/>
      <c r="U136" s="147" t="s">
        <v>215</v>
      </c>
      <c r="V136" s="11"/>
      <c r="W136" s="4"/>
      <c r="X136" s="12"/>
      <c r="Y136" s="14"/>
      <c r="Z136" s="4"/>
      <c r="AA136" s="13"/>
      <c r="AB136" s="11"/>
      <c r="AC136" s="4"/>
      <c r="AD136" s="12"/>
      <c r="AE136" s="13"/>
      <c r="AF136" s="14">
        <v>5.04</v>
      </c>
      <c r="AG136" s="133"/>
      <c r="AI136" s="84"/>
      <c r="AL136" s="74">
        <v>4.1721782666666671</v>
      </c>
      <c r="AM136" s="75">
        <v>14.24000000000003</v>
      </c>
      <c r="AN136" s="75">
        <v>16.17999999999995</v>
      </c>
      <c r="AO136" s="78">
        <v>22.36000000000011</v>
      </c>
      <c r="AP136" s="82"/>
      <c r="AQ136" s="74">
        <v>4.0809271833333334</v>
      </c>
      <c r="AR136" s="75">
        <v>13.68000000000009</v>
      </c>
      <c r="AS136" s="75">
        <v>15.08000000000003</v>
      </c>
      <c r="AT136" s="78">
        <v>19.16000000000011</v>
      </c>
      <c r="AU136" s="82"/>
      <c r="AV136" s="74">
        <v>3.726819166666667</v>
      </c>
      <c r="AW136" s="75">
        <v>13.26000000000001</v>
      </c>
      <c r="AX136" s="75">
        <v>14.67999999999998</v>
      </c>
      <c r="AY136" s="78">
        <v>19.380000000000042</v>
      </c>
      <c r="AZ136" s="82"/>
      <c r="BA136" s="74">
        <v>3.1853429666666671</v>
      </c>
      <c r="BB136" s="75">
        <v>16.319999999999979</v>
      </c>
      <c r="BC136" s="75">
        <v>18.820000000000011</v>
      </c>
      <c r="BD136" s="78">
        <v>30.879999999999971</v>
      </c>
      <c r="BE136" s="82"/>
      <c r="BF136" s="74">
        <v>2.9492841833333339</v>
      </c>
      <c r="BG136" s="75">
        <v>19.30000000000005</v>
      </c>
      <c r="BH136" s="75">
        <v>25.580000000000069</v>
      </c>
      <c r="BI136" s="78">
        <v>52.280000000000022</v>
      </c>
      <c r="BJ136" s="70"/>
      <c r="BK136" s="51"/>
    </row>
    <row r="137" spans="1:63" x14ac:dyDescent="0.4">
      <c r="A137" s="11" t="s">
        <v>216</v>
      </c>
      <c r="B137" s="4"/>
      <c r="C137" s="4"/>
      <c r="D137" s="4"/>
      <c r="E137" s="12"/>
      <c r="G137" s="147" t="s">
        <v>216</v>
      </c>
      <c r="H137" s="159">
        <v>70.019000000000005</v>
      </c>
      <c r="I137" s="153">
        <v>70.33</v>
      </c>
      <c r="J137" s="153">
        <v>70.36</v>
      </c>
      <c r="K137" s="153">
        <v>70.37</v>
      </c>
      <c r="L137" s="153">
        <v>70.349999999999994</v>
      </c>
      <c r="M137" s="80">
        <f t="shared" si="4"/>
        <v>70.37</v>
      </c>
      <c r="N137" s="80">
        <f t="shared" si="5"/>
        <v>70.33</v>
      </c>
      <c r="O137" s="153">
        <v>21.19</v>
      </c>
      <c r="P137" s="153">
        <v>21.18</v>
      </c>
      <c r="Q137" s="153">
        <v>21.17</v>
      </c>
      <c r="R137" s="153">
        <v>21.15</v>
      </c>
      <c r="S137" s="4"/>
      <c r="U137" s="147" t="s">
        <v>216</v>
      </c>
      <c r="V137" s="11"/>
      <c r="W137" s="4"/>
      <c r="X137" s="12"/>
      <c r="Y137" s="14"/>
      <c r="Z137" s="4"/>
      <c r="AA137" s="13"/>
      <c r="AB137" s="11"/>
      <c r="AC137" s="4"/>
      <c r="AD137" s="12"/>
      <c r="AE137" s="13"/>
      <c r="AF137" s="14">
        <v>5.04</v>
      </c>
      <c r="AG137" s="133"/>
      <c r="AI137" s="84"/>
      <c r="AL137" s="74">
        <v>4.1722729000000003</v>
      </c>
      <c r="AM137" s="75">
        <v>14.32000000000002</v>
      </c>
      <c r="AN137" s="75">
        <v>16.220000000000031</v>
      </c>
      <c r="AO137" s="78">
        <v>22.38000000000007</v>
      </c>
      <c r="AP137" s="82"/>
      <c r="AQ137" s="74">
        <v>4.0810616166666671</v>
      </c>
      <c r="AR137" s="75">
        <v>13.54000000000006</v>
      </c>
      <c r="AS137" s="75">
        <v>14.920000000000041</v>
      </c>
      <c r="AT137" s="78">
        <v>18.940000000000001</v>
      </c>
      <c r="AU137" s="82"/>
      <c r="AV137" s="74">
        <v>3.72885855</v>
      </c>
      <c r="AW137" s="75">
        <v>13.060000000000031</v>
      </c>
      <c r="AX137" s="75">
        <v>14.44000000000001</v>
      </c>
      <c r="AY137" s="78">
        <v>19.040000000000031</v>
      </c>
      <c r="AZ137" s="82"/>
      <c r="BA137" s="74">
        <v>3.1904819999999998</v>
      </c>
      <c r="BB137" s="75">
        <v>15.899999999999981</v>
      </c>
      <c r="BC137" s="75">
        <v>18.28000000000003</v>
      </c>
      <c r="BD137" s="78">
        <v>29.95999999999999</v>
      </c>
      <c r="BE137" s="82"/>
      <c r="BF137" s="74">
        <v>2.951273249999999</v>
      </c>
      <c r="BG137" s="75">
        <v>19.120000000000029</v>
      </c>
      <c r="BH137" s="75">
        <v>25.8</v>
      </c>
      <c r="BI137" s="78">
        <v>53.279999999999987</v>
      </c>
      <c r="BJ137" s="70"/>
      <c r="BK137" s="51"/>
    </row>
    <row r="138" spans="1:63" x14ac:dyDescent="0.4">
      <c r="A138" s="11" t="s">
        <v>217</v>
      </c>
      <c r="B138" s="4"/>
      <c r="C138" s="4"/>
      <c r="D138" s="4"/>
      <c r="E138" s="12"/>
      <c r="G138" s="147" t="s">
        <v>217</v>
      </c>
      <c r="H138" s="159">
        <v>70.093000000000004</v>
      </c>
      <c r="I138" s="153">
        <v>70.38</v>
      </c>
      <c r="J138" s="153">
        <v>70.36</v>
      </c>
      <c r="K138" s="153">
        <v>70.31</v>
      </c>
      <c r="L138" s="153">
        <v>70.34</v>
      </c>
      <c r="M138" s="80">
        <f t="shared" si="4"/>
        <v>70.38</v>
      </c>
      <c r="N138" s="80">
        <f t="shared" si="5"/>
        <v>70.31</v>
      </c>
      <c r="O138" s="153">
        <v>21.04</v>
      </c>
      <c r="P138" s="153">
        <v>20.95</v>
      </c>
      <c r="Q138" s="153">
        <v>21.05</v>
      </c>
      <c r="R138" s="153">
        <v>21.02</v>
      </c>
      <c r="S138" s="4"/>
      <c r="U138" s="147" t="s">
        <v>217</v>
      </c>
      <c r="V138" s="11"/>
      <c r="W138" s="4"/>
      <c r="X138" s="12"/>
      <c r="Y138" s="14"/>
      <c r="Z138" s="4"/>
      <c r="AA138" s="13"/>
      <c r="AB138" s="11"/>
      <c r="AC138" s="4"/>
      <c r="AD138" s="12"/>
      <c r="AE138" s="13"/>
      <c r="AF138" s="14">
        <v>5.0345000000000004</v>
      </c>
      <c r="AG138" s="133"/>
      <c r="AI138" s="84"/>
      <c r="AL138" s="74">
        <v>4.1721179166666671</v>
      </c>
      <c r="AM138" s="75">
        <v>14.50000000000014</v>
      </c>
      <c r="AN138" s="75">
        <v>16.440000000000051</v>
      </c>
      <c r="AO138" s="78">
        <v>22.62000000000004</v>
      </c>
      <c r="AP138" s="82"/>
      <c r="AQ138" s="74">
        <v>4.0814418166666666</v>
      </c>
      <c r="AR138" s="75">
        <v>13.879999999999979</v>
      </c>
      <c r="AS138" s="75">
        <v>15.28000000000009</v>
      </c>
      <c r="AT138" s="78">
        <v>19.34000000000005</v>
      </c>
      <c r="AU138" s="82"/>
      <c r="AV138" s="74">
        <v>3.729612316666667</v>
      </c>
      <c r="AW138" s="75">
        <v>13.49999999999998</v>
      </c>
      <c r="AX138" s="75">
        <v>14.919999999999961</v>
      </c>
      <c r="AY138" s="78">
        <v>19.599999999999969</v>
      </c>
      <c r="AZ138" s="82"/>
      <c r="BA138" s="74">
        <v>3.1916712166666672</v>
      </c>
      <c r="BB138" s="75">
        <v>16.63999999999994</v>
      </c>
      <c r="BC138" s="75">
        <v>19.09999999999998</v>
      </c>
      <c r="BD138" s="78">
        <v>30.959999999999969</v>
      </c>
      <c r="BE138" s="82"/>
      <c r="BF138" s="74">
        <v>2.9545425500000002</v>
      </c>
      <c r="BG138" s="75">
        <v>19.83999999999995</v>
      </c>
      <c r="BH138" s="75">
        <v>26.64</v>
      </c>
      <c r="BI138" s="78">
        <v>54.08</v>
      </c>
      <c r="BJ138" s="70"/>
      <c r="BK138" s="51"/>
    </row>
    <row r="139" spans="1:63" x14ac:dyDescent="0.4">
      <c r="A139" s="11" t="s">
        <v>218</v>
      </c>
      <c r="B139" s="4"/>
      <c r="C139" s="4"/>
      <c r="D139" s="4"/>
      <c r="E139" s="12"/>
      <c r="G139" s="147" t="s">
        <v>218</v>
      </c>
      <c r="H139" s="159">
        <v>70.061999999999998</v>
      </c>
      <c r="I139" s="153">
        <v>70.52</v>
      </c>
      <c r="J139" s="153">
        <v>70.3</v>
      </c>
      <c r="K139" s="153">
        <v>70.319999999999993</v>
      </c>
      <c r="L139" s="153">
        <v>70.34</v>
      </c>
      <c r="M139" s="80">
        <f t="shared" si="4"/>
        <v>70.52</v>
      </c>
      <c r="N139" s="80">
        <f t="shared" si="5"/>
        <v>70.3</v>
      </c>
      <c r="O139" s="153">
        <v>20.94</v>
      </c>
      <c r="P139" s="153">
        <v>20.9</v>
      </c>
      <c r="Q139" s="153">
        <v>21.05</v>
      </c>
      <c r="R139" s="153">
        <v>21.04</v>
      </c>
      <c r="S139" s="4"/>
      <c r="U139" s="147" t="s">
        <v>218</v>
      </c>
      <c r="V139" s="11"/>
      <c r="W139" s="4"/>
      <c r="X139" s="12"/>
      <c r="Y139" s="14"/>
      <c r="Z139" s="4"/>
      <c r="AA139" s="13"/>
      <c r="AB139" s="11"/>
      <c r="AC139" s="4"/>
      <c r="AD139" s="12"/>
      <c r="AE139" s="13"/>
      <c r="AF139" s="14">
        <v>5.0412999999999997</v>
      </c>
      <c r="AG139" s="133"/>
      <c r="AI139" s="84"/>
      <c r="AL139" s="74">
        <v>4.172427316666667</v>
      </c>
      <c r="AM139" s="75">
        <v>14.19999999999995</v>
      </c>
      <c r="AN139" s="75">
        <v>16.119999999999909</v>
      </c>
      <c r="AO139" s="78">
        <v>22.299999999999901</v>
      </c>
      <c r="AP139" s="82"/>
      <c r="AQ139" s="74">
        <v>4.0820461499999992</v>
      </c>
      <c r="AR139" s="75">
        <v>13.679999999999909</v>
      </c>
      <c r="AS139" s="75">
        <v>15.059999999999899</v>
      </c>
      <c r="AT139" s="78">
        <v>19.059999999999899</v>
      </c>
      <c r="AU139" s="82"/>
      <c r="AV139" s="74">
        <v>3.7297889666666659</v>
      </c>
      <c r="AW139" s="75">
        <v>13.160000000000061</v>
      </c>
      <c r="AX139" s="75">
        <v>14.56000000000008</v>
      </c>
      <c r="AY139" s="78">
        <v>19.18000000000006</v>
      </c>
      <c r="AZ139" s="82"/>
      <c r="BA139" s="74">
        <v>3.191079316666666</v>
      </c>
      <c r="BB139" s="75">
        <v>16.12</v>
      </c>
      <c r="BC139" s="75">
        <v>18.540000000000049</v>
      </c>
      <c r="BD139" s="78">
        <v>30.320000000000039</v>
      </c>
      <c r="BE139" s="82"/>
      <c r="BF139" s="74">
        <v>2.955832716666666</v>
      </c>
      <c r="BG139" s="75">
        <v>19.339999999999961</v>
      </c>
      <c r="BH139" s="75">
        <v>26.039999999999971</v>
      </c>
      <c r="BI139" s="78">
        <v>53.380000000000017</v>
      </c>
      <c r="BJ139" s="70"/>
      <c r="BK139" s="51"/>
    </row>
    <row r="140" spans="1:63" x14ac:dyDescent="0.4">
      <c r="A140" s="11" t="s">
        <v>219</v>
      </c>
      <c r="B140" s="4"/>
      <c r="C140" s="4"/>
      <c r="D140" s="4"/>
      <c r="E140" s="12"/>
      <c r="G140" s="147" t="s">
        <v>219</v>
      </c>
      <c r="H140" s="159">
        <v>70.055000000000007</v>
      </c>
      <c r="I140" s="153">
        <v>70.39</v>
      </c>
      <c r="J140" s="153">
        <v>70.33</v>
      </c>
      <c r="K140" s="153">
        <v>70.349999999999994</v>
      </c>
      <c r="L140" s="153">
        <v>70.34</v>
      </c>
      <c r="M140" s="80">
        <f t="shared" si="4"/>
        <v>70.39</v>
      </c>
      <c r="N140" s="80">
        <f t="shared" si="5"/>
        <v>70.33</v>
      </c>
      <c r="O140" s="153">
        <v>20.96</v>
      </c>
      <c r="P140" s="153">
        <v>20.91</v>
      </c>
      <c r="Q140" s="153">
        <v>21.07</v>
      </c>
      <c r="R140" s="153">
        <v>21.05</v>
      </c>
      <c r="S140" s="4"/>
      <c r="U140" s="147" t="s">
        <v>219</v>
      </c>
      <c r="V140" s="11"/>
      <c r="W140" s="4"/>
      <c r="X140" s="12"/>
      <c r="Y140" s="14"/>
      <c r="Z140" s="4"/>
      <c r="AA140" s="13"/>
      <c r="AB140" s="11"/>
      <c r="AC140" s="4"/>
      <c r="AD140" s="12"/>
      <c r="AE140" s="13"/>
      <c r="AF140" s="14">
        <v>5.0401999999999996</v>
      </c>
      <c r="AG140" s="133"/>
      <c r="AI140" s="84"/>
      <c r="AL140" s="64">
        <v>4.1723543333333337</v>
      </c>
      <c r="AM140" s="56">
        <v>14.400000000000009</v>
      </c>
      <c r="AN140" s="56">
        <v>16.339999999999929</v>
      </c>
      <c r="AO140" s="62">
        <v>22.499999999999961</v>
      </c>
      <c r="AQ140" s="64">
        <v>4.0809957000000008</v>
      </c>
      <c r="AR140" s="56">
        <v>13.68000000000009</v>
      </c>
      <c r="AS140" s="56">
        <v>15.08000000000003</v>
      </c>
      <c r="AT140" s="62">
        <v>19.08000000000003</v>
      </c>
      <c r="AV140" s="64">
        <v>3.7289059</v>
      </c>
      <c r="AW140" s="56">
        <v>13.20000000000006</v>
      </c>
      <c r="AX140" s="56">
        <v>14.580000000000039</v>
      </c>
      <c r="AY140" s="62">
        <v>19.179999999999971</v>
      </c>
      <c r="BA140" s="64">
        <v>3.1907842</v>
      </c>
      <c r="BB140" s="56">
        <v>15.99999999999992</v>
      </c>
      <c r="BC140" s="56">
        <v>18.41999999999997</v>
      </c>
      <c r="BD140" s="62">
        <v>30.139999999999919</v>
      </c>
      <c r="BF140" s="64">
        <v>2.9528110166666659</v>
      </c>
      <c r="BG140" s="56">
        <v>19.179999999999971</v>
      </c>
      <c r="BH140" s="56">
        <v>25.8</v>
      </c>
      <c r="BI140" s="62">
        <v>53.059999999999967</v>
      </c>
      <c r="BJ140" s="69"/>
      <c r="BK140" s="51"/>
    </row>
    <row r="141" spans="1:63" x14ac:dyDescent="0.4">
      <c r="A141" s="11" t="s">
        <v>220</v>
      </c>
      <c r="B141" s="4"/>
      <c r="C141" s="4"/>
      <c r="D141" s="4"/>
      <c r="E141" s="12"/>
      <c r="G141" s="147" t="s">
        <v>220</v>
      </c>
      <c r="H141" s="159">
        <v>70.036000000000001</v>
      </c>
      <c r="I141" s="153">
        <v>70.38</v>
      </c>
      <c r="J141" s="153">
        <v>70.33</v>
      </c>
      <c r="K141" s="153">
        <v>70.319999999999993</v>
      </c>
      <c r="L141" s="153">
        <v>70.31</v>
      </c>
      <c r="M141" s="80">
        <f t="shared" si="4"/>
        <v>70.38</v>
      </c>
      <c r="N141" s="80">
        <f t="shared" si="5"/>
        <v>70.31</v>
      </c>
      <c r="O141" s="153">
        <v>21</v>
      </c>
      <c r="P141" s="153">
        <v>20.96</v>
      </c>
      <c r="Q141" s="153">
        <v>21.07</v>
      </c>
      <c r="R141" s="153">
        <v>21.06</v>
      </c>
      <c r="S141" s="4"/>
      <c r="U141" s="147" t="s">
        <v>220</v>
      </c>
      <c r="V141" s="11"/>
      <c r="W141" s="4"/>
      <c r="X141" s="12"/>
      <c r="Y141" s="14"/>
      <c r="Z141" s="4"/>
      <c r="AA141" s="13"/>
      <c r="AB141" s="11"/>
      <c r="AC141" s="4"/>
      <c r="AD141" s="12"/>
      <c r="AE141" s="13"/>
      <c r="AF141" s="14">
        <v>5.0091999999999999</v>
      </c>
      <c r="AG141" s="133"/>
      <c r="AI141" s="84"/>
      <c r="AL141" s="74">
        <v>4.172421316666667</v>
      </c>
      <c r="AM141" s="75">
        <v>14.24000000000003</v>
      </c>
      <c r="AN141" s="75">
        <v>16.17999999999995</v>
      </c>
      <c r="AO141" s="78">
        <v>22.359999999999939</v>
      </c>
      <c r="AP141" s="82"/>
      <c r="AQ141" s="74">
        <v>4.0820059166666667</v>
      </c>
      <c r="AR141" s="75">
        <v>13.72</v>
      </c>
      <c r="AS141" s="75">
        <v>15.09999999999998</v>
      </c>
      <c r="AT141" s="78">
        <v>19.13999999999989</v>
      </c>
      <c r="AU141" s="82"/>
      <c r="AV141" s="74">
        <v>3.7296285166666672</v>
      </c>
      <c r="AW141" s="75">
        <v>13.3</v>
      </c>
      <c r="AX141" s="75">
        <v>14.67999999999998</v>
      </c>
      <c r="AY141" s="78">
        <v>19.319999999999919</v>
      </c>
      <c r="AZ141" s="82"/>
      <c r="BA141" s="74">
        <v>3.1916844833333329</v>
      </c>
      <c r="BB141" s="75">
        <v>16.420000000000009</v>
      </c>
      <c r="BC141" s="75">
        <v>18.820000000000011</v>
      </c>
      <c r="BD141" s="78">
        <v>30.619999999999958</v>
      </c>
      <c r="BE141" s="82"/>
      <c r="BF141" s="74">
        <v>2.9526264666666671</v>
      </c>
      <c r="BG141" s="75">
        <v>19.720000000000049</v>
      </c>
      <c r="BH141" s="75">
        <v>26.459999999999969</v>
      </c>
      <c r="BI141" s="78">
        <v>54.000000000000007</v>
      </c>
      <c r="BJ141" s="70"/>
      <c r="BK141" s="51"/>
    </row>
    <row r="142" spans="1:63" x14ac:dyDescent="0.4">
      <c r="A142" s="11" t="s">
        <v>221</v>
      </c>
      <c r="B142" s="4"/>
      <c r="C142" s="4"/>
      <c r="D142" s="4"/>
      <c r="E142" s="12"/>
      <c r="G142" s="147" t="s">
        <v>221</v>
      </c>
      <c r="H142" s="159">
        <v>70.028000000000006</v>
      </c>
      <c r="I142" s="153">
        <v>70.39</v>
      </c>
      <c r="J142" s="153">
        <v>70.3</v>
      </c>
      <c r="K142" s="153">
        <v>70.31</v>
      </c>
      <c r="L142" s="153">
        <v>70.319999999999993</v>
      </c>
      <c r="M142" s="80">
        <f t="shared" si="4"/>
        <v>70.39</v>
      </c>
      <c r="N142" s="80">
        <f t="shared" si="5"/>
        <v>70.3</v>
      </c>
      <c r="O142" s="153">
        <v>21.04</v>
      </c>
      <c r="P142" s="153">
        <v>20.95</v>
      </c>
      <c r="Q142" s="153">
        <v>21.07</v>
      </c>
      <c r="R142" s="153">
        <v>21.02</v>
      </c>
      <c r="S142" s="4"/>
      <c r="U142" s="147" t="s">
        <v>221</v>
      </c>
      <c r="V142" s="11"/>
      <c r="W142" s="4"/>
      <c r="X142" s="12"/>
      <c r="Y142" s="14"/>
      <c r="Z142" s="4"/>
      <c r="AA142" s="13"/>
      <c r="AB142" s="11"/>
      <c r="AC142" s="4"/>
      <c r="AD142" s="12"/>
      <c r="AE142" s="13"/>
      <c r="AF142" s="14">
        <v>5.0260999999999996</v>
      </c>
      <c r="AG142" s="133"/>
      <c r="AI142" s="84"/>
      <c r="AL142" s="74">
        <v>4.1723780000000001</v>
      </c>
      <c r="AM142" s="75">
        <v>15.11999999999993</v>
      </c>
      <c r="AN142" s="75">
        <v>17.159999999999979</v>
      </c>
      <c r="AO142" s="78">
        <v>23.459999999999859</v>
      </c>
      <c r="AP142" s="82"/>
      <c r="AQ142" s="74">
        <v>4.0819731666666668</v>
      </c>
      <c r="AR142" s="75">
        <v>14.63999999999999</v>
      </c>
      <c r="AS142" s="75">
        <v>16.16</v>
      </c>
      <c r="AT142" s="78">
        <v>20.339999999999939</v>
      </c>
      <c r="AU142" s="82"/>
      <c r="AV142" s="74">
        <v>3.7281493000000001</v>
      </c>
      <c r="AW142" s="75">
        <v>14.24000000000003</v>
      </c>
      <c r="AX142" s="75">
        <v>15.760000000000041</v>
      </c>
      <c r="AY142" s="78">
        <v>20.64000000000004</v>
      </c>
      <c r="AZ142" s="82"/>
      <c r="BA142" s="74">
        <v>3.1824910833333342</v>
      </c>
      <c r="BB142" s="75">
        <v>17.279999999999959</v>
      </c>
      <c r="BC142" s="75">
        <v>19.83999999999995</v>
      </c>
      <c r="BD142" s="78">
        <v>32.139999999999972</v>
      </c>
      <c r="BE142" s="82"/>
      <c r="BF142" s="74">
        <v>2.933051616666666</v>
      </c>
      <c r="BG142" s="75">
        <v>20.500000000000011</v>
      </c>
      <c r="BH142" s="75">
        <v>27.10000000000008</v>
      </c>
      <c r="BI142" s="78">
        <v>55.400000000000027</v>
      </c>
      <c r="BJ142" s="70"/>
      <c r="BK142" s="51"/>
    </row>
    <row r="143" spans="1:63" x14ac:dyDescent="0.4">
      <c r="A143" s="11" t="s">
        <v>222</v>
      </c>
      <c r="B143" s="4"/>
      <c r="C143" s="4"/>
      <c r="D143" s="4"/>
      <c r="E143" s="12"/>
      <c r="G143" s="147" t="s">
        <v>222</v>
      </c>
      <c r="H143" s="159">
        <v>70.02</v>
      </c>
      <c r="I143" s="153">
        <v>70.349999999999994</v>
      </c>
      <c r="J143" s="153">
        <v>70.33</v>
      </c>
      <c r="K143" s="153">
        <v>70.34</v>
      </c>
      <c r="L143" s="153">
        <v>70.37</v>
      </c>
      <c r="M143" s="80">
        <f t="shared" si="4"/>
        <v>70.37</v>
      </c>
      <c r="N143" s="80">
        <f t="shared" si="5"/>
        <v>70.33</v>
      </c>
      <c r="O143" s="153">
        <v>21.04</v>
      </c>
      <c r="P143" s="153">
        <v>20.94</v>
      </c>
      <c r="Q143" s="153">
        <v>21.08</v>
      </c>
      <c r="R143" s="153">
        <v>21.02</v>
      </c>
      <c r="S143" s="4"/>
      <c r="U143" s="147" t="s">
        <v>222</v>
      </c>
      <c r="V143" s="11"/>
      <c r="W143" s="4"/>
      <c r="X143" s="12"/>
      <c r="Y143" s="14"/>
      <c r="Z143" s="4"/>
      <c r="AA143" s="13"/>
      <c r="AB143" s="11"/>
      <c r="AC143" s="4"/>
      <c r="AD143" s="12"/>
      <c r="AE143" s="13"/>
      <c r="AF143" s="14">
        <v>5.0237999999999996</v>
      </c>
      <c r="AG143" s="133"/>
      <c r="AI143" s="84"/>
      <c r="AL143" s="64">
        <v>4.1721991666666662</v>
      </c>
      <c r="AM143" s="56">
        <v>13.620000000000051</v>
      </c>
      <c r="AN143" s="56">
        <v>15.520000000000071</v>
      </c>
      <c r="AO143" s="62">
        <v>21.640000000000011</v>
      </c>
      <c r="AQ143" s="64">
        <v>4.0834284333333333</v>
      </c>
      <c r="AR143" s="56">
        <v>13.459999999999891</v>
      </c>
      <c r="AS143" s="56">
        <v>14.86000000000001</v>
      </c>
      <c r="AT143" s="62">
        <v>18.86000000000001</v>
      </c>
      <c r="AV143" s="64">
        <v>3.730147333333333</v>
      </c>
      <c r="AW143" s="56">
        <v>13.02000000000003</v>
      </c>
      <c r="AX143" s="56">
        <v>14.400000000000009</v>
      </c>
      <c r="AY143" s="62">
        <v>19.040000000000031</v>
      </c>
      <c r="BA143" s="64">
        <v>3.1886440999999999</v>
      </c>
      <c r="BB143" s="56">
        <v>15.839999999999939</v>
      </c>
      <c r="BC143" s="56">
        <v>18.259999999999991</v>
      </c>
      <c r="BD143" s="62">
        <v>30.07999999999997</v>
      </c>
      <c r="BF143" s="64">
        <v>2.9431330500000001</v>
      </c>
      <c r="BG143" s="56">
        <v>18.84000000000006</v>
      </c>
      <c r="BH143" s="56">
        <v>25.32000000000005</v>
      </c>
      <c r="BI143" s="62">
        <v>52.720000000000063</v>
      </c>
      <c r="BJ143" s="69"/>
      <c r="BK143" s="51"/>
    </row>
    <row r="144" spans="1:63" x14ac:dyDescent="0.4">
      <c r="A144" s="11" t="s">
        <v>223</v>
      </c>
      <c r="B144" s="4"/>
      <c r="C144" s="4"/>
      <c r="D144" s="4"/>
      <c r="E144" s="12"/>
      <c r="G144" s="147" t="s">
        <v>223</v>
      </c>
      <c r="H144" s="159">
        <v>69.986999999999995</v>
      </c>
      <c r="I144" s="153">
        <v>70.39</v>
      </c>
      <c r="J144" s="153">
        <v>20.96</v>
      </c>
      <c r="K144" s="153">
        <v>70.38</v>
      </c>
      <c r="L144" s="153">
        <v>70.349999999999994</v>
      </c>
      <c r="M144" s="80">
        <f t="shared" si="4"/>
        <v>70.39</v>
      </c>
      <c r="N144" s="80">
        <f t="shared" si="5"/>
        <v>20.96</v>
      </c>
      <c r="O144" s="153">
        <v>21.03</v>
      </c>
      <c r="P144" s="153">
        <v>20.93</v>
      </c>
      <c r="Q144" s="153">
        <v>21.08</v>
      </c>
      <c r="R144" s="153">
        <v>21.06</v>
      </c>
      <c r="S144" s="4"/>
      <c r="U144" s="147" t="s">
        <v>223</v>
      </c>
      <c r="V144" s="11"/>
      <c r="W144" s="4"/>
      <c r="X144" s="12"/>
      <c r="Y144" s="14"/>
      <c r="Z144" s="4"/>
      <c r="AA144" s="13"/>
      <c r="AB144" s="11"/>
      <c r="AC144" s="4"/>
      <c r="AD144" s="12"/>
      <c r="AE144" s="13"/>
      <c r="AF144" s="14">
        <v>5.0263</v>
      </c>
      <c r="AG144" s="133"/>
      <c r="AI144" s="84"/>
      <c r="AL144" s="64">
        <v>4.1723036166666656</v>
      </c>
      <c r="AM144" s="56">
        <v>14.32000000000002</v>
      </c>
      <c r="AN144" s="56">
        <v>16.259999999999941</v>
      </c>
      <c r="AO144" s="62">
        <v>22.43999999999993</v>
      </c>
      <c r="AQ144" s="64">
        <v>4.080653933333334</v>
      </c>
      <c r="AR144" s="56">
        <v>13.68000000000009</v>
      </c>
      <c r="AS144" s="56">
        <v>15.08000000000003</v>
      </c>
      <c r="AT144" s="62">
        <v>19.120000000000029</v>
      </c>
      <c r="AV144" s="64">
        <v>3.7263097833333338</v>
      </c>
      <c r="AW144" s="56">
        <v>13.34</v>
      </c>
      <c r="AX144" s="56">
        <v>14.719999999999979</v>
      </c>
      <c r="AY144" s="62">
        <v>19.399999999999999</v>
      </c>
      <c r="BA144" s="64">
        <v>3.185909833333334</v>
      </c>
      <c r="BB144" s="56">
        <v>16.599999999999952</v>
      </c>
      <c r="BC144" s="56">
        <v>19.079999999999941</v>
      </c>
      <c r="BD144" s="62">
        <v>31.15999999999994</v>
      </c>
      <c r="BF144" s="64">
        <v>2.9514477833333328</v>
      </c>
      <c r="BG144" s="56">
        <v>19.71999999999996</v>
      </c>
      <c r="BH144" s="56">
        <v>26.19999999999996</v>
      </c>
      <c r="BI144" s="62">
        <v>53.139999999999972</v>
      </c>
      <c r="BJ144" s="69"/>
      <c r="BK144" s="51"/>
    </row>
    <row r="145" spans="1:63" x14ac:dyDescent="0.4">
      <c r="A145" s="11" t="s">
        <v>224</v>
      </c>
      <c r="B145" s="4"/>
      <c r="C145" s="4"/>
      <c r="D145" s="4"/>
      <c r="E145" s="12"/>
      <c r="G145" s="147" t="s">
        <v>224</v>
      </c>
      <c r="H145" s="159">
        <v>69.953999999999994</v>
      </c>
      <c r="I145" s="153">
        <v>70.37</v>
      </c>
      <c r="J145" s="153">
        <v>70.319999999999993</v>
      </c>
      <c r="K145" s="153">
        <v>70.33</v>
      </c>
      <c r="L145" s="153">
        <v>70.33</v>
      </c>
      <c r="M145" s="80">
        <f t="shared" si="4"/>
        <v>70.37</v>
      </c>
      <c r="N145" s="80">
        <f t="shared" si="5"/>
        <v>70.319999999999993</v>
      </c>
      <c r="O145" s="153">
        <v>20.95</v>
      </c>
      <c r="P145" s="153">
        <v>20.9</v>
      </c>
      <c r="Q145" s="153">
        <v>21.11</v>
      </c>
      <c r="R145" s="153">
        <v>21.07</v>
      </c>
      <c r="S145" s="4"/>
      <c r="U145" s="147" t="s">
        <v>224</v>
      </c>
      <c r="V145" s="11"/>
      <c r="W145" s="4"/>
      <c r="X145" s="12"/>
      <c r="Y145" s="14"/>
      <c r="Z145" s="4"/>
      <c r="AA145" s="13"/>
      <c r="AB145" s="11"/>
      <c r="AC145" s="4"/>
      <c r="AD145" s="12"/>
      <c r="AE145" s="13"/>
      <c r="AF145" s="14">
        <v>5.0007999999999999</v>
      </c>
      <c r="AG145" s="133"/>
      <c r="AI145" s="84"/>
      <c r="AL145" s="74">
        <v>4.1720649166666659</v>
      </c>
      <c r="AM145" s="75">
        <v>14.33999999999997</v>
      </c>
      <c r="AN145" s="75">
        <v>16.259999999999941</v>
      </c>
      <c r="AO145" s="78">
        <v>22.41999999999997</v>
      </c>
      <c r="AP145" s="82"/>
      <c r="AQ145" s="74">
        <v>4.080423933333333</v>
      </c>
      <c r="AR145" s="75">
        <v>13.659999999999959</v>
      </c>
      <c r="AS145" s="75">
        <v>15.059999999999899</v>
      </c>
      <c r="AT145" s="78">
        <v>19.119999999999941</v>
      </c>
      <c r="AU145" s="82"/>
      <c r="AV145" s="74">
        <v>3.7258855999999998</v>
      </c>
      <c r="AW145" s="75">
        <v>13.27999999999996</v>
      </c>
      <c r="AX145" s="75">
        <v>14.67999999999998</v>
      </c>
      <c r="AY145" s="78">
        <v>19.36</v>
      </c>
      <c r="AZ145" s="82"/>
      <c r="BA145" s="74">
        <v>3.1847077333333331</v>
      </c>
      <c r="BB145" s="75">
        <v>16.520000000000049</v>
      </c>
      <c r="BC145" s="75">
        <v>19.000000000000039</v>
      </c>
      <c r="BD145" s="78">
        <v>31.040000000000049</v>
      </c>
      <c r="BE145" s="82"/>
      <c r="BF145" s="74">
        <v>2.951273083333334</v>
      </c>
      <c r="BG145" s="75">
        <v>19.70000000000001</v>
      </c>
      <c r="BH145" s="75">
        <v>26.159999999999961</v>
      </c>
      <c r="BI145" s="78">
        <v>52.960000000000029</v>
      </c>
      <c r="BJ145" s="70"/>
      <c r="BK145" s="51"/>
    </row>
    <row r="146" spans="1:63" x14ac:dyDescent="0.4">
      <c r="A146" s="11" t="s">
        <v>225</v>
      </c>
      <c r="B146" s="4"/>
      <c r="C146" s="4"/>
      <c r="D146" s="4"/>
      <c r="E146" s="12"/>
      <c r="G146" s="147" t="s">
        <v>225</v>
      </c>
      <c r="H146" s="159">
        <v>70.075999999999993</v>
      </c>
      <c r="I146" s="153">
        <v>70.31</v>
      </c>
      <c r="J146" s="153">
        <v>70.400000000000006</v>
      </c>
      <c r="K146" s="153">
        <v>70.37</v>
      </c>
      <c r="L146" s="153">
        <v>70.31</v>
      </c>
      <c r="M146" s="80">
        <f t="shared" si="4"/>
        <v>70.400000000000006</v>
      </c>
      <c r="N146" s="80">
        <f t="shared" si="5"/>
        <v>70.31</v>
      </c>
      <c r="O146" s="153">
        <v>20.96</v>
      </c>
      <c r="P146" s="153">
        <v>20.94</v>
      </c>
      <c r="Q146" s="153">
        <v>21.1</v>
      </c>
      <c r="R146" s="153">
        <v>21.07</v>
      </c>
      <c r="S146" s="4"/>
      <c r="U146" s="147" t="s">
        <v>225</v>
      </c>
      <c r="V146" s="11"/>
      <c r="W146" s="4"/>
      <c r="X146" s="12"/>
      <c r="Y146" s="14"/>
      <c r="Z146" s="4"/>
      <c r="AA146" s="13"/>
      <c r="AB146" s="11"/>
      <c r="AC146" s="4"/>
      <c r="AD146" s="12"/>
      <c r="AE146" s="13"/>
      <c r="AF146" s="14">
        <v>5.0380000000000003</v>
      </c>
      <c r="AG146" s="133"/>
      <c r="AI146" s="84"/>
      <c r="AL146" s="74">
        <v>4.1719675333333326</v>
      </c>
      <c r="AM146" s="75">
        <v>14.799999999999971</v>
      </c>
      <c r="AN146" s="75">
        <v>16.680000000000032</v>
      </c>
      <c r="AO146" s="78">
        <v>22.839999999999879</v>
      </c>
      <c r="AP146" s="82"/>
      <c r="AQ146" s="74">
        <v>4.0808117166666662</v>
      </c>
      <c r="AR146" s="75">
        <v>14.1</v>
      </c>
      <c r="AS146" s="75">
        <v>15.49999999999994</v>
      </c>
      <c r="AT146" s="78">
        <v>19.599999999999969</v>
      </c>
      <c r="AU146" s="82"/>
      <c r="AV146" s="74">
        <v>3.7268836666666671</v>
      </c>
      <c r="AW146" s="75">
        <v>13.66000000000005</v>
      </c>
      <c r="AX146" s="75">
        <v>15.08000000000003</v>
      </c>
      <c r="AY146" s="78">
        <v>19.840000000000039</v>
      </c>
      <c r="AZ146" s="82"/>
      <c r="BA146" s="74">
        <v>3.1791782666666668</v>
      </c>
      <c r="BB146" s="75">
        <v>16.840000000000011</v>
      </c>
      <c r="BC146" s="75">
        <v>19.399999999999999</v>
      </c>
      <c r="BD146" s="78">
        <v>31.82</v>
      </c>
      <c r="BE146" s="82"/>
      <c r="BF146" s="74">
        <v>2.9484927833333332</v>
      </c>
      <c r="BG146" s="75">
        <v>19.92000000000003</v>
      </c>
      <c r="BH146" s="75">
        <v>26.6</v>
      </c>
      <c r="BI146" s="78">
        <v>54.08</v>
      </c>
      <c r="BJ146" s="70"/>
      <c r="BK146" s="51"/>
    </row>
    <row r="147" spans="1:63" x14ac:dyDescent="0.4">
      <c r="A147" s="11" t="s">
        <v>226</v>
      </c>
      <c r="B147" s="4"/>
      <c r="C147" s="4"/>
      <c r="D147" s="4"/>
      <c r="E147" s="12"/>
      <c r="G147" s="147" t="s">
        <v>226</v>
      </c>
      <c r="H147" s="159">
        <v>70.097999999999999</v>
      </c>
      <c r="I147" s="160">
        <v>70.28</v>
      </c>
      <c r="J147" s="153">
        <v>70.33</v>
      </c>
      <c r="K147" s="153">
        <v>70.34</v>
      </c>
      <c r="L147" s="153">
        <v>70.34</v>
      </c>
      <c r="M147" s="80">
        <f t="shared" si="4"/>
        <v>70.34</v>
      </c>
      <c r="N147" s="80">
        <f t="shared" si="5"/>
        <v>70.28</v>
      </c>
      <c r="O147" s="153">
        <v>20.94</v>
      </c>
      <c r="P147" s="153">
        <v>20.92</v>
      </c>
      <c r="Q147" s="153">
        <v>21.11</v>
      </c>
      <c r="R147" s="153">
        <v>21.06</v>
      </c>
      <c r="S147" s="4"/>
      <c r="U147" s="147" t="s">
        <v>226</v>
      </c>
      <c r="V147" s="11"/>
      <c r="W147" s="4"/>
      <c r="X147" s="12"/>
      <c r="Y147" s="14"/>
      <c r="Z147" s="4"/>
      <c r="AA147" s="13"/>
      <c r="AB147" s="11"/>
      <c r="AC147" s="4"/>
      <c r="AD147" s="12"/>
      <c r="AE147" s="13"/>
      <c r="AF147" s="14">
        <v>5.0412999999999997</v>
      </c>
      <c r="AG147" s="133"/>
      <c r="AI147" s="84"/>
      <c r="AL147" s="74">
        <v>4.171826816666667</v>
      </c>
      <c r="AM147" s="75">
        <v>14.25999999999998</v>
      </c>
      <c r="AN147" s="75">
        <v>16.180000000000131</v>
      </c>
      <c r="AO147" s="78">
        <v>22.36000000000011</v>
      </c>
      <c r="AP147" s="82"/>
      <c r="AQ147" s="74">
        <v>4.0812028833333338</v>
      </c>
      <c r="AR147" s="75">
        <v>13.679999999999909</v>
      </c>
      <c r="AS147" s="75">
        <v>15.039999999999941</v>
      </c>
      <c r="AT147" s="78">
        <v>19.059999999999992</v>
      </c>
      <c r="AU147" s="82"/>
      <c r="AV147" s="74">
        <v>3.7283454333333328</v>
      </c>
      <c r="AW147" s="75">
        <v>13.18000000000001</v>
      </c>
      <c r="AX147" s="75">
        <v>14.56</v>
      </c>
      <c r="AY147" s="78">
        <v>19.160000000000021</v>
      </c>
      <c r="AZ147" s="82"/>
      <c r="BA147" s="74">
        <v>3.1893970166666659</v>
      </c>
      <c r="BB147" s="75">
        <v>16.359999999999971</v>
      </c>
      <c r="BC147" s="75">
        <v>18.799999999999969</v>
      </c>
      <c r="BD147" s="78">
        <v>30.68</v>
      </c>
      <c r="BE147" s="82"/>
      <c r="BF147" s="74">
        <v>2.955201516666667</v>
      </c>
      <c r="BG147" s="75">
        <v>19.600000000000058</v>
      </c>
      <c r="BH147" s="75">
        <v>26.340000000000071</v>
      </c>
      <c r="BI147" s="78">
        <v>53.780000000000072</v>
      </c>
      <c r="BJ147" s="70"/>
      <c r="BK147" s="51"/>
    </row>
    <row r="148" spans="1:63" x14ac:dyDescent="0.4">
      <c r="A148" s="11" t="s">
        <v>227</v>
      </c>
      <c r="B148" s="4"/>
      <c r="C148" s="4"/>
      <c r="D148" s="4"/>
      <c r="E148" s="12"/>
      <c r="G148" s="147" t="s">
        <v>227</v>
      </c>
      <c r="H148" s="159">
        <v>70.054000000000002</v>
      </c>
      <c r="I148" s="153">
        <v>70.349999999999994</v>
      </c>
      <c r="J148" s="153">
        <v>70.37</v>
      </c>
      <c r="K148" s="153">
        <v>70.38</v>
      </c>
      <c r="L148" s="153">
        <v>70.349999999999994</v>
      </c>
      <c r="M148" s="80">
        <f t="shared" si="4"/>
        <v>70.38</v>
      </c>
      <c r="N148" s="80">
        <f t="shared" si="5"/>
        <v>70.349999999999994</v>
      </c>
      <c r="O148" s="153">
        <v>21.14</v>
      </c>
      <c r="P148" s="153">
        <v>21.14</v>
      </c>
      <c r="Q148" s="153">
        <v>21.11</v>
      </c>
      <c r="R148" s="153">
        <v>21.09</v>
      </c>
      <c r="S148" s="4"/>
      <c r="U148" s="147" t="s">
        <v>227</v>
      </c>
      <c r="V148" s="11"/>
      <c r="W148" s="4"/>
      <c r="X148" s="12"/>
      <c r="Y148" s="14"/>
      <c r="Z148" s="4"/>
      <c r="AA148" s="13"/>
      <c r="AB148" s="11"/>
      <c r="AC148" s="4"/>
      <c r="AD148" s="12"/>
      <c r="AE148" s="13"/>
      <c r="AF148" s="14">
        <v>5.0392000000000001</v>
      </c>
      <c r="AG148" s="133"/>
      <c r="AI148" s="84"/>
      <c r="AL148" s="74">
        <v>4.1720432166666672</v>
      </c>
      <c r="AM148" s="75">
        <v>13.999999999999879</v>
      </c>
      <c r="AN148" s="75">
        <v>15.920000000000019</v>
      </c>
      <c r="AO148" s="78">
        <v>22.119999999999958</v>
      </c>
      <c r="AP148" s="82"/>
      <c r="AQ148" s="74">
        <v>4.082135899999999</v>
      </c>
      <c r="AR148" s="75">
        <v>13.600000000000099</v>
      </c>
      <c r="AS148" s="75">
        <v>14.98000000000008</v>
      </c>
      <c r="AT148" s="78">
        <v>19.000000000000039</v>
      </c>
      <c r="AU148" s="82"/>
      <c r="AV148" s="74">
        <v>3.7301574166666658</v>
      </c>
      <c r="AW148" s="75">
        <v>13.11999999999998</v>
      </c>
      <c r="AX148" s="75">
        <v>14.499999999999959</v>
      </c>
      <c r="AY148" s="78">
        <v>19.09999999999998</v>
      </c>
      <c r="AZ148" s="82"/>
      <c r="BA148" s="74">
        <v>3.1928301333333331</v>
      </c>
      <c r="BB148" s="75">
        <v>16.04000000000001</v>
      </c>
      <c r="BC148" s="75">
        <v>18.440000000000008</v>
      </c>
      <c r="BD148" s="78">
        <v>30.140000000000011</v>
      </c>
      <c r="BE148" s="82"/>
      <c r="BF148" s="74">
        <v>2.9539542833333341</v>
      </c>
      <c r="BG148" s="75">
        <v>19.299999999999962</v>
      </c>
      <c r="BH148" s="75">
        <v>26.039999999999971</v>
      </c>
      <c r="BI148" s="78">
        <v>53.479999999999983</v>
      </c>
      <c r="BJ148" s="70"/>
      <c r="BK148" s="51"/>
    </row>
    <row r="149" spans="1:63" ht="17.25" customHeight="1" thickBot="1" x14ac:dyDescent="0.45">
      <c r="A149" s="16" t="s">
        <v>228</v>
      </c>
      <c r="B149" s="17"/>
      <c r="C149" s="17"/>
      <c r="D149" s="17"/>
      <c r="E149" s="18"/>
      <c r="G149" s="147" t="s">
        <v>228</v>
      </c>
      <c r="H149" s="159">
        <v>70.054000000000002</v>
      </c>
      <c r="I149" s="153">
        <v>70.349999999999994</v>
      </c>
      <c r="J149" s="153">
        <v>70.41</v>
      </c>
      <c r="K149" s="153">
        <v>70.349999999999994</v>
      </c>
      <c r="L149" s="153">
        <v>70.349999999999994</v>
      </c>
      <c r="M149" s="80">
        <f t="shared" si="4"/>
        <v>70.41</v>
      </c>
      <c r="N149" s="80">
        <f t="shared" si="5"/>
        <v>70.349999999999994</v>
      </c>
      <c r="O149" s="153">
        <v>21.17</v>
      </c>
      <c r="P149" s="153">
        <v>21.15</v>
      </c>
      <c r="Q149" s="153">
        <v>21.11</v>
      </c>
      <c r="R149" s="153">
        <v>21.1</v>
      </c>
      <c r="S149" s="4"/>
      <c r="U149" s="147" t="s">
        <v>228</v>
      </c>
      <c r="V149" s="16"/>
      <c r="W149" s="17"/>
      <c r="X149" s="18"/>
      <c r="Y149" s="29"/>
      <c r="Z149" s="17"/>
      <c r="AA149" s="30"/>
      <c r="AB149" s="16"/>
      <c r="AC149" s="17"/>
      <c r="AD149" s="18"/>
      <c r="AE149" s="30"/>
      <c r="AF149" s="14">
        <v>5.0448000000000004</v>
      </c>
      <c r="AG149" s="133"/>
      <c r="AI149" s="84"/>
      <c r="AL149" s="74">
        <v>4.1720372000000001</v>
      </c>
      <c r="AM149" s="75">
        <v>14.20000000000012</v>
      </c>
      <c r="AN149" s="75">
        <v>16.12000000000009</v>
      </c>
      <c r="AO149" s="78">
        <v>22.300000000000079</v>
      </c>
      <c r="AP149" s="82"/>
      <c r="AQ149" s="74">
        <v>4.0817981666666672</v>
      </c>
      <c r="AR149" s="75">
        <v>13.68000000000009</v>
      </c>
      <c r="AS149" s="75">
        <v>15.039999999999941</v>
      </c>
      <c r="AT149" s="78">
        <v>19.059999999999992</v>
      </c>
      <c r="AU149" s="82"/>
      <c r="AV149" s="74">
        <v>3.7294833500000002</v>
      </c>
      <c r="AW149" s="75">
        <v>13.15999999999997</v>
      </c>
      <c r="AX149" s="75">
        <v>14.54000000000004</v>
      </c>
      <c r="AY149" s="78">
        <v>19.160000000000021</v>
      </c>
      <c r="AZ149" s="82"/>
      <c r="BA149" s="74">
        <v>3.1909073000000001</v>
      </c>
      <c r="BB149" s="75">
        <v>15.939999999999969</v>
      </c>
      <c r="BC149" s="75">
        <v>18.379999999999971</v>
      </c>
      <c r="BD149" s="78">
        <v>30.140000000000011</v>
      </c>
      <c r="BE149" s="82"/>
      <c r="BF149" s="74">
        <v>2.95566665</v>
      </c>
      <c r="BG149" s="75">
        <v>19.160000000000021</v>
      </c>
      <c r="BH149" s="75">
        <v>25.85999999999995</v>
      </c>
      <c r="BI149" s="78">
        <v>53.219999999999963</v>
      </c>
      <c r="BJ149" s="70"/>
      <c r="BK149" s="51"/>
    </row>
    <row r="150" spans="1:63" x14ac:dyDescent="0.4">
      <c r="A150" s="19" t="s">
        <v>229</v>
      </c>
      <c r="B150" s="4"/>
      <c r="C150" s="4"/>
      <c r="D150" s="4"/>
      <c r="E150" s="12"/>
      <c r="G150" s="147" t="s">
        <v>229</v>
      </c>
      <c r="H150" s="159">
        <v>69.954999999999998</v>
      </c>
      <c r="I150" s="153">
        <v>70.37</v>
      </c>
      <c r="J150" s="153">
        <v>70.349999999999994</v>
      </c>
      <c r="K150" s="153">
        <v>70.34</v>
      </c>
      <c r="L150" s="153">
        <v>70.34</v>
      </c>
      <c r="M150" s="80">
        <f t="shared" si="4"/>
        <v>70.37</v>
      </c>
      <c r="N150" s="80">
        <f t="shared" si="5"/>
        <v>70.34</v>
      </c>
      <c r="O150" s="153">
        <v>21.17</v>
      </c>
      <c r="P150" s="153">
        <v>21.14</v>
      </c>
      <c r="Q150" s="153">
        <v>21.13</v>
      </c>
      <c r="R150" s="153">
        <v>21.11</v>
      </c>
      <c r="S150" s="4"/>
      <c r="U150" s="147" t="s">
        <v>229</v>
      </c>
      <c r="V150" s="19"/>
      <c r="W150" s="20"/>
      <c r="X150" s="22"/>
      <c r="Y150" s="31"/>
      <c r="Z150" s="20"/>
      <c r="AA150" s="21"/>
      <c r="AB150" s="19"/>
      <c r="AC150" s="20"/>
      <c r="AD150" s="22"/>
      <c r="AE150" s="21"/>
      <c r="AF150" s="14">
        <v>5.0320999999999998</v>
      </c>
      <c r="AG150" s="133"/>
      <c r="AI150" s="84"/>
      <c r="AL150" s="64">
        <v>4.172237383333333</v>
      </c>
      <c r="AM150" s="56">
        <v>14.280000000000109</v>
      </c>
      <c r="AN150" s="56">
        <v>16.200000000000081</v>
      </c>
      <c r="AO150" s="62">
        <v>22.36000000000011</v>
      </c>
      <c r="AQ150" s="64">
        <v>4.0808506666666666</v>
      </c>
      <c r="AR150" s="56">
        <v>13.57999999999997</v>
      </c>
      <c r="AS150" s="56">
        <v>14.959999999999949</v>
      </c>
      <c r="AT150" s="62">
        <v>18.979999999999912</v>
      </c>
      <c r="AV150" s="64">
        <v>3.7285742499999999</v>
      </c>
      <c r="AW150" s="56">
        <v>13.079999999999981</v>
      </c>
      <c r="AX150" s="56">
        <v>14.48</v>
      </c>
      <c r="AY150" s="62">
        <v>19.079999999999941</v>
      </c>
      <c r="BA150" s="64">
        <v>3.1911120999999998</v>
      </c>
      <c r="BB150" s="56">
        <v>15.84000000000003</v>
      </c>
      <c r="BC150" s="56">
        <v>18.219999999999992</v>
      </c>
      <c r="BD150" s="62">
        <v>29.819999999999961</v>
      </c>
      <c r="BF150" s="64">
        <v>2.948046066666667</v>
      </c>
      <c r="BG150" s="56">
        <v>19.09999999999998</v>
      </c>
      <c r="BH150" s="56">
        <v>25.84</v>
      </c>
      <c r="BI150" s="62">
        <v>53.420000000000023</v>
      </c>
      <c r="BJ150" s="70"/>
      <c r="BK150" s="51"/>
    </row>
    <row r="151" spans="1:63" x14ac:dyDescent="0.4">
      <c r="A151" s="11" t="s">
        <v>230</v>
      </c>
      <c r="B151" s="4"/>
      <c r="C151" s="4"/>
      <c r="D151" s="4"/>
      <c r="E151" s="12"/>
      <c r="G151" s="147" t="s">
        <v>230</v>
      </c>
      <c r="H151" s="159">
        <v>70.055999999999997</v>
      </c>
      <c r="I151" s="153">
        <v>70.400000000000006</v>
      </c>
      <c r="J151" s="153">
        <v>70.37</v>
      </c>
      <c r="K151" s="153">
        <v>70.319999999999993</v>
      </c>
      <c r="L151" s="153">
        <v>70.34</v>
      </c>
      <c r="M151" s="80">
        <f t="shared" si="4"/>
        <v>70.400000000000006</v>
      </c>
      <c r="N151" s="80">
        <f t="shared" si="5"/>
        <v>70.319999999999993</v>
      </c>
      <c r="O151" s="153">
        <v>21.18</v>
      </c>
      <c r="P151" s="153">
        <v>21.14</v>
      </c>
      <c r="Q151" s="153">
        <v>21.13</v>
      </c>
      <c r="R151" s="153">
        <v>21.1</v>
      </c>
      <c r="S151" s="4"/>
      <c r="U151" s="147" t="s">
        <v>230</v>
      </c>
      <c r="V151" s="11"/>
      <c r="W151" s="4"/>
      <c r="X151" s="12"/>
      <c r="Y151" s="14"/>
      <c r="Z151" s="4"/>
      <c r="AA151" s="13"/>
      <c r="AB151" s="11"/>
      <c r="AC151" s="4"/>
      <c r="AD151" s="12"/>
      <c r="AE151" s="13"/>
      <c r="AF151" s="14">
        <v>5.0098000000000003</v>
      </c>
      <c r="AG151" s="133"/>
      <c r="AI151" s="84"/>
      <c r="AL151" s="64">
        <v>4.1724858500000002</v>
      </c>
      <c r="AM151" s="56">
        <v>14.380000000000059</v>
      </c>
      <c r="AN151" s="56">
        <v>16.300000000000029</v>
      </c>
      <c r="AO151" s="62">
        <v>22.480000000000011</v>
      </c>
      <c r="AQ151" s="64">
        <v>4.0811157833333329</v>
      </c>
      <c r="AR151" s="56">
        <v>13.659999999999959</v>
      </c>
      <c r="AS151" s="56">
        <v>15.06000000000007</v>
      </c>
      <c r="AT151" s="62">
        <v>19.08000000000003</v>
      </c>
      <c r="AV151" s="64">
        <v>3.728741550000001</v>
      </c>
      <c r="AW151" s="56">
        <v>13.160000000000061</v>
      </c>
      <c r="AX151" s="56">
        <v>14.56</v>
      </c>
      <c r="AY151" s="62">
        <v>19.160000000000021</v>
      </c>
      <c r="BA151" s="64">
        <v>3.1895871333333332</v>
      </c>
      <c r="BB151" s="56">
        <v>15.97999999999997</v>
      </c>
      <c r="BC151" s="56">
        <v>18.379999999999971</v>
      </c>
      <c r="BD151" s="62">
        <v>30.22</v>
      </c>
      <c r="BF151" s="64">
        <v>2.954354050000001</v>
      </c>
      <c r="BG151" s="56">
        <v>19.25999999999997</v>
      </c>
      <c r="BH151" s="56">
        <v>25.939999999999941</v>
      </c>
      <c r="BI151" s="62">
        <v>53.519999999999968</v>
      </c>
      <c r="BJ151" s="69"/>
      <c r="BK151" s="51"/>
    </row>
    <row r="152" spans="1:63" x14ac:dyDescent="0.4">
      <c r="A152" s="11" t="s">
        <v>231</v>
      </c>
      <c r="B152" s="4"/>
      <c r="C152" s="4"/>
      <c r="D152" s="4"/>
      <c r="E152" s="12"/>
      <c r="G152" s="147" t="s">
        <v>231</v>
      </c>
      <c r="H152" s="159">
        <v>69.97</v>
      </c>
      <c r="I152" s="153">
        <v>70.319999999999993</v>
      </c>
      <c r="J152" s="153">
        <v>70.31</v>
      </c>
      <c r="K152" s="153">
        <v>70.3</v>
      </c>
      <c r="L152" s="153">
        <v>70.349999999999994</v>
      </c>
      <c r="M152" s="80">
        <f t="shared" si="4"/>
        <v>70.349999999999994</v>
      </c>
      <c r="N152" s="80">
        <f t="shared" si="5"/>
        <v>70.3</v>
      </c>
      <c r="O152" s="153">
        <v>21.17</v>
      </c>
      <c r="P152" s="153">
        <v>21.14</v>
      </c>
      <c r="Q152" s="153">
        <v>21.1</v>
      </c>
      <c r="R152" s="153">
        <v>21.09</v>
      </c>
      <c r="S152" s="4"/>
      <c r="U152" s="147" t="s">
        <v>231</v>
      </c>
      <c r="V152" s="11"/>
      <c r="W152" s="4"/>
      <c r="X152" s="12"/>
      <c r="Y152" s="14"/>
      <c r="Z152" s="4"/>
      <c r="AA152" s="13"/>
      <c r="AB152" s="11"/>
      <c r="AC152" s="4"/>
      <c r="AD152" s="12"/>
      <c r="AE152" s="13"/>
      <c r="AF152" s="14">
        <v>5.0278</v>
      </c>
      <c r="AG152" s="133"/>
      <c r="AI152" s="84"/>
      <c r="AL152" s="64">
        <v>4.1730762833333328</v>
      </c>
      <c r="AM152" s="56">
        <v>15.039999999999941</v>
      </c>
      <c r="AN152" s="56">
        <v>17.040000000000081</v>
      </c>
      <c r="AO152" s="62">
        <v>23.30000000000005</v>
      </c>
      <c r="AQ152" s="64">
        <v>4.0814418166666666</v>
      </c>
      <c r="AR152" s="56">
        <v>14.780000000000021</v>
      </c>
      <c r="AS152" s="56">
        <v>16.300000000000029</v>
      </c>
      <c r="AT152" s="62">
        <v>20.54</v>
      </c>
      <c r="AV152" s="64">
        <v>3.7276236833333329</v>
      </c>
      <c r="AW152" s="56">
        <v>14.299999999999979</v>
      </c>
      <c r="AX152" s="56">
        <v>15.84000000000003</v>
      </c>
      <c r="AY152" s="62">
        <v>20.760000000000019</v>
      </c>
      <c r="BA152" s="64">
        <v>3.1815795499999999</v>
      </c>
      <c r="BB152" s="56">
        <v>16.96</v>
      </c>
      <c r="BC152" s="56">
        <v>19.500000000000028</v>
      </c>
      <c r="BD152" s="62">
        <v>31.740000000000009</v>
      </c>
      <c r="BF152" s="64">
        <v>2.9311047166666668</v>
      </c>
      <c r="BG152" s="56">
        <v>20.14000000000005</v>
      </c>
      <c r="BH152" s="56">
        <v>26.52000000000001</v>
      </c>
      <c r="BI152" s="62">
        <v>54.640000000000022</v>
      </c>
      <c r="BJ152" s="70"/>
      <c r="BK152" s="51"/>
    </row>
    <row r="153" spans="1:63" x14ac:dyDescent="0.4">
      <c r="A153" s="11" t="s">
        <v>232</v>
      </c>
      <c r="B153" s="4"/>
      <c r="C153" s="4"/>
      <c r="D153" s="4"/>
      <c r="E153" s="12"/>
      <c r="G153" s="147" t="s">
        <v>232</v>
      </c>
      <c r="H153" s="159">
        <v>70.021000000000001</v>
      </c>
      <c r="I153" s="153">
        <v>70.349999999999994</v>
      </c>
      <c r="J153" s="153">
        <v>70.34</v>
      </c>
      <c r="K153" s="153">
        <v>70.38</v>
      </c>
      <c r="L153" s="153">
        <v>70.36</v>
      </c>
      <c r="M153" s="80">
        <f t="shared" si="4"/>
        <v>70.38</v>
      </c>
      <c r="N153" s="80">
        <f t="shared" si="5"/>
        <v>70.34</v>
      </c>
      <c r="O153" s="153">
        <v>21.16</v>
      </c>
      <c r="P153" s="153">
        <v>21.15</v>
      </c>
      <c r="Q153" s="153">
        <v>21.14</v>
      </c>
      <c r="R153" s="153">
        <v>21.12</v>
      </c>
      <c r="S153" s="4"/>
      <c r="U153" s="147" t="s">
        <v>232</v>
      </c>
      <c r="V153" s="11"/>
      <c r="W153" s="4"/>
      <c r="X153" s="12"/>
      <c r="Y153" s="14"/>
      <c r="Z153" s="4"/>
      <c r="AA153" s="13"/>
      <c r="AB153" s="11"/>
      <c r="AC153" s="4"/>
      <c r="AD153" s="12"/>
      <c r="AE153" s="13"/>
      <c r="AF153" s="14">
        <v>5.0307000000000004</v>
      </c>
      <c r="AG153" s="133"/>
      <c r="AI153" s="84"/>
      <c r="AL153" s="64">
        <v>4.1728996166666672</v>
      </c>
      <c r="AM153" s="56">
        <v>13.96000000000015</v>
      </c>
      <c r="AN153" s="56">
        <v>15.88000000000012</v>
      </c>
      <c r="AO153" s="62">
        <v>22.040000000000148</v>
      </c>
      <c r="AQ153" s="64">
        <v>4.0817640333333332</v>
      </c>
      <c r="AR153" s="56">
        <v>13.400000000000031</v>
      </c>
      <c r="AS153" s="56">
        <v>14.80000000000015</v>
      </c>
      <c r="AT153" s="62">
        <v>18.8200000000001</v>
      </c>
      <c r="AV153" s="64">
        <v>3.7282218500000011</v>
      </c>
      <c r="AW153" s="56">
        <v>12.979999999999951</v>
      </c>
      <c r="AX153" s="56">
        <v>14.379999999999971</v>
      </c>
      <c r="AY153" s="62">
        <v>19.039999999999949</v>
      </c>
      <c r="BA153" s="64">
        <v>3.1860461999999998</v>
      </c>
      <c r="BB153" s="56">
        <v>15.859999999999991</v>
      </c>
      <c r="BC153" s="56">
        <v>18.28000000000003</v>
      </c>
      <c r="BD153" s="62">
        <v>30.16000000000005</v>
      </c>
      <c r="BF153" s="64">
        <v>2.9417685166666661</v>
      </c>
      <c r="BG153" s="56">
        <v>19.019999999999989</v>
      </c>
      <c r="BH153" s="56">
        <v>25.399999999999959</v>
      </c>
      <c r="BI153" s="62">
        <v>52.639999999999979</v>
      </c>
      <c r="BJ153" s="70"/>
      <c r="BK153" s="51"/>
    </row>
    <row r="154" spans="1:63" x14ac:dyDescent="0.4">
      <c r="A154" s="11" t="s">
        <v>233</v>
      </c>
      <c r="B154" s="4"/>
      <c r="C154" s="4"/>
      <c r="D154" s="4"/>
      <c r="E154" s="12"/>
      <c r="G154" s="147" t="s">
        <v>233</v>
      </c>
      <c r="H154" s="159">
        <v>69.915999999999997</v>
      </c>
      <c r="I154" s="153">
        <v>70.239999999999995</v>
      </c>
      <c r="J154" s="153">
        <v>70.349999999999994</v>
      </c>
      <c r="K154" s="153">
        <v>70.28</v>
      </c>
      <c r="L154" s="153">
        <v>70.33</v>
      </c>
      <c r="M154" s="80">
        <f t="shared" si="4"/>
        <v>70.349999999999994</v>
      </c>
      <c r="N154" s="80">
        <f t="shared" si="5"/>
        <v>70.239999999999995</v>
      </c>
      <c r="O154" s="153">
        <v>21.14</v>
      </c>
      <c r="P154" s="153">
        <v>21.13</v>
      </c>
      <c r="Q154" s="153">
        <v>21.1</v>
      </c>
      <c r="R154" s="153">
        <v>21.08</v>
      </c>
      <c r="S154" s="4"/>
      <c r="U154" s="147" t="s">
        <v>233</v>
      </c>
      <c r="V154" s="11"/>
      <c r="W154" s="4"/>
      <c r="X154" s="12"/>
      <c r="Y154" s="14"/>
      <c r="Z154" s="4"/>
      <c r="AA154" s="13"/>
      <c r="AB154" s="11"/>
      <c r="AC154" s="4"/>
      <c r="AD154" s="12"/>
      <c r="AE154" s="13"/>
      <c r="AF154" s="14">
        <v>5.0163000000000002</v>
      </c>
      <c r="AG154" s="133"/>
      <c r="AI154" s="84"/>
      <c r="AL154" s="64">
        <v>4.1727686000000004</v>
      </c>
      <c r="AM154" s="56">
        <v>13.999999999999879</v>
      </c>
      <c r="AN154" s="56">
        <v>15.91999999999984</v>
      </c>
      <c r="AO154" s="62">
        <v>22.059999999999921</v>
      </c>
      <c r="AQ154" s="64">
        <v>4.0823381500000009</v>
      </c>
      <c r="AR154" s="56">
        <v>13.51999999999993</v>
      </c>
      <c r="AS154" s="56">
        <v>14.920000000000041</v>
      </c>
      <c r="AT154" s="62">
        <v>18.98</v>
      </c>
      <c r="AV154" s="64">
        <v>3.7285366666666659</v>
      </c>
      <c r="AW154" s="56">
        <v>13.12000000000006</v>
      </c>
      <c r="AX154" s="56">
        <v>14.52</v>
      </c>
      <c r="AY154" s="62">
        <v>19.200000000000021</v>
      </c>
      <c r="BA154" s="64">
        <v>3.1893011666666671</v>
      </c>
      <c r="BB154" s="56">
        <v>16.17999999999995</v>
      </c>
      <c r="BC154" s="56">
        <v>18.63999999999999</v>
      </c>
      <c r="BD154" s="62">
        <v>30.560000000000009</v>
      </c>
      <c r="BF154" s="64">
        <v>2.9530425</v>
      </c>
      <c r="BG154" s="56">
        <v>19.319999999999919</v>
      </c>
      <c r="BH154" s="56">
        <v>25.59999999999993</v>
      </c>
      <c r="BI154" s="62">
        <v>52.239999999999931</v>
      </c>
      <c r="BJ154" s="70"/>
      <c r="BK154" s="51"/>
    </row>
    <row r="155" spans="1:63" x14ac:dyDescent="0.4">
      <c r="A155" s="11" t="s">
        <v>234</v>
      </c>
      <c r="B155" s="4"/>
      <c r="C155" s="4"/>
      <c r="D155" s="4"/>
      <c r="E155" s="12"/>
      <c r="G155" s="147" t="s">
        <v>234</v>
      </c>
      <c r="H155" s="159">
        <v>69.981999999999999</v>
      </c>
      <c r="I155" s="153">
        <v>70.349999999999994</v>
      </c>
      <c r="J155" s="153">
        <v>70.36</v>
      </c>
      <c r="K155" s="153">
        <v>70.3</v>
      </c>
      <c r="L155" s="153">
        <v>70.31</v>
      </c>
      <c r="M155" s="80">
        <v>70.36</v>
      </c>
      <c r="N155" s="80">
        <v>70.3</v>
      </c>
      <c r="O155" s="153">
        <v>21.2</v>
      </c>
      <c r="P155" s="153">
        <v>21.16</v>
      </c>
      <c r="Q155" s="153">
        <v>21.11</v>
      </c>
      <c r="R155" s="153">
        <v>21.1</v>
      </c>
      <c r="S155" s="4"/>
      <c r="U155" s="147" t="s">
        <v>234</v>
      </c>
      <c r="V155" s="11"/>
      <c r="W155" s="4"/>
      <c r="X155" s="12"/>
      <c r="Y155" s="14"/>
      <c r="Z155" s="4"/>
      <c r="AA155" s="13"/>
      <c r="AB155" s="11"/>
      <c r="AC155" s="4"/>
      <c r="AD155" s="12"/>
      <c r="AE155" s="13"/>
      <c r="AF155" s="14">
        <v>5.0251999999999999</v>
      </c>
      <c r="AG155" s="133"/>
      <c r="AI155" s="84"/>
      <c r="AL155" s="64">
        <v>4.1724610000000002</v>
      </c>
      <c r="AM155" s="56">
        <v>14.219999999999899</v>
      </c>
      <c r="AN155" s="56">
        <v>16.16</v>
      </c>
      <c r="AO155" s="62">
        <v>22.299999999999901</v>
      </c>
      <c r="AQ155" s="64">
        <v>4.0808638833333326</v>
      </c>
      <c r="AR155" s="56">
        <v>13.640000000000009</v>
      </c>
      <c r="AS155" s="56">
        <v>15.019999999999991</v>
      </c>
      <c r="AT155" s="62">
        <v>19.09999999999998</v>
      </c>
      <c r="AV155" s="64">
        <v>3.726241533333333</v>
      </c>
      <c r="AW155" s="56">
        <v>13.22000000000001</v>
      </c>
      <c r="AX155" s="56">
        <v>14.620000000000029</v>
      </c>
      <c r="AY155" s="62">
        <v>19.32</v>
      </c>
      <c r="BA155" s="64">
        <v>3.1835228999999998</v>
      </c>
      <c r="BB155" s="56">
        <v>16.54</v>
      </c>
      <c r="BC155" s="56">
        <v>19.019999999999989</v>
      </c>
      <c r="BD155" s="62">
        <v>31.160000000000029</v>
      </c>
      <c r="BF155" s="64">
        <v>2.9515567666666671</v>
      </c>
      <c r="BG155" s="56">
        <v>19.660000000000011</v>
      </c>
      <c r="BH155" s="56">
        <v>26.140000000000011</v>
      </c>
      <c r="BI155" s="62">
        <v>53.060000000000073</v>
      </c>
      <c r="BJ155" s="70"/>
      <c r="BK155" s="51"/>
    </row>
    <row r="156" spans="1:63" x14ac:dyDescent="0.4">
      <c r="A156" s="11" t="s">
        <v>235</v>
      </c>
      <c r="B156" s="4"/>
      <c r="C156" s="4"/>
      <c r="D156" s="4"/>
      <c r="E156" s="12"/>
      <c r="G156" s="147" t="s">
        <v>235</v>
      </c>
      <c r="H156" s="159">
        <v>70.031000000000006</v>
      </c>
      <c r="I156" s="153">
        <v>70.34</v>
      </c>
      <c r="J156" s="153">
        <v>70.36</v>
      </c>
      <c r="K156" s="153">
        <v>70.38</v>
      </c>
      <c r="L156" s="153">
        <v>70.349999999999994</v>
      </c>
      <c r="M156" s="80">
        <v>70.38</v>
      </c>
      <c r="N156" s="80">
        <v>70.349999999999994</v>
      </c>
      <c r="O156" s="153">
        <v>21.18</v>
      </c>
      <c r="P156" s="153">
        <v>21.14</v>
      </c>
      <c r="Q156" s="153">
        <v>21.14</v>
      </c>
      <c r="R156" s="153">
        <v>21.11</v>
      </c>
      <c r="S156" s="4"/>
      <c r="U156" s="147" t="s">
        <v>235</v>
      </c>
      <c r="V156" s="11"/>
      <c r="W156" s="4"/>
      <c r="X156" s="12"/>
      <c r="Y156" s="14"/>
      <c r="Z156" s="4"/>
      <c r="AA156" s="13"/>
      <c r="AB156" s="11"/>
      <c r="AC156" s="4"/>
      <c r="AD156" s="12"/>
      <c r="AE156" s="13"/>
      <c r="AF156" s="14">
        <v>5.0465</v>
      </c>
      <c r="AG156" s="133"/>
      <c r="AI156" s="84"/>
      <c r="AL156" s="64">
        <v>4.1725769000000001</v>
      </c>
      <c r="AM156" s="56">
        <v>14.08000000000005</v>
      </c>
      <c r="AN156" s="56">
        <v>16.000000000000011</v>
      </c>
      <c r="AO156" s="62">
        <v>22.16000000000005</v>
      </c>
      <c r="AQ156" s="64">
        <v>4.0810940166666656</v>
      </c>
      <c r="AR156" s="56">
        <v>13.46000000000007</v>
      </c>
      <c r="AS156" s="56">
        <v>14.86000000000001</v>
      </c>
      <c r="AT156" s="62">
        <v>18.919999999999959</v>
      </c>
      <c r="AV156" s="64">
        <v>3.7269321</v>
      </c>
      <c r="AW156" s="56">
        <v>13.03999999999998</v>
      </c>
      <c r="AX156" s="56">
        <v>14.400000000000009</v>
      </c>
      <c r="AY156" s="62">
        <v>19.079999999999941</v>
      </c>
      <c r="BA156" s="64">
        <v>3.1846462166666671</v>
      </c>
      <c r="BB156" s="56">
        <v>16.019999999999971</v>
      </c>
      <c r="BC156" s="56">
        <v>18.459999999999969</v>
      </c>
      <c r="BD156" s="62">
        <v>30.43999999999993</v>
      </c>
      <c r="BF156" s="64">
        <v>2.9499719666666668</v>
      </c>
      <c r="BG156" s="56">
        <v>19.079999999999941</v>
      </c>
      <c r="BH156" s="56">
        <v>25.559999999999938</v>
      </c>
      <c r="BI156" s="62">
        <v>52.49999999999995</v>
      </c>
      <c r="BJ156" s="70"/>
      <c r="BK156" s="51"/>
    </row>
    <row r="157" spans="1:63" x14ac:dyDescent="0.4">
      <c r="A157" s="11" t="s">
        <v>236</v>
      </c>
      <c r="B157" s="4"/>
      <c r="C157" s="4"/>
      <c r="D157" s="4"/>
      <c r="E157" s="12"/>
      <c r="G157" s="147" t="s">
        <v>236</v>
      </c>
      <c r="H157" s="159">
        <v>70.05</v>
      </c>
      <c r="I157" s="153">
        <v>70.33</v>
      </c>
      <c r="J157" s="153">
        <v>70.31</v>
      </c>
      <c r="K157" s="153">
        <v>70.38</v>
      </c>
      <c r="L157" s="153">
        <v>70.34</v>
      </c>
      <c r="M157" s="80">
        <v>70.38</v>
      </c>
      <c r="N157" s="80">
        <v>70.31</v>
      </c>
      <c r="O157" s="153">
        <v>21.22</v>
      </c>
      <c r="P157" s="153">
        <v>21.17</v>
      </c>
      <c r="Q157" s="153">
        <v>21.16</v>
      </c>
      <c r="R157" s="153">
        <v>21.1</v>
      </c>
      <c r="S157" s="4"/>
      <c r="U157" s="147" t="s">
        <v>236</v>
      </c>
      <c r="V157" s="11"/>
      <c r="W157" s="4"/>
      <c r="X157" s="12"/>
      <c r="Y157" s="14"/>
      <c r="Z157" s="4"/>
      <c r="AA157" s="13"/>
      <c r="AB157" s="11"/>
      <c r="AC157" s="4"/>
      <c r="AD157" s="12"/>
      <c r="AE157" s="13"/>
      <c r="AF157" s="14">
        <v>5.0339999999999998</v>
      </c>
      <c r="AG157" s="133"/>
      <c r="AI157" s="84"/>
      <c r="AL157" s="64">
        <v>4.1723584666666662</v>
      </c>
      <c r="AM157" s="56">
        <v>14.13999999999991</v>
      </c>
      <c r="AN157" s="56">
        <v>16.059999999999871</v>
      </c>
      <c r="AO157" s="62">
        <v>22.21999999999991</v>
      </c>
      <c r="AQ157" s="64">
        <v>4.0825268166666664</v>
      </c>
      <c r="AR157" s="56">
        <v>13.74000000000013</v>
      </c>
      <c r="AS157" s="56">
        <v>15.140000000000059</v>
      </c>
      <c r="AT157" s="62">
        <v>19.140000000000072</v>
      </c>
      <c r="AV157" s="64">
        <v>3.7305216666666658</v>
      </c>
      <c r="AW157" s="56">
        <v>13.319999999999951</v>
      </c>
      <c r="AX157" s="56">
        <v>14.700000000000021</v>
      </c>
      <c r="AY157" s="62">
        <v>19.339999999999961</v>
      </c>
      <c r="BA157" s="64">
        <v>3.1940502666666659</v>
      </c>
      <c r="BB157" s="56">
        <v>16.48000000000005</v>
      </c>
      <c r="BC157" s="56">
        <v>18.900000000000009</v>
      </c>
      <c r="BD157" s="62">
        <v>30.620000000000051</v>
      </c>
      <c r="BF157" s="64">
        <v>2.9534212833333329</v>
      </c>
      <c r="BG157" s="56">
        <v>19.81999999999999</v>
      </c>
      <c r="BH157" s="56">
        <v>26.560000000000009</v>
      </c>
      <c r="BI157" s="62">
        <v>54.100000000000037</v>
      </c>
      <c r="BJ157" s="70"/>
      <c r="BK157" s="51"/>
    </row>
    <row r="158" spans="1:63" x14ac:dyDescent="0.4">
      <c r="A158" s="11" t="s">
        <v>237</v>
      </c>
      <c r="B158" s="4"/>
      <c r="C158" s="4"/>
      <c r="D158" s="4"/>
      <c r="E158" s="12"/>
      <c r="G158" s="147" t="s">
        <v>237</v>
      </c>
      <c r="H158" s="159">
        <v>70.081000000000003</v>
      </c>
      <c r="I158" s="153">
        <v>70.38</v>
      </c>
      <c r="J158" s="153">
        <v>70.34</v>
      </c>
      <c r="K158" s="153">
        <v>70.33</v>
      </c>
      <c r="L158" s="153">
        <v>70.34</v>
      </c>
      <c r="M158" s="80">
        <v>70.34</v>
      </c>
      <c r="N158" s="80">
        <v>70.33</v>
      </c>
      <c r="O158" s="153">
        <v>21.18</v>
      </c>
      <c r="P158" s="153">
        <v>21.16</v>
      </c>
      <c r="Q158" s="153">
        <v>21.13</v>
      </c>
      <c r="R158" s="153">
        <v>21.11</v>
      </c>
      <c r="S158" s="4"/>
      <c r="U158" s="147" t="s">
        <v>237</v>
      </c>
      <c r="V158" s="11"/>
      <c r="W158" s="4"/>
      <c r="X158" s="12"/>
      <c r="Y158" s="14"/>
      <c r="Z158" s="4"/>
      <c r="AA158" s="13"/>
      <c r="AB158" s="11"/>
      <c r="AC158" s="4"/>
      <c r="AD158" s="12"/>
      <c r="AE158" s="13"/>
      <c r="AF158" s="14">
        <v>5.0388000000000002</v>
      </c>
      <c r="AG158" s="133"/>
      <c r="AI158" s="84"/>
      <c r="AL158" s="64">
        <v>4.1718658666666668</v>
      </c>
      <c r="AM158" s="56">
        <v>14.03999999999996</v>
      </c>
      <c r="AN158" s="56">
        <v>15.980000000000061</v>
      </c>
      <c r="AO158" s="62">
        <v>22.16000000000005</v>
      </c>
      <c r="AQ158" s="64">
        <v>4.0821738166666668</v>
      </c>
      <c r="AR158" s="56">
        <v>13.640000000000009</v>
      </c>
      <c r="AS158" s="56">
        <v>15.019999999999991</v>
      </c>
      <c r="AT158" s="62">
        <v>19.040000000000031</v>
      </c>
      <c r="AV158" s="64">
        <v>3.7299600499999999</v>
      </c>
      <c r="AW158" s="56">
        <v>13.14000000000002</v>
      </c>
      <c r="AX158" s="56">
        <v>14.539999999999949</v>
      </c>
      <c r="AY158" s="62">
        <v>19.160000000000021</v>
      </c>
      <c r="BA158" s="64">
        <v>3.1912074499999989</v>
      </c>
      <c r="BB158" s="56">
        <v>16.220000000000031</v>
      </c>
      <c r="BC158" s="56">
        <v>18.679999999999989</v>
      </c>
      <c r="BD158" s="62">
        <v>30.579999999999959</v>
      </c>
      <c r="BF158" s="64">
        <v>2.9587873333333339</v>
      </c>
      <c r="BG158" s="56">
        <v>19.439999999999991</v>
      </c>
      <c r="BH158" s="56">
        <v>26.16000000000005</v>
      </c>
      <c r="BI158" s="62">
        <v>53.580000000000013</v>
      </c>
      <c r="BJ158" s="70"/>
      <c r="BK158" s="51"/>
    </row>
    <row r="159" spans="1:63" x14ac:dyDescent="0.4">
      <c r="A159" s="11" t="s">
        <v>238</v>
      </c>
      <c r="B159" s="4"/>
      <c r="C159" s="4"/>
      <c r="D159" s="4"/>
      <c r="E159" s="12"/>
      <c r="G159" s="147" t="s">
        <v>238</v>
      </c>
      <c r="H159" s="159">
        <v>70.102999999999994</v>
      </c>
      <c r="I159" s="153">
        <v>70.37</v>
      </c>
      <c r="J159" s="153">
        <v>70.39</v>
      </c>
      <c r="K159" s="153">
        <v>70.34</v>
      </c>
      <c r="L159" s="153">
        <v>70.349999999999994</v>
      </c>
      <c r="M159" s="80">
        <v>70.39</v>
      </c>
      <c r="N159" s="80">
        <v>70.34</v>
      </c>
      <c r="O159" s="153">
        <v>21.19</v>
      </c>
      <c r="P159" s="153">
        <v>21.16</v>
      </c>
      <c r="Q159" s="153">
        <v>21.12</v>
      </c>
      <c r="R159" s="153">
        <v>21.1</v>
      </c>
      <c r="S159" s="4"/>
      <c r="U159" s="147" t="s">
        <v>238</v>
      </c>
      <c r="V159" s="11"/>
      <c r="W159" s="4"/>
      <c r="X159" s="12"/>
      <c r="Y159" s="14"/>
      <c r="Z159" s="4"/>
      <c r="AA159" s="13"/>
      <c r="AB159" s="11"/>
      <c r="AC159" s="4"/>
      <c r="AD159" s="12"/>
      <c r="AE159" s="13"/>
      <c r="AF159" s="14">
        <v>5.0453000000000001</v>
      </c>
      <c r="AG159" s="133"/>
      <c r="AI159" s="84"/>
      <c r="AL159" s="64">
        <v>4.1722177999999994</v>
      </c>
      <c r="AM159" s="56">
        <v>14.179999999999991</v>
      </c>
      <c r="AN159" s="56">
        <v>16.099999999999959</v>
      </c>
      <c r="AO159" s="62">
        <v>22.259999999999991</v>
      </c>
      <c r="AQ159" s="64">
        <v>4.0819070666666661</v>
      </c>
      <c r="AR159" s="56">
        <v>13.620000000000051</v>
      </c>
      <c r="AS159" s="56">
        <v>15.019999999999991</v>
      </c>
      <c r="AT159" s="62">
        <v>19.019999999999989</v>
      </c>
      <c r="AV159" s="64">
        <v>3.7296020666666658</v>
      </c>
      <c r="AW159" s="56">
        <v>13.13999999999993</v>
      </c>
      <c r="AX159" s="56">
        <v>14.52</v>
      </c>
      <c r="AY159" s="62">
        <v>19.139999999999979</v>
      </c>
      <c r="BA159" s="64">
        <v>3.190812216666667</v>
      </c>
      <c r="BB159" s="56">
        <v>16.039999999999921</v>
      </c>
      <c r="BC159" s="56">
        <v>18.459999999999969</v>
      </c>
      <c r="BD159" s="62">
        <v>30.22</v>
      </c>
      <c r="BF159" s="64">
        <v>2.9523383333333331</v>
      </c>
      <c r="BG159" s="56">
        <v>19.240000000000009</v>
      </c>
      <c r="BH159" s="56">
        <v>26.080000000000059</v>
      </c>
      <c r="BI159" s="62">
        <v>53.760000000000034</v>
      </c>
      <c r="BJ159" s="70"/>
      <c r="BK159" s="51"/>
    </row>
    <row r="160" spans="1:63" x14ac:dyDescent="0.4">
      <c r="A160" s="11" t="s">
        <v>239</v>
      </c>
      <c r="B160" s="4"/>
      <c r="C160" s="4"/>
      <c r="D160" s="4"/>
      <c r="E160" s="12"/>
      <c r="G160" s="147" t="s">
        <v>239</v>
      </c>
      <c r="H160" s="159">
        <v>70.064999999999998</v>
      </c>
      <c r="I160" s="153">
        <v>70.36</v>
      </c>
      <c r="J160" s="153">
        <v>70.34</v>
      </c>
      <c r="K160" s="153">
        <v>70.36</v>
      </c>
      <c r="L160" s="153">
        <v>70.349999999999994</v>
      </c>
      <c r="M160" s="80">
        <v>70.37</v>
      </c>
      <c r="N160" s="80">
        <v>70.34</v>
      </c>
      <c r="O160" s="153">
        <v>21.16</v>
      </c>
      <c r="P160" s="153">
        <v>21.14</v>
      </c>
      <c r="Q160" s="153">
        <v>21.16</v>
      </c>
      <c r="R160" s="153">
        <v>21.11</v>
      </c>
      <c r="S160" s="4"/>
      <c r="U160" s="147" t="s">
        <v>239</v>
      </c>
      <c r="V160" s="11"/>
      <c r="W160" s="4"/>
      <c r="X160" s="12"/>
      <c r="Y160" s="14"/>
      <c r="Z160" s="4"/>
      <c r="AA160" s="13"/>
      <c r="AB160" s="11"/>
      <c r="AC160" s="4"/>
      <c r="AD160" s="12"/>
      <c r="AE160" s="13"/>
      <c r="AF160" s="14">
        <v>5.0362</v>
      </c>
      <c r="AG160" s="133"/>
      <c r="AI160" s="84"/>
      <c r="AL160" s="64">
        <v>4.1722725333333326</v>
      </c>
      <c r="AM160" s="56">
        <v>14.02000000000001</v>
      </c>
      <c r="AN160" s="56">
        <v>15.939999999999969</v>
      </c>
      <c r="AO160" s="62">
        <v>22.100000000000009</v>
      </c>
      <c r="AQ160" s="64">
        <v>4.0827658833333338</v>
      </c>
      <c r="AR160" s="56">
        <v>13.59999999999992</v>
      </c>
      <c r="AS160" s="56">
        <v>14.979999999999899</v>
      </c>
      <c r="AT160" s="62">
        <v>18.99999999999995</v>
      </c>
      <c r="AV160" s="64">
        <v>3.7307040833333329</v>
      </c>
      <c r="AW160" s="56">
        <v>13.11999999999998</v>
      </c>
      <c r="AX160" s="56">
        <v>14.499999999999959</v>
      </c>
      <c r="AY160" s="62">
        <v>19.09999999999998</v>
      </c>
      <c r="BA160" s="64">
        <v>3.1936190166666658</v>
      </c>
      <c r="BB160" s="56">
        <v>15.96000000000002</v>
      </c>
      <c r="BC160" s="56">
        <v>18.379999999999971</v>
      </c>
      <c r="BD160" s="62">
        <v>30.039999999999981</v>
      </c>
      <c r="BF160" s="64">
        <v>2.9532430833333332</v>
      </c>
      <c r="BG160" s="56">
        <v>19.220000000000059</v>
      </c>
      <c r="BH160" s="56">
        <v>26.04000000000006</v>
      </c>
      <c r="BI160" s="62">
        <v>53.700000000000081</v>
      </c>
      <c r="BJ160" s="70"/>
      <c r="BK160" s="51"/>
    </row>
    <row r="161" spans="1:63" x14ac:dyDescent="0.4">
      <c r="A161" s="11" t="s">
        <v>240</v>
      </c>
      <c r="B161" s="4"/>
      <c r="C161" s="4"/>
      <c r="D161" s="4"/>
      <c r="E161" s="12"/>
      <c r="G161" s="147" t="s">
        <v>240</v>
      </c>
      <c r="H161" s="159">
        <v>70.031000000000006</v>
      </c>
      <c r="I161" s="153">
        <v>70.36</v>
      </c>
      <c r="J161" s="153">
        <v>70.33</v>
      </c>
      <c r="K161" s="153">
        <v>70.319999999999993</v>
      </c>
      <c r="L161" s="153">
        <v>70.34</v>
      </c>
      <c r="M161" s="80">
        <v>70.349999999999994</v>
      </c>
      <c r="N161" s="80">
        <v>70.319999999999993</v>
      </c>
      <c r="O161" s="153">
        <v>21.18</v>
      </c>
      <c r="P161" s="153">
        <v>21.15</v>
      </c>
      <c r="Q161" s="153">
        <v>21.15</v>
      </c>
      <c r="R161" s="153">
        <v>21.11</v>
      </c>
      <c r="S161" s="4"/>
      <c r="U161" s="147" t="s">
        <v>240</v>
      </c>
      <c r="V161" s="11"/>
      <c r="W161" s="4"/>
      <c r="X161" s="12"/>
      <c r="Y161" s="14"/>
      <c r="Z161" s="4"/>
      <c r="AA161" s="13"/>
      <c r="AB161" s="11"/>
      <c r="AC161" s="4"/>
      <c r="AD161" s="12"/>
      <c r="AE161" s="13"/>
      <c r="AF161" s="14">
        <v>5.0023999999999997</v>
      </c>
      <c r="AG161" s="133"/>
      <c r="AI161" s="84"/>
      <c r="AL161" s="64">
        <v>4.1718276000000003</v>
      </c>
      <c r="AM161" s="56">
        <v>13.940000000000021</v>
      </c>
      <c r="AN161" s="56">
        <v>15.84000000000003</v>
      </c>
      <c r="AO161" s="62">
        <v>22.00000000000006</v>
      </c>
      <c r="AQ161" s="64">
        <v>4.0833626499999998</v>
      </c>
      <c r="AR161" s="56">
        <v>13.68000000000009</v>
      </c>
      <c r="AS161" s="56">
        <v>15.06000000000007</v>
      </c>
      <c r="AT161" s="62">
        <v>19.059999999999992</v>
      </c>
      <c r="AV161" s="64">
        <v>3.7316278166666659</v>
      </c>
      <c r="AW161" s="56">
        <v>13.18000000000001</v>
      </c>
      <c r="AX161" s="56">
        <v>14.580000000000039</v>
      </c>
      <c r="AY161" s="62">
        <v>19.179999999999971</v>
      </c>
      <c r="BA161" s="64">
        <v>3.194206466666667</v>
      </c>
      <c r="BB161" s="56">
        <v>16.12</v>
      </c>
      <c r="BC161" s="56">
        <v>18.540000000000049</v>
      </c>
      <c r="BD161" s="62">
        <v>30.29999999999999</v>
      </c>
      <c r="BF161" s="64">
        <v>2.9588018333333341</v>
      </c>
      <c r="BG161" s="56">
        <v>19.380000000000042</v>
      </c>
      <c r="BH161" s="56">
        <v>26.100000000000009</v>
      </c>
      <c r="BI161" s="62">
        <v>53.460000000000022</v>
      </c>
      <c r="BJ161" s="70"/>
      <c r="BK161" s="51"/>
    </row>
    <row r="162" spans="1:63" x14ac:dyDescent="0.4">
      <c r="A162" s="11" t="s">
        <v>241</v>
      </c>
      <c r="B162" s="4"/>
      <c r="C162" s="4"/>
      <c r="D162" s="4"/>
      <c r="E162" s="12"/>
      <c r="G162" s="147" t="s">
        <v>241</v>
      </c>
      <c r="H162" s="159">
        <v>70</v>
      </c>
      <c r="I162" s="153">
        <v>70.34</v>
      </c>
      <c r="J162" s="153">
        <v>70.33</v>
      </c>
      <c r="K162" s="153">
        <v>70.349999999999994</v>
      </c>
      <c r="L162" s="153">
        <v>70.34</v>
      </c>
      <c r="M162" s="80">
        <v>70.349999999999994</v>
      </c>
      <c r="N162" s="80">
        <v>70.27</v>
      </c>
      <c r="O162" s="153">
        <v>21.16</v>
      </c>
      <c r="P162" s="153">
        <v>21.14</v>
      </c>
      <c r="Q162" s="153">
        <v>21.14</v>
      </c>
      <c r="R162" s="153">
        <v>21.12</v>
      </c>
      <c r="S162" s="4"/>
      <c r="U162" s="147" t="s">
        <v>241</v>
      </c>
      <c r="V162" s="11"/>
      <c r="W162" s="4"/>
      <c r="X162" s="12"/>
      <c r="Y162" s="14"/>
      <c r="Z162" s="4"/>
      <c r="AA162" s="13"/>
      <c r="AB162" s="11"/>
      <c r="AC162" s="4"/>
      <c r="AD162" s="12"/>
      <c r="AE162" s="13"/>
      <c r="AF162" s="14">
        <v>5.0228000000000002</v>
      </c>
      <c r="AG162" s="133"/>
      <c r="AI162" s="84"/>
      <c r="AL162" s="64">
        <v>4.172343016666666</v>
      </c>
      <c r="AM162" s="56">
        <v>14.56</v>
      </c>
      <c r="AN162" s="56">
        <v>16.54</v>
      </c>
      <c r="AO162" s="62">
        <v>22.760000000000069</v>
      </c>
      <c r="AQ162" s="64">
        <v>4.0829504500000002</v>
      </c>
      <c r="AR162" s="56">
        <v>14.48</v>
      </c>
      <c r="AS162" s="56">
        <v>15.939999999999969</v>
      </c>
      <c r="AT162" s="62">
        <v>20.12</v>
      </c>
      <c r="AV162" s="64">
        <v>3.7290691833333329</v>
      </c>
      <c r="AW162" s="56">
        <v>13.899999999999929</v>
      </c>
      <c r="AX162" s="56">
        <v>15.379999999999949</v>
      </c>
      <c r="AY162" s="62">
        <v>20.219999999999949</v>
      </c>
      <c r="BA162" s="64">
        <v>3.1812133999999999</v>
      </c>
      <c r="BB162" s="56">
        <v>16.920000000000002</v>
      </c>
      <c r="BC162" s="56">
        <v>19.480000000000079</v>
      </c>
      <c r="BD162" s="62">
        <v>31.760000000000051</v>
      </c>
      <c r="BF162" s="64">
        <v>2.933442966666667</v>
      </c>
      <c r="BG162" s="56">
        <v>20.2</v>
      </c>
      <c r="BH162" s="56">
        <v>26.720000000000081</v>
      </c>
      <c r="BI162" s="62">
        <v>55.04000000000007</v>
      </c>
      <c r="BJ162" s="70"/>
      <c r="BK162" s="51"/>
    </row>
    <row r="163" spans="1:63" x14ac:dyDescent="0.4">
      <c r="A163" s="11" t="s">
        <v>242</v>
      </c>
      <c r="B163" s="4"/>
      <c r="C163" s="4"/>
      <c r="D163" s="4"/>
      <c r="E163" s="12"/>
      <c r="G163" s="147" t="s">
        <v>242</v>
      </c>
      <c r="H163" s="159">
        <v>70.102000000000004</v>
      </c>
      <c r="I163" s="153">
        <v>70.38</v>
      </c>
      <c r="J163" s="153">
        <v>70.31</v>
      </c>
      <c r="K163" s="153">
        <v>70.37</v>
      </c>
      <c r="L163" s="153">
        <v>70.349999999999994</v>
      </c>
      <c r="M163" s="80">
        <v>70.37</v>
      </c>
      <c r="N163" s="80">
        <v>70.31</v>
      </c>
      <c r="O163" s="153">
        <v>21.19</v>
      </c>
      <c r="P163" s="153">
        <v>21.16</v>
      </c>
      <c r="Q163" s="153">
        <v>21.14</v>
      </c>
      <c r="R163" s="153">
        <v>21.09</v>
      </c>
      <c r="S163" s="4"/>
      <c r="U163" s="147" t="s">
        <v>242</v>
      </c>
      <c r="V163" s="11"/>
      <c r="W163" s="4"/>
      <c r="X163" s="12"/>
      <c r="Y163" s="14"/>
      <c r="Z163" s="4"/>
      <c r="AA163" s="13"/>
      <c r="AB163" s="11"/>
      <c r="AC163" s="4"/>
      <c r="AD163" s="12"/>
      <c r="AE163" s="13"/>
      <c r="AF163" s="14">
        <v>5.0065</v>
      </c>
      <c r="AG163" s="133"/>
      <c r="AI163" s="84"/>
      <c r="AL163" s="64">
        <v>4.1723625166666656</v>
      </c>
      <c r="AM163" s="56">
        <v>14.19999999999995</v>
      </c>
      <c r="AN163" s="56">
        <v>16.099999999999959</v>
      </c>
      <c r="AO163" s="62">
        <v>22.21999999999991</v>
      </c>
      <c r="AQ163" s="64">
        <v>4.0809968333333346</v>
      </c>
      <c r="AR163" s="56">
        <v>13.50000000000016</v>
      </c>
      <c r="AS163" s="56">
        <v>14.86000000000001</v>
      </c>
      <c r="AT163" s="62">
        <v>18.880000000000049</v>
      </c>
      <c r="AV163" s="64">
        <v>3.7269395499999991</v>
      </c>
      <c r="AW163" s="56">
        <v>13.05999999999994</v>
      </c>
      <c r="AX163" s="56">
        <v>14.44000000000001</v>
      </c>
      <c r="AY163" s="62">
        <v>19.119999999999941</v>
      </c>
      <c r="BA163" s="64">
        <v>3.1839427666666671</v>
      </c>
      <c r="BB163" s="56">
        <v>15.899999999999981</v>
      </c>
      <c r="BC163" s="56">
        <v>18.340000000000071</v>
      </c>
      <c r="BD163" s="62">
        <v>30.28000000000004</v>
      </c>
      <c r="BF163" s="64">
        <v>2.941367516666666</v>
      </c>
      <c r="BG163" s="56">
        <v>18.959999999999951</v>
      </c>
      <c r="BH163" s="56">
        <v>25.48000000000004</v>
      </c>
      <c r="BI163" s="62">
        <v>52.82</v>
      </c>
      <c r="BJ163" s="69"/>
      <c r="BK163" s="51"/>
    </row>
    <row r="164" spans="1:63" x14ac:dyDescent="0.4">
      <c r="A164" s="11" t="s">
        <v>243</v>
      </c>
      <c r="B164" s="4"/>
      <c r="C164" s="4"/>
      <c r="D164" s="4"/>
      <c r="E164" s="12"/>
      <c r="G164" s="147" t="s">
        <v>243</v>
      </c>
      <c r="H164" s="159">
        <v>69.995999999999995</v>
      </c>
      <c r="I164" s="153">
        <v>70.39</v>
      </c>
      <c r="J164" s="153">
        <v>70.34</v>
      </c>
      <c r="K164" s="153">
        <v>70.34</v>
      </c>
      <c r="L164" s="153">
        <v>70.349999999999994</v>
      </c>
      <c r="M164" s="80">
        <v>70.349999999999994</v>
      </c>
      <c r="N164" s="80">
        <v>70.34</v>
      </c>
      <c r="O164" s="153">
        <v>21.17</v>
      </c>
      <c r="P164" s="153">
        <v>21.13</v>
      </c>
      <c r="Q164" s="153">
        <v>21.15</v>
      </c>
      <c r="R164" s="153">
        <v>21.1</v>
      </c>
      <c r="S164" s="4"/>
      <c r="U164" s="147" t="s">
        <v>243</v>
      </c>
      <c r="V164" s="11"/>
      <c r="W164" s="4"/>
      <c r="X164" s="12"/>
      <c r="Y164" s="14"/>
      <c r="Z164" s="4"/>
      <c r="AA164" s="13"/>
      <c r="AB164" s="11"/>
      <c r="AC164" s="4"/>
      <c r="AD164" s="12"/>
      <c r="AE164" s="13"/>
      <c r="AF164" s="14">
        <v>5.0293999999999999</v>
      </c>
      <c r="AG164" s="133"/>
      <c r="AI164" s="84"/>
      <c r="AL164" s="64">
        <v>4.1718409166666666</v>
      </c>
      <c r="AM164" s="56">
        <v>14.03999999999996</v>
      </c>
      <c r="AN164" s="56">
        <v>15.960000000000109</v>
      </c>
      <c r="AO164" s="62">
        <v>22.080000000000059</v>
      </c>
      <c r="AQ164" s="64">
        <v>4.0816284999999999</v>
      </c>
      <c r="AR164" s="56">
        <v>13.56000000000002</v>
      </c>
      <c r="AS164" s="56">
        <v>14.959999999999949</v>
      </c>
      <c r="AT164" s="62">
        <v>18.979999999999912</v>
      </c>
      <c r="AV164" s="64">
        <v>3.7276831666666661</v>
      </c>
      <c r="AW164" s="56">
        <v>13.09999999999993</v>
      </c>
      <c r="AX164" s="56">
        <v>14.47999999999992</v>
      </c>
      <c r="AY164" s="62">
        <v>19.159999999999929</v>
      </c>
      <c r="BA164" s="64">
        <v>3.1830978666666669</v>
      </c>
      <c r="BB164" s="56">
        <v>16.12</v>
      </c>
      <c r="BC164" s="56">
        <v>18.60000000000008</v>
      </c>
      <c r="BD164" s="62">
        <v>30.680000000000081</v>
      </c>
      <c r="BF164" s="64">
        <v>2.9406330500000002</v>
      </c>
      <c r="BG164" s="56">
        <v>19.339999999999961</v>
      </c>
      <c r="BH164" s="56">
        <v>26.019999999999929</v>
      </c>
      <c r="BI164" s="62">
        <v>54.08</v>
      </c>
      <c r="BJ164" s="69"/>
      <c r="BK164" s="51"/>
    </row>
    <row r="165" spans="1:63" x14ac:dyDescent="0.4">
      <c r="A165" s="11" t="s">
        <v>244</v>
      </c>
      <c r="B165" s="4"/>
      <c r="C165" s="4"/>
      <c r="D165" s="4"/>
      <c r="E165" s="12"/>
      <c r="G165" s="147" t="s">
        <v>244</v>
      </c>
      <c r="H165" s="159">
        <v>70.013999999999996</v>
      </c>
      <c r="I165" s="153">
        <v>70.319999999999993</v>
      </c>
      <c r="J165" s="153">
        <v>70.349999999999994</v>
      </c>
      <c r="K165" s="153">
        <v>70.36</v>
      </c>
      <c r="L165" s="153">
        <v>70.34</v>
      </c>
      <c r="M165" s="80">
        <v>70.36</v>
      </c>
      <c r="N165" s="80">
        <v>70.34</v>
      </c>
      <c r="O165" s="153">
        <v>21.16</v>
      </c>
      <c r="P165" s="153">
        <v>21.14</v>
      </c>
      <c r="Q165" s="153">
        <v>21.13</v>
      </c>
      <c r="R165" s="153">
        <v>21.11</v>
      </c>
      <c r="S165" s="4"/>
      <c r="U165" s="147" t="s">
        <v>244</v>
      </c>
      <c r="V165" s="11"/>
      <c r="W165" s="4"/>
      <c r="X165" s="12"/>
      <c r="Y165" s="14"/>
      <c r="Z165" s="4"/>
      <c r="AA165" s="13"/>
      <c r="AB165" s="11"/>
      <c r="AC165" s="4"/>
      <c r="AD165" s="12"/>
      <c r="AE165" s="13"/>
      <c r="AF165" s="14">
        <v>5.0274999999999999</v>
      </c>
      <c r="AG165" s="133"/>
      <c r="AI165" s="84"/>
      <c r="AL165" s="64">
        <v>4.1723324000000002</v>
      </c>
      <c r="AM165" s="56">
        <v>14.24000000000003</v>
      </c>
      <c r="AN165" s="56">
        <v>16.16</v>
      </c>
      <c r="AO165" s="62">
        <v>22.279999999999941</v>
      </c>
      <c r="AQ165" s="64">
        <v>4.0803892999999993</v>
      </c>
      <c r="AR165" s="56">
        <v>13.480000000000031</v>
      </c>
      <c r="AS165" s="56">
        <v>14.86000000000001</v>
      </c>
      <c r="AT165" s="62">
        <v>18.87999999999996</v>
      </c>
      <c r="AV165" s="64">
        <v>3.7268049333333328</v>
      </c>
      <c r="AW165" s="56">
        <v>13.03999999999998</v>
      </c>
      <c r="AX165" s="56">
        <v>14.42000000000005</v>
      </c>
      <c r="AY165" s="62">
        <v>19.09999999999998</v>
      </c>
      <c r="BA165" s="64">
        <v>3.184978716666667</v>
      </c>
      <c r="BB165" s="56">
        <v>15.940000000000071</v>
      </c>
      <c r="BC165" s="56">
        <v>18.360000000000021</v>
      </c>
      <c r="BD165" s="62">
        <v>30.240000000000041</v>
      </c>
      <c r="BF165" s="64">
        <v>2.942587416666667</v>
      </c>
      <c r="BG165" s="56">
        <v>19.059999999999992</v>
      </c>
      <c r="BH165" s="56">
        <v>25.48000000000004</v>
      </c>
      <c r="BI165" s="62">
        <v>52.580000000000027</v>
      </c>
      <c r="BJ165" s="69"/>
      <c r="BK165" s="51"/>
    </row>
    <row r="166" spans="1:63" x14ac:dyDescent="0.4">
      <c r="A166" s="11" t="s">
        <v>245</v>
      </c>
      <c r="B166" s="4"/>
      <c r="C166" s="4"/>
      <c r="D166" s="4"/>
      <c r="E166" s="12"/>
      <c r="G166" s="147" t="s">
        <v>245</v>
      </c>
      <c r="H166" s="159">
        <v>70.049000000000007</v>
      </c>
      <c r="I166" s="153">
        <v>70.33</v>
      </c>
      <c r="J166" s="153">
        <v>70.34</v>
      </c>
      <c r="K166" s="153">
        <v>70.319999999999993</v>
      </c>
      <c r="L166" s="153">
        <v>70.319999999999993</v>
      </c>
      <c r="M166" s="80">
        <v>70.36</v>
      </c>
      <c r="N166" s="80">
        <v>70.319999999999993</v>
      </c>
      <c r="O166" s="153">
        <v>21.17</v>
      </c>
      <c r="P166" s="153">
        <v>21.16</v>
      </c>
      <c r="Q166" s="153">
        <v>21.12</v>
      </c>
      <c r="R166" s="153">
        <v>21.11</v>
      </c>
      <c r="S166" s="4"/>
      <c r="U166" s="147" t="s">
        <v>245</v>
      </c>
      <c r="V166" s="11"/>
      <c r="W166" s="4"/>
      <c r="X166" s="12"/>
      <c r="Y166" s="14"/>
      <c r="Z166" s="4"/>
      <c r="AA166" s="13"/>
      <c r="AB166" s="11"/>
      <c r="AC166" s="4"/>
      <c r="AD166" s="12"/>
      <c r="AE166" s="13"/>
      <c r="AF166" s="14">
        <v>5.0422000000000002</v>
      </c>
      <c r="AG166" s="133"/>
      <c r="AI166" s="84"/>
      <c r="AL166" s="64">
        <v>4.1722106999999999</v>
      </c>
      <c r="AM166" s="56">
        <v>13.9800000000001</v>
      </c>
      <c r="AN166" s="56">
        <v>15.88000000000012</v>
      </c>
      <c r="AO166" s="62">
        <v>22.020000000000021</v>
      </c>
      <c r="AQ166" s="64">
        <v>4.0817775833333334</v>
      </c>
      <c r="AR166" s="56">
        <v>13.49999999999998</v>
      </c>
      <c r="AS166" s="56">
        <v>14.880000000000139</v>
      </c>
      <c r="AT166" s="62">
        <v>18.920000000000051</v>
      </c>
      <c r="AV166" s="64">
        <v>3.727612933333333</v>
      </c>
      <c r="AW166" s="56">
        <v>13.079999999999981</v>
      </c>
      <c r="AX166" s="56">
        <v>14.48</v>
      </c>
      <c r="AY166" s="62">
        <v>19.139999999999979</v>
      </c>
      <c r="BA166" s="64">
        <v>3.1885571833333328</v>
      </c>
      <c r="BB166" s="56">
        <v>16.000000000000011</v>
      </c>
      <c r="BC166" s="56">
        <v>18.480000000000011</v>
      </c>
      <c r="BD166" s="62">
        <v>30.41999999999998</v>
      </c>
      <c r="BF166" s="64">
        <v>2.952936816666667</v>
      </c>
      <c r="BG166" s="56">
        <v>19.09999999999998</v>
      </c>
      <c r="BH166" s="56">
        <v>25.38</v>
      </c>
      <c r="BI166" s="62">
        <v>52.06</v>
      </c>
      <c r="BJ166" s="70"/>
      <c r="BK166" s="51"/>
    </row>
    <row r="167" spans="1:63" x14ac:dyDescent="0.4">
      <c r="A167" s="11" t="s">
        <v>246</v>
      </c>
      <c r="B167" s="4"/>
      <c r="C167" s="4"/>
      <c r="D167" s="4"/>
      <c r="E167" s="12"/>
      <c r="G167" s="147" t="s">
        <v>246</v>
      </c>
      <c r="H167" s="159">
        <v>70.027000000000001</v>
      </c>
      <c r="I167" s="153">
        <v>70.349999999999994</v>
      </c>
      <c r="J167" s="153">
        <v>70.37</v>
      </c>
      <c r="K167" s="153">
        <v>70.36</v>
      </c>
      <c r="L167" s="153">
        <v>70.38</v>
      </c>
      <c r="M167" s="80">
        <v>70.38</v>
      </c>
      <c r="N167" s="80">
        <v>70.33</v>
      </c>
      <c r="O167" s="153">
        <v>21.2</v>
      </c>
      <c r="P167" s="153">
        <v>21.17</v>
      </c>
      <c r="Q167" s="153">
        <v>21.14</v>
      </c>
      <c r="R167" s="153">
        <v>21.09</v>
      </c>
      <c r="S167" s="4"/>
      <c r="U167" s="147" t="s">
        <v>246</v>
      </c>
      <c r="V167" s="11"/>
      <c r="W167" s="4"/>
      <c r="X167" s="12"/>
      <c r="Y167" s="14"/>
      <c r="Z167" s="4"/>
      <c r="AA167" s="13"/>
      <c r="AB167" s="11"/>
      <c r="AC167" s="4"/>
      <c r="AD167" s="12"/>
      <c r="AE167" s="13"/>
      <c r="AF167" s="14">
        <v>5.0354999999999999</v>
      </c>
      <c r="AG167" s="133"/>
      <c r="AI167" s="84"/>
      <c r="AL167" s="64">
        <v>4.1721851333333344</v>
      </c>
      <c r="AM167" s="56">
        <v>14.440000000000101</v>
      </c>
      <c r="AN167" s="56">
        <v>16.39999999999997</v>
      </c>
      <c r="AO167" s="62">
        <v>22.60000000000009</v>
      </c>
      <c r="AQ167" s="64">
        <v>4.0808251333333327</v>
      </c>
      <c r="AR167" s="56">
        <v>13.73999999999995</v>
      </c>
      <c r="AS167" s="56">
        <v>15.140000000000059</v>
      </c>
      <c r="AT167" s="62">
        <v>19.179999999999971</v>
      </c>
      <c r="AV167" s="64">
        <v>3.7288484333333338</v>
      </c>
      <c r="AW167" s="56">
        <v>13.26000000000001</v>
      </c>
      <c r="AX167" s="56">
        <v>14.63999999999999</v>
      </c>
      <c r="AY167" s="62">
        <v>19.280000000000008</v>
      </c>
      <c r="BA167" s="64">
        <v>3.1911576833333331</v>
      </c>
      <c r="BB167" s="56">
        <v>16.180000000000039</v>
      </c>
      <c r="BC167" s="56">
        <v>18.580000000000041</v>
      </c>
      <c r="BD167" s="62">
        <v>30.300000000000079</v>
      </c>
      <c r="BF167" s="64">
        <v>2.9493735833333332</v>
      </c>
      <c r="BG167" s="56">
        <v>19.420000000000041</v>
      </c>
      <c r="BH167" s="56">
        <v>26.18</v>
      </c>
      <c r="BI167" s="62">
        <v>53.89999999999997</v>
      </c>
      <c r="BJ167" s="69"/>
      <c r="BK167" s="51"/>
    </row>
    <row r="168" spans="1:63" x14ac:dyDescent="0.4">
      <c r="A168" s="11" t="s">
        <v>247</v>
      </c>
      <c r="B168" s="4"/>
      <c r="C168" s="4"/>
      <c r="D168" s="4"/>
      <c r="E168" s="12"/>
      <c r="G168" s="147" t="s">
        <v>247</v>
      </c>
      <c r="H168" s="159">
        <v>70.075000000000003</v>
      </c>
      <c r="I168" s="153">
        <v>70.36</v>
      </c>
      <c r="J168" s="153">
        <v>70.34</v>
      </c>
      <c r="K168" s="153">
        <v>70.349999999999994</v>
      </c>
      <c r="L168" s="153">
        <v>70.349999999999994</v>
      </c>
      <c r="M168" s="80">
        <v>70.39</v>
      </c>
      <c r="N168" s="80">
        <v>70.34</v>
      </c>
      <c r="O168" s="153">
        <v>21.19</v>
      </c>
      <c r="P168" s="153">
        <v>21.17</v>
      </c>
      <c r="Q168" s="153">
        <v>21.14</v>
      </c>
      <c r="R168" s="153">
        <v>21.12</v>
      </c>
      <c r="S168" s="4"/>
      <c r="U168" s="147" t="s">
        <v>247</v>
      </c>
      <c r="V168" s="11"/>
      <c r="W168" s="4"/>
      <c r="X168" s="12"/>
      <c r="Y168" s="14"/>
      <c r="Z168" s="4"/>
      <c r="AA168" s="13"/>
      <c r="AB168" s="11"/>
      <c r="AC168" s="4"/>
      <c r="AD168" s="12"/>
      <c r="AE168" s="13"/>
      <c r="AF168" s="14">
        <v>5.0296000000000003</v>
      </c>
      <c r="AG168" s="133"/>
      <c r="AI168" s="84"/>
      <c r="AL168" s="64">
        <v>4.1718114166666664</v>
      </c>
      <c r="AM168" s="56">
        <v>14.25999999999998</v>
      </c>
      <c r="AN168" s="56">
        <v>16.16</v>
      </c>
      <c r="AO168" s="62">
        <v>22.320000000000029</v>
      </c>
      <c r="AQ168" s="64">
        <v>4.0808994166666661</v>
      </c>
      <c r="AR168" s="56">
        <v>13.600000000000099</v>
      </c>
      <c r="AS168" s="56">
        <v>14.98000000000008</v>
      </c>
      <c r="AT168" s="62">
        <v>19.000000000000039</v>
      </c>
      <c r="AV168" s="64">
        <v>3.729015</v>
      </c>
      <c r="AW168" s="56">
        <v>13.079999999999981</v>
      </c>
      <c r="AX168" s="56">
        <v>14.44000000000001</v>
      </c>
      <c r="AY168" s="62">
        <v>19.059999999999992</v>
      </c>
      <c r="BA168" s="64">
        <v>3.1905016833333328</v>
      </c>
      <c r="BB168" s="56">
        <v>15.839999999999939</v>
      </c>
      <c r="BC168" s="56">
        <v>18.239999999999949</v>
      </c>
      <c r="BD168" s="62">
        <v>29.939999999999941</v>
      </c>
      <c r="BF168" s="64">
        <v>2.9535712333333328</v>
      </c>
      <c r="BG168" s="56">
        <v>18.98</v>
      </c>
      <c r="BH168" s="56">
        <v>25.659999999999972</v>
      </c>
      <c r="BI168" s="62">
        <v>53.019999999999968</v>
      </c>
      <c r="BJ168" s="70"/>
      <c r="BK168" s="51"/>
    </row>
    <row r="169" spans="1:63" x14ac:dyDescent="0.4">
      <c r="A169" s="11" t="s">
        <v>248</v>
      </c>
      <c r="B169" s="4"/>
      <c r="C169" s="4"/>
      <c r="D169" s="4"/>
      <c r="E169" s="12"/>
      <c r="G169" s="147" t="s">
        <v>248</v>
      </c>
      <c r="H169" s="159">
        <v>70.028999999999996</v>
      </c>
      <c r="I169" s="153">
        <v>70.38</v>
      </c>
      <c r="J169" s="153">
        <v>70.38</v>
      </c>
      <c r="K169" s="153">
        <v>70.34</v>
      </c>
      <c r="L169" s="153">
        <v>70.34</v>
      </c>
      <c r="M169" s="80">
        <v>70.38</v>
      </c>
      <c r="N169" s="80">
        <v>70.34</v>
      </c>
      <c r="O169" s="153">
        <v>21.16</v>
      </c>
      <c r="P169" s="153">
        <v>21.14</v>
      </c>
      <c r="Q169" s="153">
        <v>21.13</v>
      </c>
      <c r="R169" s="153">
        <v>21.12</v>
      </c>
      <c r="S169" s="4"/>
      <c r="U169" s="147" t="s">
        <v>248</v>
      </c>
      <c r="V169" s="11"/>
      <c r="W169" s="4"/>
      <c r="X169" s="12"/>
      <c r="Y169" s="14"/>
      <c r="Z169" s="4"/>
      <c r="AA169" s="13"/>
      <c r="AB169" s="11"/>
      <c r="AC169" s="4"/>
      <c r="AD169" s="12"/>
      <c r="AE169" s="13"/>
      <c r="AF169" s="14">
        <v>5.0372000000000003</v>
      </c>
      <c r="AG169" s="133"/>
      <c r="AI169" s="84"/>
      <c r="AL169" s="64">
        <v>4.1714301666666662</v>
      </c>
      <c r="AM169" s="56">
        <v>14.060000000000089</v>
      </c>
      <c r="AN169" s="56">
        <v>16.000000000000011</v>
      </c>
      <c r="AO169" s="62">
        <v>22.140000000000089</v>
      </c>
      <c r="AQ169" s="64">
        <v>4.081041316666667</v>
      </c>
      <c r="AR169" s="56">
        <v>13.49999999999998</v>
      </c>
      <c r="AS169" s="56">
        <v>14.87999999999996</v>
      </c>
      <c r="AT169" s="62">
        <v>18.920000000000051</v>
      </c>
      <c r="AV169" s="64">
        <v>3.727936133333333</v>
      </c>
      <c r="AW169" s="56">
        <v>13.04000000000007</v>
      </c>
      <c r="AX169" s="56">
        <v>14.42000000000005</v>
      </c>
      <c r="AY169" s="62">
        <v>19.100000000000069</v>
      </c>
      <c r="BA169" s="64">
        <v>3.1868444166666672</v>
      </c>
      <c r="BB169" s="56">
        <v>16.479999999999961</v>
      </c>
      <c r="BC169" s="56">
        <v>18.940000000000001</v>
      </c>
      <c r="BD169" s="62">
        <v>30.959999999999969</v>
      </c>
      <c r="BF169" s="64">
        <v>2.946631383333334</v>
      </c>
      <c r="BG169" s="56">
        <v>19.679999999999961</v>
      </c>
      <c r="BH169" s="56">
        <v>26.560000000000009</v>
      </c>
      <c r="BI169" s="62">
        <v>54.360000000000063</v>
      </c>
      <c r="BJ169" s="70"/>
      <c r="BK169" s="51"/>
    </row>
    <row r="170" spans="1:63" x14ac:dyDescent="0.4">
      <c r="A170" s="11" t="s">
        <v>249</v>
      </c>
      <c r="B170" s="4"/>
      <c r="C170" s="4"/>
      <c r="D170" s="4"/>
      <c r="E170" s="12"/>
      <c r="G170" s="147" t="s">
        <v>249</v>
      </c>
      <c r="H170" s="159">
        <v>70.013000000000005</v>
      </c>
      <c r="I170" s="153">
        <v>70.36</v>
      </c>
      <c r="J170" s="153">
        <v>70.349999999999994</v>
      </c>
      <c r="K170" s="153">
        <v>70.38</v>
      </c>
      <c r="L170" s="153">
        <v>70.349999999999994</v>
      </c>
      <c r="M170" s="80">
        <v>70.430000000000007</v>
      </c>
      <c r="N170" s="80">
        <v>70.349999999999994</v>
      </c>
      <c r="O170" s="153">
        <v>21.2</v>
      </c>
      <c r="P170" s="153">
        <v>21.17</v>
      </c>
      <c r="Q170" s="153">
        <v>21.16</v>
      </c>
      <c r="R170" s="153">
        <v>21.15</v>
      </c>
      <c r="S170" s="4"/>
      <c r="U170" s="147" t="s">
        <v>249</v>
      </c>
      <c r="V170" s="11"/>
      <c r="W170" s="4"/>
      <c r="X170" s="12"/>
      <c r="Y170" s="14"/>
      <c r="Z170" s="4"/>
      <c r="AA170" s="13"/>
      <c r="AB170" s="11"/>
      <c r="AC170" s="4"/>
      <c r="AD170" s="12"/>
      <c r="AE170" s="13"/>
      <c r="AF170" s="14">
        <v>5.0408999999999997</v>
      </c>
      <c r="AG170" s="133"/>
      <c r="AI170" s="84"/>
      <c r="AL170" s="64">
        <v>4.1720035666666666</v>
      </c>
      <c r="AM170" s="56">
        <v>14.400000000000009</v>
      </c>
      <c r="AN170" s="56">
        <v>16.300000000000029</v>
      </c>
      <c r="AO170" s="62">
        <v>22.499999999999961</v>
      </c>
      <c r="AQ170" s="64">
        <v>4.0812106666666672</v>
      </c>
      <c r="AR170" s="56">
        <v>13.79999999999999</v>
      </c>
      <c r="AS170" s="56">
        <v>15.199999999999919</v>
      </c>
      <c r="AT170" s="62">
        <v>19.23999999999992</v>
      </c>
      <c r="AV170" s="64">
        <v>3.7286406333333342</v>
      </c>
      <c r="AW170" s="56">
        <v>13.37999999999999</v>
      </c>
      <c r="AX170" s="56">
        <v>14.75999999999997</v>
      </c>
      <c r="AY170" s="62">
        <v>19.439999999999991</v>
      </c>
      <c r="BA170" s="64">
        <v>3.18968235</v>
      </c>
      <c r="BB170" s="56">
        <v>16.48000000000005</v>
      </c>
      <c r="BC170" s="56">
        <v>18.940000000000001</v>
      </c>
      <c r="BD170" s="62">
        <v>30.800000000000072</v>
      </c>
      <c r="BF170" s="64">
        <v>2.9562170666666669</v>
      </c>
      <c r="BG170" s="56">
        <v>19.739999999999998</v>
      </c>
      <c r="BH170" s="56">
        <v>26.379999999999981</v>
      </c>
      <c r="BI170" s="62">
        <v>53.699999999999989</v>
      </c>
      <c r="BJ170" s="70"/>
      <c r="BK170" s="51"/>
    </row>
    <row r="171" spans="1:63" x14ac:dyDescent="0.4">
      <c r="A171" s="11" t="s">
        <v>250</v>
      </c>
      <c r="B171" s="4"/>
      <c r="C171" s="4"/>
      <c r="D171" s="4"/>
      <c r="E171" s="12"/>
      <c r="G171" s="147" t="s">
        <v>250</v>
      </c>
      <c r="H171" s="159">
        <v>70.007000000000005</v>
      </c>
      <c r="I171" s="153">
        <v>70.37</v>
      </c>
      <c r="J171" s="153">
        <v>70.31</v>
      </c>
      <c r="K171" s="153">
        <v>70.37</v>
      </c>
      <c r="L171" s="153">
        <v>70.349999999999994</v>
      </c>
      <c r="M171" s="80">
        <v>70.37</v>
      </c>
      <c r="N171" s="80">
        <v>70.31</v>
      </c>
      <c r="O171" s="153">
        <v>21.19</v>
      </c>
      <c r="P171" s="153">
        <v>21.16</v>
      </c>
      <c r="Q171" s="153">
        <v>21.14</v>
      </c>
      <c r="R171" s="153">
        <v>21.09</v>
      </c>
      <c r="S171" s="4"/>
      <c r="U171" s="147" t="s">
        <v>250</v>
      </c>
      <c r="V171" s="11"/>
      <c r="W171" s="4"/>
      <c r="X171" s="12"/>
      <c r="Y171" s="14"/>
      <c r="Z171" s="4"/>
      <c r="AA171" s="13"/>
      <c r="AB171" s="11"/>
      <c r="AC171" s="4"/>
      <c r="AD171" s="12"/>
      <c r="AE171" s="13"/>
      <c r="AF171" s="14">
        <v>5.0021000000000004</v>
      </c>
      <c r="AG171" s="133"/>
      <c r="AI171" s="84"/>
      <c r="AL171" s="64">
        <v>4.1720635166666664</v>
      </c>
      <c r="AM171" s="56">
        <v>14.18000000000017</v>
      </c>
      <c r="AN171" s="56">
        <v>16.10000000000014</v>
      </c>
      <c r="AO171" s="62">
        <v>22.300000000000079</v>
      </c>
      <c r="AQ171" s="64">
        <v>4.0815754000000002</v>
      </c>
      <c r="AR171" s="56">
        <v>13.679999999999909</v>
      </c>
      <c r="AS171" s="56">
        <v>15.059999999999899</v>
      </c>
      <c r="AT171" s="62">
        <v>19.079999999999941</v>
      </c>
      <c r="AV171" s="64">
        <v>3.729509366666667</v>
      </c>
      <c r="AW171" s="56">
        <v>13.199999999999971</v>
      </c>
      <c r="AX171" s="56">
        <v>14.56</v>
      </c>
      <c r="AY171" s="62">
        <v>19.200000000000021</v>
      </c>
      <c r="BA171" s="64">
        <v>3.1921131833333329</v>
      </c>
      <c r="BB171" s="56">
        <v>15.96000000000002</v>
      </c>
      <c r="BC171" s="56">
        <v>18.31999999999994</v>
      </c>
      <c r="BD171" s="62">
        <v>29.999999999999979</v>
      </c>
      <c r="BF171" s="64">
        <v>2.9550138166666668</v>
      </c>
      <c r="BG171" s="56">
        <v>19.139999999999979</v>
      </c>
      <c r="BH171" s="56">
        <v>25.879999999999988</v>
      </c>
      <c r="BI171" s="62">
        <v>53.239999999999988</v>
      </c>
      <c r="BJ171" s="70"/>
      <c r="BK171" s="51"/>
    </row>
    <row r="172" spans="1:63" x14ac:dyDescent="0.4">
      <c r="A172" s="11" t="s">
        <v>251</v>
      </c>
      <c r="B172" s="4"/>
      <c r="C172" s="4"/>
      <c r="D172" s="4"/>
      <c r="E172" s="12"/>
      <c r="G172" s="147" t="s">
        <v>251</v>
      </c>
      <c r="H172" s="159">
        <v>70.066000000000003</v>
      </c>
      <c r="I172" s="153">
        <v>70.34</v>
      </c>
      <c r="J172" s="153">
        <v>70.34</v>
      </c>
      <c r="K172" s="153">
        <v>70.34</v>
      </c>
      <c r="L172" s="153">
        <v>70.349999999999994</v>
      </c>
      <c r="M172" s="80">
        <v>70.349999999999994</v>
      </c>
      <c r="N172" s="80">
        <v>70.34</v>
      </c>
      <c r="O172" s="153">
        <v>21.17</v>
      </c>
      <c r="P172" s="153">
        <v>21.13</v>
      </c>
      <c r="Q172" s="153">
        <v>21.15</v>
      </c>
      <c r="R172" s="153">
        <v>21.1</v>
      </c>
      <c r="S172" s="4"/>
      <c r="U172" s="147" t="s">
        <v>251</v>
      </c>
      <c r="V172" s="11"/>
      <c r="W172" s="4"/>
      <c r="X172" s="12"/>
      <c r="Y172" s="14"/>
      <c r="Z172" s="4"/>
      <c r="AA172" s="13"/>
      <c r="AB172" s="11"/>
      <c r="AC172" s="4"/>
      <c r="AD172" s="12"/>
      <c r="AE172" s="13"/>
      <c r="AF172" s="14">
        <v>5.0373000000000001</v>
      </c>
      <c r="AG172" s="133"/>
      <c r="AI172" s="84"/>
      <c r="AL172" s="64">
        <v>4.1724673333333344</v>
      </c>
      <c r="AM172" s="56">
        <v>14.960000000000131</v>
      </c>
      <c r="AN172" s="56">
        <v>16.940000000000129</v>
      </c>
      <c r="AO172" s="62">
        <v>23.120000000000118</v>
      </c>
      <c r="AQ172" s="64">
        <v>4.083034416666667</v>
      </c>
      <c r="AR172" s="56">
        <v>14.76000000000006</v>
      </c>
      <c r="AS172" s="56">
        <v>16.260000000000119</v>
      </c>
      <c r="AT172" s="62">
        <v>20.48000000000005</v>
      </c>
      <c r="AV172" s="64">
        <v>3.728849016666667</v>
      </c>
      <c r="AW172" s="56">
        <v>14.299999999999979</v>
      </c>
      <c r="AX172" s="56">
        <v>15.799999999999949</v>
      </c>
      <c r="AY172" s="62">
        <v>20.719999999999938</v>
      </c>
      <c r="BA172" s="64">
        <v>3.1802009999999998</v>
      </c>
      <c r="BB172" s="56">
        <v>17.11999999999998</v>
      </c>
      <c r="BC172" s="56">
        <v>19.70000000000001</v>
      </c>
      <c r="BD172" s="62">
        <v>32.039999999999942</v>
      </c>
      <c r="BF172" s="64">
        <v>2.9361933666666662</v>
      </c>
      <c r="BG172" s="56">
        <v>20.239999999999991</v>
      </c>
      <c r="BH172" s="56">
        <v>26.839999999999971</v>
      </c>
      <c r="BI172" s="62">
        <v>54.959999999999987</v>
      </c>
      <c r="BJ172" s="70"/>
      <c r="BK172" s="51"/>
    </row>
    <row r="173" spans="1:63" x14ac:dyDescent="0.4">
      <c r="A173" s="11" t="s">
        <v>252</v>
      </c>
      <c r="B173" s="4"/>
      <c r="C173" s="4"/>
      <c r="D173" s="4"/>
      <c r="E173" s="12"/>
      <c r="G173" s="147" t="s">
        <v>252</v>
      </c>
      <c r="H173" s="159">
        <v>70.052000000000007</v>
      </c>
      <c r="I173" s="153">
        <v>70.319999999999993</v>
      </c>
      <c r="J173" s="153">
        <v>70.349999999999994</v>
      </c>
      <c r="K173" s="153">
        <v>70.36</v>
      </c>
      <c r="L173" s="153">
        <v>70.34</v>
      </c>
      <c r="M173" s="80">
        <v>70.36</v>
      </c>
      <c r="N173" s="80">
        <v>70.34</v>
      </c>
      <c r="O173" s="153">
        <v>21.16</v>
      </c>
      <c r="P173" s="153">
        <v>21.14</v>
      </c>
      <c r="Q173" s="153">
        <v>21.13</v>
      </c>
      <c r="R173" s="153">
        <v>21.11</v>
      </c>
      <c r="S173" s="4"/>
      <c r="U173" s="147" t="s">
        <v>252</v>
      </c>
      <c r="V173" s="11"/>
      <c r="W173" s="4"/>
      <c r="X173" s="12"/>
      <c r="Y173" s="14"/>
      <c r="Z173" s="4"/>
      <c r="AA173" s="13"/>
      <c r="AB173" s="11"/>
      <c r="AC173" s="4"/>
      <c r="AD173" s="12"/>
      <c r="AE173" s="13"/>
      <c r="AF173" s="14">
        <v>5.0171999999999999</v>
      </c>
      <c r="AG173" s="133"/>
      <c r="AI173" s="84"/>
      <c r="AL173" s="64">
        <v>4.1720138166666656</v>
      </c>
      <c r="AM173" s="56">
        <v>13.91999999999989</v>
      </c>
      <c r="AN173" s="56">
        <v>15.84000000000003</v>
      </c>
      <c r="AO173" s="62">
        <v>21.94000000000003</v>
      </c>
      <c r="AQ173" s="64">
        <v>4.0821548999999999</v>
      </c>
      <c r="AR173" s="56">
        <v>13.46000000000007</v>
      </c>
      <c r="AS173" s="56">
        <v>14.84000000000005</v>
      </c>
      <c r="AT173" s="62">
        <v>18.820000000000011</v>
      </c>
      <c r="AV173" s="64">
        <v>3.72955645</v>
      </c>
      <c r="AW173" s="56">
        <v>12.999999999999989</v>
      </c>
      <c r="AX173" s="56">
        <v>14.379999999999971</v>
      </c>
      <c r="AY173" s="62">
        <v>19.019999999999989</v>
      </c>
      <c r="BA173" s="64">
        <v>3.1910907333333332</v>
      </c>
      <c r="BB173" s="56">
        <v>15.760000000000041</v>
      </c>
      <c r="BC173" s="56">
        <v>18.120000000000051</v>
      </c>
      <c r="BD173" s="62">
        <v>29.760000000000009</v>
      </c>
      <c r="BF173" s="64">
        <v>2.9432198999999999</v>
      </c>
      <c r="BG173" s="56">
        <v>18.820000000000011</v>
      </c>
      <c r="BH173" s="56">
        <v>25.180000000000021</v>
      </c>
      <c r="BI173" s="62">
        <v>52.240000000000023</v>
      </c>
      <c r="BJ173" s="69"/>
      <c r="BK173" s="51"/>
    </row>
    <row r="174" spans="1:63" x14ac:dyDescent="0.4">
      <c r="A174" s="11" t="s">
        <v>253</v>
      </c>
      <c r="B174" s="4"/>
      <c r="C174" s="4"/>
      <c r="D174" s="4"/>
      <c r="E174" s="12"/>
      <c r="G174" s="147" t="s">
        <v>253</v>
      </c>
      <c r="H174" s="159">
        <v>69.966999999999999</v>
      </c>
      <c r="I174" s="153">
        <v>70.38</v>
      </c>
      <c r="J174" s="153">
        <v>70.34</v>
      </c>
      <c r="K174" s="153">
        <v>70.319999999999993</v>
      </c>
      <c r="L174" s="153">
        <v>70.319999999999993</v>
      </c>
      <c r="M174" s="80">
        <v>70.36</v>
      </c>
      <c r="N174" s="80">
        <v>70.319999999999993</v>
      </c>
      <c r="O174" s="153">
        <v>21.17</v>
      </c>
      <c r="P174" s="153">
        <v>21.16</v>
      </c>
      <c r="Q174" s="153">
        <v>21.12</v>
      </c>
      <c r="R174" s="153">
        <v>21.11</v>
      </c>
      <c r="S174" s="4"/>
      <c r="U174" s="147" t="s">
        <v>253</v>
      </c>
      <c r="V174" s="11"/>
      <c r="W174" s="4"/>
      <c r="X174" s="12"/>
      <c r="Y174" s="14"/>
      <c r="Z174" s="4"/>
      <c r="AA174" s="13"/>
      <c r="AB174" s="11"/>
      <c r="AC174" s="4"/>
      <c r="AD174" s="12"/>
      <c r="AE174" s="13"/>
      <c r="AF174" s="14">
        <v>5.0260999999999996</v>
      </c>
      <c r="AG174" s="133"/>
      <c r="AI174" s="84"/>
      <c r="AL174" s="64">
        <v>4.1719430500000003</v>
      </c>
      <c r="AM174" s="56">
        <v>15.019999999999991</v>
      </c>
      <c r="AN174" s="56">
        <v>17.01999999999995</v>
      </c>
      <c r="AO174" s="62">
        <v>23.359999999999911</v>
      </c>
      <c r="AQ174" s="64">
        <v>4.0819177166666663</v>
      </c>
      <c r="AR174" s="56">
        <v>14.65999999999994</v>
      </c>
      <c r="AS174" s="56">
        <v>16.16</v>
      </c>
      <c r="AT174" s="62">
        <v>20.460000000000012</v>
      </c>
      <c r="AV174" s="64">
        <v>3.728550316666666</v>
      </c>
      <c r="AW174" s="56">
        <v>14.14</v>
      </c>
      <c r="AX174" s="56">
        <v>15.58000000000002</v>
      </c>
      <c r="AY174" s="62">
        <v>20.500000000000011</v>
      </c>
      <c r="BA174" s="64">
        <v>3.185743683333333</v>
      </c>
      <c r="BB174" s="56">
        <v>16.680000000000032</v>
      </c>
      <c r="BC174" s="56">
        <v>19.179999999999971</v>
      </c>
      <c r="BD174" s="62">
        <v>31.280000000000019</v>
      </c>
      <c r="BF174" s="64">
        <v>2.9490371333333329</v>
      </c>
      <c r="BG174" s="56">
        <v>19.880000000000031</v>
      </c>
      <c r="BH174" s="56">
        <v>26.619999999999951</v>
      </c>
      <c r="BI174" s="62">
        <v>54.100000000000037</v>
      </c>
      <c r="BJ174" s="69"/>
      <c r="BK174" s="51"/>
    </row>
    <row r="175" spans="1:63" x14ac:dyDescent="0.4">
      <c r="A175" s="11" t="s">
        <v>254</v>
      </c>
      <c r="B175" s="4"/>
      <c r="C175" s="4"/>
      <c r="D175" s="4"/>
      <c r="E175" s="12"/>
      <c r="G175" s="147" t="s">
        <v>254</v>
      </c>
      <c r="H175" s="159">
        <v>70.036000000000001</v>
      </c>
      <c r="I175" s="153">
        <v>70.34</v>
      </c>
      <c r="J175" s="153">
        <v>70.37</v>
      </c>
      <c r="K175" s="153">
        <v>70.36</v>
      </c>
      <c r="L175" s="153">
        <v>70.38</v>
      </c>
      <c r="M175" s="80">
        <v>70.38</v>
      </c>
      <c r="N175" s="80">
        <v>70.33</v>
      </c>
      <c r="O175" s="153">
        <v>21.2</v>
      </c>
      <c r="P175" s="153">
        <v>21.17</v>
      </c>
      <c r="Q175" s="153">
        <v>21.14</v>
      </c>
      <c r="R175" s="153">
        <v>21.09</v>
      </c>
      <c r="S175" s="4"/>
      <c r="U175" s="147" t="s">
        <v>254</v>
      </c>
      <c r="V175" s="11"/>
      <c r="W175" s="4"/>
      <c r="X175" s="12"/>
      <c r="Y175" s="14"/>
      <c r="Z175" s="4"/>
      <c r="AA175" s="13"/>
      <c r="AB175" s="11"/>
      <c r="AC175" s="4"/>
      <c r="AD175" s="12"/>
      <c r="AE175" s="13"/>
      <c r="AF175" s="14">
        <v>5.0317999999999996</v>
      </c>
      <c r="AG175" s="133"/>
      <c r="AI175" s="84"/>
      <c r="AL175" s="64">
        <v>4.1717108500000002</v>
      </c>
      <c r="AM175" s="56">
        <v>13.959999999999971</v>
      </c>
      <c r="AN175" s="56">
        <v>15.859999999999991</v>
      </c>
      <c r="AO175" s="62">
        <v>22.01999999999984</v>
      </c>
      <c r="AQ175" s="64">
        <v>4.0817401999999996</v>
      </c>
      <c r="AR175" s="56">
        <v>13.51999999999993</v>
      </c>
      <c r="AS175" s="56">
        <v>14.89999999999991</v>
      </c>
      <c r="AT175" s="62">
        <v>18.939999999999909</v>
      </c>
      <c r="AV175" s="64">
        <v>3.7277744833333331</v>
      </c>
      <c r="AW175" s="56">
        <v>13.079999999999981</v>
      </c>
      <c r="AX175" s="56">
        <v>14.45999999999996</v>
      </c>
      <c r="AY175" s="62">
        <v>19.159999999999929</v>
      </c>
      <c r="BA175" s="64">
        <v>3.1845943999999999</v>
      </c>
      <c r="BB175" s="56">
        <v>16.060000000000048</v>
      </c>
      <c r="BC175" s="56">
        <v>18.540000000000049</v>
      </c>
      <c r="BD175" s="62">
        <v>30.580000000000052</v>
      </c>
      <c r="BF175" s="64">
        <v>2.9463788333333341</v>
      </c>
      <c r="BG175" s="56">
        <v>18.98</v>
      </c>
      <c r="BH175" s="56">
        <v>25.399999999999959</v>
      </c>
      <c r="BI175" s="62">
        <v>52.360000000000007</v>
      </c>
      <c r="BJ175" s="70"/>
      <c r="BK175" s="51"/>
    </row>
    <row r="176" spans="1:63" x14ac:dyDescent="0.4">
      <c r="A176" s="11" t="s">
        <v>255</v>
      </c>
      <c r="B176" s="4"/>
      <c r="C176" s="4"/>
      <c r="D176" s="4"/>
      <c r="E176" s="12"/>
      <c r="G176" s="147" t="s">
        <v>255</v>
      </c>
      <c r="H176" s="159">
        <v>69.971999999999994</v>
      </c>
      <c r="I176" s="153">
        <v>70.31</v>
      </c>
      <c r="J176" s="153">
        <v>70.34</v>
      </c>
      <c r="K176" s="153">
        <v>70.349999999999994</v>
      </c>
      <c r="L176" s="153">
        <v>70.349999999999994</v>
      </c>
      <c r="M176" s="80">
        <v>70.39</v>
      </c>
      <c r="N176" s="80">
        <v>70.34</v>
      </c>
      <c r="O176" s="153">
        <v>21.19</v>
      </c>
      <c r="P176" s="153">
        <v>21.17</v>
      </c>
      <c r="Q176" s="153">
        <v>21.14</v>
      </c>
      <c r="R176" s="153">
        <v>21.12</v>
      </c>
      <c r="S176" s="4"/>
      <c r="U176" s="147" t="s">
        <v>255</v>
      </c>
      <c r="V176" s="11"/>
      <c r="W176" s="4"/>
      <c r="X176" s="12"/>
      <c r="Y176" s="14"/>
      <c r="Z176" s="4"/>
      <c r="AA176" s="13"/>
      <c r="AB176" s="11"/>
      <c r="AC176" s="4"/>
      <c r="AD176" s="12"/>
      <c r="AE176" s="13"/>
      <c r="AF176" s="14">
        <v>5.0266000000000002</v>
      </c>
      <c r="AG176" s="133"/>
      <c r="AI176" s="84"/>
      <c r="AL176" s="64">
        <v>4.1719731666666666</v>
      </c>
      <c r="AM176" s="56">
        <v>13.759999999999909</v>
      </c>
      <c r="AN176" s="56">
        <v>15.65999999999992</v>
      </c>
      <c r="AO176" s="62">
        <v>21.8399999999999</v>
      </c>
      <c r="AQ176" s="64">
        <v>4.0832181500000004</v>
      </c>
      <c r="AR176" s="56">
        <v>13.61999999999988</v>
      </c>
      <c r="AS176" s="56">
        <v>15.019999999999991</v>
      </c>
      <c r="AT176" s="62">
        <v>19.079999999999941</v>
      </c>
      <c r="AV176" s="64">
        <v>3.729261549999999</v>
      </c>
      <c r="AW176" s="56">
        <v>13.199999999999971</v>
      </c>
      <c r="AX176" s="56">
        <v>14.57999999999995</v>
      </c>
      <c r="AY176" s="62">
        <v>19.299999999999962</v>
      </c>
      <c r="BA176" s="64">
        <v>3.1899802333333329</v>
      </c>
      <c r="BB176" s="56">
        <v>16.36000000000006</v>
      </c>
      <c r="BC176" s="56">
        <v>18.84000000000006</v>
      </c>
      <c r="BD176" s="62">
        <v>30.799999999999979</v>
      </c>
      <c r="BF176" s="64">
        <v>2.955503366666667</v>
      </c>
      <c r="BG176" s="56">
        <v>19.34000000000005</v>
      </c>
      <c r="BH176" s="56">
        <v>25.8</v>
      </c>
      <c r="BI176" s="62">
        <v>52.44</v>
      </c>
      <c r="BJ176" s="70"/>
      <c r="BK176" s="51"/>
    </row>
    <row r="177" spans="1:63" x14ac:dyDescent="0.4">
      <c r="A177" s="11" t="s">
        <v>256</v>
      </c>
      <c r="B177" s="4"/>
      <c r="C177" s="4"/>
      <c r="D177" s="4"/>
      <c r="E177" s="12"/>
      <c r="G177" s="147" t="s">
        <v>256</v>
      </c>
      <c r="H177" s="159">
        <v>70.102000000000004</v>
      </c>
      <c r="I177" s="153">
        <v>70.36</v>
      </c>
      <c r="J177" s="153">
        <v>70.38</v>
      </c>
      <c r="K177" s="153">
        <v>70.34</v>
      </c>
      <c r="L177" s="153">
        <v>70.34</v>
      </c>
      <c r="M177" s="80">
        <v>70.38</v>
      </c>
      <c r="N177" s="80">
        <v>70.34</v>
      </c>
      <c r="O177" s="153">
        <v>21.16</v>
      </c>
      <c r="P177" s="153">
        <v>21.14</v>
      </c>
      <c r="Q177" s="153">
        <v>21.13</v>
      </c>
      <c r="R177" s="153">
        <v>21.12</v>
      </c>
      <c r="S177" s="4"/>
      <c r="U177" s="147" t="s">
        <v>256</v>
      </c>
      <c r="V177" s="11"/>
      <c r="W177" s="4"/>
      <c r="X177" s="12"/>
      <c r="Y177" s="14"/>
      <c r="Z177" s="4"/>
      <c r="AA177" s="13"/>
      <c r="AB177" s="11"/>
      <c r="AC177" s="4"/>
      <c r="AD177" s="12"/>
      <c r="AE177" s="13"/>
      <c r="AF177" s="14">
        <v>5.0380000000000003</v>
      </c>
      <c r="AG177" s="133"/>
      <c r="AI177" s="84"/>
      <c r="AL177" s="64">
        <v>4.1713383666666672</v>
      </c>
      <c r="AM177" s="56">
        <v>13.979999999999929</v>
      </c>
      <c r="AN177" s="56">
        <v>15.87999999999994</v>
      </c>
      <c r="AO177" s="62">
        <v>22.059999999999921</v>
      </c>
      <c r="AQ177" s="64">
        <v>4.0820678333333333</v>
      </c>
      <c r="AR177" s="56">
        <v>13.66000000000014</v>
      </c>
      <c r="AS177" s="56">
        <v>15.04000000000012</v>
      </c>
      <c r="AT177" s="62">
        <v>19.140000000000072</v>
      </c>
      <c r="AV177" s="64">
        <v>3.7277426500000002</v>
      </c>
      <c r="AW177" s="56">
        <v>13.239999999999959</v>
      </c>
      <c r="AX177" s="56">
        <v>14.65999999999994</v>
      </c>
      <c r="AY177" s="62">
        <v>19.379999999999949</v>
      </c>
      <c r="BA177" s="64">
        <v>3.187167033333334</v>
      </c>
      <c r="BB177" s="56">
        <v>16.98000000000004</v>
      </c>
      <c r="BC177" s="56">
        <v>19.500000000000028</v>
      </c>
      <c r="BD177" s="62">
        <v>31.740000000000009</v>
      </c>
      <c r="BF177" s="64">
        <v>2.9579514000000011</v>
      </c>
      <c r="BG177" s="56">
        <v>20.000000000000021</v>
      </c>
      <c r="BH177" s="56">
        <v>26.480000000000011</v>
      </c>
      <c r="BI177" s="62">
        <v>53.080000000000013</v>
      </c>
      <c r="BJ177" s="70"/>
      <c r="BK177" s="51"/>
    </row>
    <row r="178" spans="1:63" x14ac:dyDescent="0.4">
      <c r="A178" s="11" t="s">
        <v>257</v>
      </c>
      <c r="B178" s="4"/>
      <c r="C178" s="4"/>
      <c r="D178" s="4"/>
      <c r="E178" s="12"/>
      <c r="G178" s="147" t="s">
        <v>257</v>
      </c>
      <c r="H178" s="159">
        <v>70.097999999999999</v>
      </c>
      <c r="I178" s="153">
        <v>70.33</v>
      </c>
      <c r="J178" s="153">
        <v>70.349999999999994</v>
      </c>
      <c r="K178" s="153">
        <v>70.38</v>
      </c>
      <c r="L178" s="153">
        <v>70.349999999999994</v>
      </c>
      <c r="M178" s="80">
        <v>70.430000000000007</v>
      </c>
      <c r="N178" s="80">
        <v>70.349999999999994</v>
      </c>
      <c r="O178" s="153">
        <v>21.2</v>
      </c>
      <c r="P178" s="153">
        <v>21.17</v>
      </c>
      <c r="Q178" s="153">
        <v>21.16</v>
      </c>
      <c r="R178" s="153">
        <v>21.15</v>
      </c>
      <c r="S178" s="4"/>
      <c r="U178" s="147" t="s">
        <v>257</v>
      </c>
      <c r="V178" s="11"/>
      <c r="W178" s="4"/>
      <c r="X178" s="12"/>
      <c r="Y178" s="14"/>
      <c r="Z178" s="4"/>
      <c r="AA178" s="13"/>
      <c r="AB178" s="11"/>
      <c r="AC178" s="4"/>
      <c r="AD178" s="12"/>
      <c r="AE178" s="13"/>
      <c r="AF178" s="14">
        <v>5.0343999999999998</v>
      </c>
      <c r="AG178" s="133"/>
      <c r="AI178" s="84"/>
      <c r="AL178" s="64">
        <v>4.1712164833333336</v>
      </c>
      <c r="AM178" s="56">
        <v>14.519999999999911</v>
      </c>
      <c r="AN178" s="56">
        <v>16.41999999999992</v>
      </c>
      <c r="AO178" s="62">
        <v>22.62000000000004</v>
      </c>
      <c r="AQ178" s="64">
        <v>4.0796885666666673</v>
      </c>
      <c r="AR178" s="56">
        <v>13.700000000000051</v>
      </c>
      <c r="AS178" s="56">
        <v>15.09999999999998</v>
      </c>
      <c r="AT178" s="62">
        <v>19.159999999999929</v>
      </c>
      <c r="AV178" s="64">
        <v>3.727555049999999</v>
      </c>
      <c r="AW178" s="56">
        <v>13.219999999999921</v>
      </c>
      <c r="AX178" s="56">
        <v>14.599999999999991</v>
      </c>
      <c r="AY178" s="62">
        <v>19.25999999999997</v>
      </c>
      <c r="BA178" s="64">
        <v>3.190138833333334</v>
      </c>
      <c r="BB178" s="56">
        <v>16.17999999999995</v>
      </c>
      <c r="BC178" s="56">
        <v>18.599999999999991</v>
      </c>
      <c r="BD178" s="62">
        <v>30.319999999999951</v>
      </c>
      <c r="BF178" s="64">
        <v>2.9553406166666658</v>
      </c>
      <c r="BG178" s="56">
        <v>19.34000000000005</v>
      </c>
      <c r="BH178" s="56">
        <v>25.980000000000029</v>
      </c>
      <c r="BI178" s="62">
        <v>53.100000000000058</v>
      </c>
      <c r="BJ178" s="70"/>
      <c r="BK178" s="51"/>
    </row>
    <row r="179" spans="1:63" x14ac:dyDescent="0.4">
      <c r="A179" s="11" t="s">
        <v>258</v>
      </c>
      <c r="B179" s="4"/>
      <c r="C179" s="4"/>
      <c r="D179" s="4"/>
      <c r="E179" s="12"/>
      <c r="G179" s="147" t="s">
        <v>258</v>
      </c>
      <c r="H179" s="159">
        <v>70.094999999999999</v>
      </c>
      <c r="I179" s="153">
        <v>70.349999999999994</v>
      </c>
      <c r="J179" s="153">
        <v>70.37</v>
      </c>
      <c r="K179" s="153">
        <v>70.36</v>
      </c>
      <c r="L179" s="153">
        <v>70.34</v>
      </c>
      <c r="M179" s="80">
        <v>70.37</v>
      </c>
      <c r="N179" s="80">
        <v>70.34</v>
      </c>
      <c r="O179" s="153">
        <v>21.16</v>
      </c>
      <c r="P179" s="153">
        <v>21.14</v>
      </c>
      <c r="Q179" s="153">
        <v>21.14</v>
      </c>
      <c r="R179" s="153">
        <v>21.12</v>
      </c>
      <c r="S179" s="4"/>
      <c r="U179" s="147" t="s">
        <v>258</v>
      </c>
      <c r="V179" s="11"/>
      <c r="W179" s="4"/>
      <c r="X179" s="12"/>
      <c r="Y179" s="14"/>
      <c r="Z179" s="4"/>
      <c r="AA179" s="13"/>
      <c r="AB179" s="11"/>
      <c r="AC179" s="4"/>
      <c r="AD179" s="12"/>
      <c r="AE179" s="13"/>
      <c r="AF179" s="14">
        <v>5.0327999999999999</v>
      </c>
      <c r="AG179" s="133"/>
      <c r="AI179" s="84"/>
      <c r="AL179" s="64">
        <v>4.171153966666667</v>
      </c>
      <c r="AM179" s="56">
        <v>14.279999999999941</v>
      </c>
      <c r="AN179" s="56">
        <v>16.17999999999995</v>
      </c>
      <c r="AO179" s="62">
        <v>22.339999999999979</v>
      </c>
      <c r="AQ179" s="64">
        <v>4.0813991500000011</v>
      </c>
      <c r="AR179" s="56">
        <v>13.72</v>
      </c>
      <c r="AS179" s="56">
        <v>15.120000000000109</v>
      </c>
      <c r="AT179" s="62">
        <v>19.16000000000011</v>
      </c>
      <c r="AV179" s="64">
        <v>3.7288703833333341</v>
      </c>
      <c r="AW179" s="56">
        <v>13.24000000000005</v>
      </c>
      <c r="AX179" s="56">
        <v>14.620000000000029</v>
      </c>
      <c r="AY179" s="62">
        <v>19.280000000000008</v>
      </c>
      <c r="BA179" s="64">
        <v>3.190251616666667</v>
      </c>
      <c r="BB179" s="56">
        <v>16.060000000000048</v>
      </c>
      <c r="BC179" s="56">
        <v>18.460000000000051</v>
      </c>
      <c r="BD179" s="62">
        <v>30.240000000000041</v>
      </c>
      <c r="BF179" s="64">
        <v>2.9563579833333331</v>
      </c>
      <c r="BG179" s="56">
        <v>19.220000000000059</v>
      </c>
      <c r="BH179" s="56">
        <v>25.820000000000039</v>
      </c>
      <c r="BI179" s="62">
        <v>53.019999999999968</v>
      </c>
      <c r="BJ179" s="70"/>
      <c r="BK179" s="51"/>
    </row>
    <row r="180" spans="1:63" x14ac:dyDescent="0.4">
      <c r="A180" s="11" t="s">
        <v>259</v>
      </c>
      <c r="B180" s="4"/>
      <c r="C180" s="4"/>
      <c r="D180" s="4"/>
      <c r="E180" s="12"/>
      <c r="G180" s="147" t="s">
        <v>259</v>
      </c>
      <c r="H180" s="159">
        <v>70.052000000000007</v>
      </c>
      <c r="I180" s="153">
        <v>70.239999999999995</v>
      </c>
      <c r="J180" s="153">
        <v>70.290000000000006</v>
      </c>
      <c r="K180" s="153">
        <v>70.27</v>
      </c>
      <c r="L180" s="153">
        <v>70.239999999999995</v>
      </c>
      <c r="M180" s="80">
        <f t="shared" si="4"/>
        <v>70.290000000000006</v>
      </c>
      <c r="N180" s="80">
        <f t="shared" si="5"/>
        <v>70.239999999999995</v>
      </c>
      <c r="O180" s="153">
        <v>21.2</v>
      </c>
      <c r="P180" s="153">
        <v>21.17</v>
      </c>
      <c r="Q180" s="153">
        <v>21.16</v>
      </c>
      <c r="R180" s="153">
        <v>21.15</v>
      </c>
      <c r="S180" s="4"/>
      <c r="U180" s="147" t="s">
        <v>259</v>
      </c>
      <c r="V180" s="11"/>
      <c r="W180" s="4"/>
      <c r="X180" s="12"/>
      <c r="Y180" s="14"/>
      <c r="Z180" s="4"/>
      <c r="AA180" s="13"/>
      <c r="AB180" s="11"/>
      <c r="AC180" s="4"/>
      <c r="AD180" s="12"/>
      <c r="AE180" s="13"/>
      <c r="AF180" s="14">
        <v>5.0385</v>
      </c>
      <c r="AG180" s="133"/>
      <c r="AI180" s="84"/>
      <c r="AL180" s="64">
        <v>4.1710806666666667</v>
      </c>
      <c r="AM180" s="56">
        <v>14.76000000000006</v>
      </c>
      <c r="AN180" s="56">
        <v>16.699999999999982</v>
      </c>
      <c r="AO180" s="62">
        <v>22.900000000000102</v>
      </c>
      <c r="AQ180" s="64">
        <v>4.0789114833333322</v>
      </c>
      <c r="AR180" s="56">
        <v>13.79999999999999</v>
      </c>
      <c r="AS180" s="56">
        <v>15.17999999999997</v>
      </c>
      <c r="AT180" s="62">
        <v>19.240000000000009</v>
      </c>
      <c r="AV180" s="64">
        <v>3.7260172499999999</v>
      </c>
      <c r="AW180" s="56">
        <v>13.3</v>
      </c>
      <c r="AX180" s="56">
        <v>14.680000000000071</v>
      </c>
      <c r="AY180" s="62">
        <v>19.34000000000005</v>
      </c>
      <c r="BA180" s="64">
        <v>3.1859575000000002</v>
      </c>
      <c r="BB180" s="56">
        <v>16.16</v>
      </c>
      <c r="BC180" s="56">
        <v>18.619999999999951</v>
      </c>
      <c r="BD180" s="62">
        <v>30.539999999999971</v>
      </c>
      <c r="BF180" s="64">
        <v>2.956723283333333</v>
      </c>
      <c r="BG180" s="56">
        <v>19.30000000000005</v>
      </c>
      <c r="BH180" s="56">
        <v>25.919999999999991</v>
      </c>
      <c r="BI180" s="62">
        <v>53.04000000000002</v>
      </c>
      <c r="BJ180" s="70"/>
      <c r="BK180" s="51"/>
    </row>
    <row r="181" spans="1:63" x14ac:dyDescent="0.4">
      <c r="A181" s="11" t="s">
        <v>260</v>
      </c>
      <c r="B181" s="4"/>
      <c r="C181" s="4"/>
      <c r="D181" s="4"/>
      <c r="E181" s="12"/>
      <c r="G181" s="147" t="s">
        <v>260</v>
      </c>
      <c r="H181" s="159">
        <v>69.960999999999999</v>
      </c>
      <c r="I181" s="153">
        <v>70.28</v>
      </c>
      <c r="J181" s="153">
        <v>70.34</v>
      </c>
      <c r="K181" s="153">
        <v>70.349999999999994</v>
      </c>
      <c r="L181" s="153">
        <v>70.36</v>
      </c>
      <c r="M181" s="80">
        <f t="shared" si="4"/>
        <v>70.36</v>
      </c>
      <c r="N181" s="80">
        <f t="shared" si="5"/>
        <v>70.28</v>
      </c>
      <c r="O181" s="153">
        <v>21.16</v>
      </c>
      <c r="P181" s="153">
        <v>21.14</v>
      </c>
      <c r="Q181" s="153">
        <v>21.14</v>
      </c>
      <c r="R181" s="153">
        <v>21.12</v>
      </c>
      <c r="S181" s="4"/>
      <c r="U181" s="147" t="s">
        <v>260</v>
      </c>
      <c r="V181" s="11"/>
      <c r="W181" s="4"/>
      <c r="X181" s="12"/>
      <c r="Y181" s="14"/>
      <c r="Z181" s="4"/>
      <c r="AA181" s="13"/>
      <c r="AB181" s="11"/>
      <c r="AC181" s="4"/>
      <c r="AD181" s="12"/>
      <c r="AE181" s="13"/>
      <c r="AF181" s="14">
        <v>5.0011999999999999</v>
      </c>
      <c r="AG181" s="133"/>
      <c r="AI181" s="84"/>
      <c r="AL181" s="64">
        <v>4.1710378166666668</v>
      </c>
      <c r="AM181" s="56">
        <v>14.50000000000014</v>
      </c>
      <c r="AN181" s="56">
        <v>16.480000000000139</v>
      </c>
      <c r="AO181" s="62">
        <v>22.660000000000121</v>
      </c>
      <c r="AQ181" s="64">
        <v>4.0806187833333327</v>
      </c>
      <c r="AR181" s="56">
        <v>13.920000000000069</v>
      </c>
      <c r="AS181" s="56">
        <v>15.32</v>
      </c>
      <c r="AT181" s="62">
        <v>19.420000000000041</v>
      </c>
      <c r="AV181" s="64">
        <v>3.7283655333333341</v>
      </c>
      <c r="AW181" s="56">
        <v>13.480000000000031</v>
      </c>
      <c r="AX181" s="56">
        <v>14.86000000000001</v>
      </c>
      <c r="AY181" s="62">
        <v>19.56000000000007</v>
      </c>
      <c r="BA181" s="64">
        <v>3.1900577500000011</v>
      </c>
      <c r="BB181" s="56">
        <v>16.760000000000019</v>
      </c>
      <c r="BC181" s="56">
        <v>19.200000000000021</v>
      </c>
      <c r="BD181" s="62">
        <v>31.12000000000004</v>
      </c>
      <c r="BF181" s="64">
        <v>2.95634</v>
      </c>
      <c r="BG181" s="56">
        <v>19.979999999999979</v>
      </c>
      <c r="BH181" s="56">
        <v>26.679999999999989</v>
      </c>
      <c r="BI181" s="62">
        <v>54.020000000000053</v>
      </c>
      <c r="BJ181" s="70"/>
      <c r="BK181" s="51"/>
    </row>
    <row r="182" spans="1:63" x14ac:dyDescent="0.4">
      <c r="A182" s="11" t="s">
        <v>261</v>
      </c>
      <c r="B182" s="4"/>
      <c r="C182" s="4"/>
      <c r="D182" s="4"/>
      <c r="E182" s="12"/>
      <c r="G182" s="147" t="s">
        <v>261</v>
      </c>
      <c r="H182" s="159">
        <v>70.012</v>
      </c>
      <c r="I182" s="153">
        <v>70.349999999999994</v>
      </c>
      <c r="J182" s="153">
        <v>70.36</v>
      </c>
      <c r="K182" s="153">
        <v>70.34</v>
      </c>
      <c r="L182" s="153">
        <v>70.349999999999994</v>
      </c>
      <c r="M182" s="80">
        <f t="shared" si="4"/>
        <v>70.36</v>
      </c>
      <c r="N182" s="80">
        <f t="shared" si="5"/>
        <v>70.34</v>
      </c>
      <c r="O182" s="153">
        <v>21.22</v>
      </c>
      <c r="P182" s="153">
        <v>21.18</v>
      </c>
      <c r="Q182" s="153">
        <v>21.14</v>
      </c>
      <c r="R182" s="153">
        <v>21.13</v>
      </c>
      <c r="S182" s="4"/>
      <c r="U182" s="147" t="s">
        <v>261</v>
      </c>
      <c r="V182" s="11"/>
      <c r="W182" s="4"/>
      <c r="X182" s="12"/>
      <c r="Y182" s="14"/>
      <c r="Z182" s="4"/>
      <c r="AA182" s="13"/>
      <c r="AB182" s="11"/>
      <c r="AC182" s="4"/>
      <c r="AD182" s="12"/>
      <c r="AE182" s="13"/>
      <c r="AF182" s="14">
        <v>5.0129000000000001</v>
      </c>
      <c r="AG182" s="133"/>
      <c r="AI182" s="84"/>
      <c r="AL182" s="64">
        <v>4.1715430000000007</v>
      </c>
      <c r="AM182" s="56">
        <v>15.360000000000079</v>
      </c>
      <c r="AN182" s="56">
        <v>17.399999999999949</v>
      </c>
      <c r="AO182" s="62">
        <v>23.740000000000091</v>
      </c>
      <c r="AQ182" s="64">
        <v>4.081891549999999</v>
      </c>
      <c r="AR182" s="56">
        <v>15.08000000000003</v>
      </c>
      <c r="AS182" s="56">
        <v>16.599999999999952</v>
      </c>
      <c r="AT182" s="62">
        <v>20.920000000000009</v>
      </c>
      <c r="AV182" s="64">
        <v>3.7284714499999998</v>
      </c>
      <c r="AW182" s="56">
        <v>14.52</v>
      </c>
      <c r="AX182" s="56">
        <v>16.04000000000001</v>
      </c>
      <c r="AY182" s="62">
        <v>21.020000000000039</v>
      </c>
      <c r="BA182" s="64">
        <v>3.1804940666666659</v>
      </c>
      <c r="BB182" s="56">
        <v>17.3</v>
      </c>
      <c r="BC182" s="56">
        <v>19.899999999999981</v>
      </c>
      <c r="BD182" s="62">
        <v>32.319999999999993</v>
      </c>
      <c r="BF182" s="64">
        <v>2.932592633333333</v>
      </c>
      <c r="BG182" s="56">
        <v>20.27999999999999</v>
      </c>
      <c r="BH182" s="56">
        <v>26.579999999999959</v>
      </c>
      <c r="BI182" s="62">
        <v>54.559999999999953</v>
      </c>
      <c r="BJ182" s="70"/>
      <c r="BK182" s="51"/>
    </row>
    <row r="183" spans="1:63" x14ac:dyDescent="0.4">
      <c r="A183" s="11" t="s">
        <v>262</v>
      </c>
      <c r="B183" s="4"/>
      <c r="C183" s="4"/>
      <c r="D183" s="4"/>
      <c r="E183" s="12"/>
      <c r="G183" s="147" t="s">
        <v>262</v>
      </c>
      <c r="H183" s="159">
        <v>69.965000000000003</v>
      </c>
      <c r="I183" s="153">
        <v>70.3</v>
      </c>
      <c r="J183" s="153">
        <v>70.36</v>
      </c>
      <c r="K183" s="153">
        <v>70.319999999999993</v>
      </c>
      <c r="L183" s="153">
        <v>70.34</v>
      </c>
      <c r="M183" s="80">
        <f t="shared" si="4"/>
        <v>70.36</v>
      </c>
      <c r="N183" s="80">
        <f t="shared" si="5"/>
        <v>70.3</v>
      </c>
      <c r="O183" s="153">
        <v>21.17</v>
      </c>
      <c r="P183" s="153">
        <v>21.15</v>
      </c>
      <c r="Q183" s="153">
        <v>21.13</v>
      </c>
      <c r="R183" s="153">
        <v>21.09</v>
      </c>
      <c r="S183" s="4"/>
      <c r="U183" s="147" t="s">
        <v>262</v>
      </c>
      <c r="V183" s="11"/>
      <c r="W183" s="4"/>
      <c r="X183" s="12"/>
      <c r="Y183" s="14"/>
      <c r="Z183" s="4"/>
      <c r="AA183" s="13"/>
      <c r="AB183" s="11"/>
      <c r="AC183" s="4"/>
      <c r="AD183" s="12"/>
      <c r="AE183" s="13"/>
      <c r="AF183" s="14">
        <v>5.0209000000000001</v>
      </c>
      <c r="AG183" s="133"/>
      <c r="AI183" s="84"/>
      <c r="AL183" s="64">
        <v>4.1705374499999994</v>
      </c>
      <c r="AM183" s="56">
        <v>14.48</v>
      </c>
      <c r="AN183" s="56">
        <v>16.339999999999929</v>
      </c>
      <c r="AO183" s="62">
        <v>22.45999999999988</v>
      </c>
      <c r="AQ183" s="64">
        <v>4.0797322166666676</v>
      </c>
      <c r="AR183" s="56">
        <v>13.61999999999988</v>
      </c>
      <c r="AS183" s="56">
        <v>15.019999999999991</v>
      </c>
      <c r="AT183" s="62">
        <v>19.13999999999989</v>
      </c>
      <c r="AV183" s="64">
        <v>3.7264498499999998</v>
      </c>
      <c r="AW183" s="56">
        <v>13.14000000000002</v>
      </c>
      <c r="AX183" s="56">
        <v>14.54000000000004</v>
      </c>
      <c r="AY183" s="62">
        <v>19.280000000000008</v>
      </c>
      <c r="BA183" s="64">
        <v>3.180865083333333</v>
      </c>
      <c r="BB183" s="56">
        <v>16.04000000000001</v>
      </c>
      <c r="BC183" s="56">
        <v>18.559999999999999</v>
      </c>
      <c r="BD183" s="62">
        <v>30.68</v>
      </c>
      <c r="BF183" s="64">
        <v>2.93834295</v>
      </c>
      <c r="BG183" s="56">
        <v>18.99999999999995</v>
      </c>
      <c r="BH183" s="56">
        <v>25.179999999999939</v>
      </c>
      <c r="BI183" s="62">
        <v>52.320000000000007</v>
      </c>
      <c r="BJ183" s="69"/>
      <c r="BK183" s="51"/>
    </row>
    <row r="184" spans="1:63" x14ac:dyDescent="0.4">
      <c r="A184" s="11" t="s">
        <v>263</v>
      </c>
      <c r="B184" s="4"/>
      <c r="C184" s="4"/>
      <c r="D184" s="4"/>
      <c r="E184" s="12"/>
      <c r="G184" s="147" t="s">
        <v>263</v>
      </c>
      <c r="H184" s="159">
        <v>69.938000000000002</v>
      </c>
      <c r="I184" s="153">
        <v>70.31</v>
      </c>
      <c r="J184" s="153">
        <v>70.3</v>
      </c>
      <c r="K184" s="153">
        <v>70.34</v>
      </c>
      <c r="L184" s="153">
        <v>70.33</v>
      </c>
      <c r="M184" s="80">
        <f t="shared" si="4"/>
        <v>70.34</v>
      </c>
      <c r="N184" s="80">
        <f t="shared" si="5"/>
        <v>70.3</v>
      </c>
      <c r="O184" s="153">
        <v>21.18</v>
      </c>
      <c r="P184" s="153">
        <v>21.16</v>
      </c>
      <c r="Q184" s="153">
        <v>21.13</v>
      </c>
      <c r="R184" s="153">
        <v>21.09</v>
      </c>
      <c r="S184" s="4"/>
      <c r="U184" s="147" t="s">
        <v>263</v>
      </c>
      <c r="V184" s="11"/>
      <c r="W184" s="4"/>
      <c r="X184" s="12"/>
      <c r="Y184" s="14"/>
      <c r="Z184" s="4"/>
      <c r="AA184" s="13"/>
      <c r="AB184" s="11"/>
      <c r="AC184" s="4"/>
      <c r="AD184" s="12"/>
      <c r="AE184" s="13"/>
      <c r="AF184" s="14">
        <v>5.0214999999999996</v>
      </c>
      <c r="AG184" s="133"/>
      <c r="AI184" s="84"/>
      <c r="AL184" s="64">
        <v>4.1708141999999997</v>
      </c>
      <c r="AM184" s="56">
        <v>14.03999999999996</v>
      </c>
      <c r="AN184" s="56">
        <v>15.89999999999989</v>
      </c>
      <c r="AO184" s="62">
        <v>22.020000000000021</v>
      </c>
      <c r="AQ184" s="64">
        <v>4.0824502666666653</v>
      </c>
      <c r="AR184" s="56">
        <v>13.59999999999992</v>
      </c>
      <c r="AS184" s="56">
        <v>14.99999999999986</v>
      </c>
      <c r="AT184" s="62">
        <v>19.099999999999891</v>
      </c>
      <c r="AV184" s="64">
        <v>3.7278299166666669</v>
      </c>
      <c r="AW184" s="56">
        <v>13.14000000000002</v>
      </c>
      <c r="AX184" s="56">
        <v>14.54000000000004</v>
      </c>
      <c r="AY184" s="62">
        <v>19.25999999999997</v>
      </c>
      <c r="BA184" s="64">
        <v>3.1859288833333328</v>
      </c>
      <c r="BB184" s="56">
        <v>16.800000000000011</v>
      </c>
      <c r="BC184" s="56">
        <v>19.339999999999961</v>
      </c>
      <c r="BD184" s="62">
        <v>31.59999999999998</v>
      </c>
      <c r="BF184" s="64">
        <v>2.9585356666666671</v>
      </c>
      <c r="BG184" s="56">
        <v>19.680000000000049</v>
      </c>
      <c r="BH184" s="56">
        <v>26.29999999999999</v>
      </c>
      <c r="BI184" s="62">
        <v>53.100000000000058</v>
      </c>
      <c r="BJ184" s="70"/>
      <c r="BK184" s="51"/>
    </row>
    <row r="185" spans="1:63" x14ac:dyDescent="0.4">
      <c r="A185" s="11" t="s">
        <v>264</v>
      </c>
      <c r="B185" s="4"/>
      <c r="C185" s="4"/>
      <c r="D185" s="4"/>
      <c r="E185" s="12"/>
      <c r="G185" s="147" t="s">
        <v>264</v>
      </c>
      <c r="H185" s="159">
        <v>70.061999999999998</v>
      </c>
      <c r="I185" s="153">
        <v>70.36</v>
      </c>
      <c r="J185" s="153">
        <v>70.34</v>
      </c>
      <c r="K185" s="153">
        <v>70.33</v>
      </c>
      <c r="L185" s="153">
        <v>70.34</v>
      </c>
      <c r="M185" s="80">
        <f t="shared" si="4"/>
        <v>70.36</v>
      </c>
      <c r="N185" s="80">
        <f t="shared" si="5"/>
        <v>70.33</v>
      </c>
      <c r="O185" s="153">
        <v>21.19</v>
      </c>
      <c r="P185" s="153">
        <v>21.17</v>
      </c>
      <c r="Q185" s="153">
        <v>21.12</v>
      </c>
      <c r="R185" s="153">
        <v>21.11</v>
      </c>
      <c r="S185" s="4"/>
      <c r="U185" s="147" t="s">
        <v>264</v>
      </c>
      <c r="V185" s="11"/>
      <c r="W185" s="4"/>
      <c r="X185" s="12"/>
      <c r="Y185" s="14"/>
      <c r="Z185" s="4"/>
      <c r="AA185" s="13"/>
      <c r="AB185" s="11"/>
      <c r="AC185" s="4"/>
      <c r="AD185" s="12"/>
      <c r="AE185" s="13"/>
      <c r="AF185" s="14">
        <v>5.0124000000000004</v>
      </c>
      <c r="AG185" s="133"/>
      <c r="AI185" s="84"/>
      <c r="AL185" s="64">
        <v>4.171176533333333</v>
      </c>
      <c r="AM185" s="56">
        <v>13.8399999999999</v>
      </c>
      <c r="AN185" s="56">
        <v>15.78</v>
      </c>
      <c r="AO185" s="62">
        <v>21.95999999999998</v>
      </c>
      <c r="AQ185" s="64">
        <v>4.0829697500000002</v>
      </c>
      <c r="AR185" s="56">
        <v>13.640000000000009</v>
      </c>
      <c r="AS185" s="56">
        <v>15.06000000000007</v>
      </c>
      <c r="AT185" s="62">
        <v>19.160000000000021</v>
      </c>
      <c r="AV185" s="64">
        <v>3.729490666666667</v>
      </c>
      <c r="AW185" s="56">
        <v>13.199999999999971</v>
      </c>
      <c r="AX185" s="56">
        <v>14.620000000000029</v>
      </c>
      <c r="AY185" s="62">
        <v>19.34000000000005</v>
      </c>
      <c r="BA185" s="64">
        <v>3.1867478500000002</v>
      </c>
      <c r="BB185" s="56">
        <v>16.199999999999989</v>
      </c>
      <c r="BC185" s="56">
        <v>18.699999999999939</v>
      </c>
      <c r="BD185" s="62">
        <v>30.779999999999941</v>
      </c>
      <c r="BF185" s="64">
        <v>2.950234216666666</v>
      </c>
      <c r="BG185" s="56">
        <v>19.08000000000003</v>
      </c>
      <c r="BH185" s="56">
        <v>25.45999999999999</v>
      </c>
      <c r="BI185" s="62">
        <v>52.300000000000047</v>
      </c>
      <c r="BJ185" s="69"/>
      <c r="BK185" s="51"/>
    </row>
    <row r="186" spans="1:63" ht="18" thickBot="1" x14ac:dyDescent="0.45">
      <c r="A186" s="11" t="s">
        <v>265</v>
      </c>
      <c r="B186" s="4"/>
      <c r="C186" s="4"/>
      <c r="D186" s="4"/>
      <c r="E186" s="12"/>
      <c r="G186" s="147" t="s">
        <v>265</v>
      </c>
      <c r="H186" s="159">
        <v>70.111000000000004</v>
      </c>
      <c r="I186" s="153">
        <v>70.37</v>
      </c>
      <c r="J186" s="153">
        <v>70.349999999999994</v>
      </c>
      <c r="K186" s="153">
        <v>70.31</v>
      </c>
      <c r="L186" s="153">
        <v>70.33</v>
      </c>
      <c r="M186" s="80">
        <f t="shared" si="4"/>
        <v>70.37</v>
      </c>
      <c r="N186" s="80">
        <f t="shared" si="5"/>
        <v>70.31</v>
      </c>
      <c r="O186" s="153">
        <v>21.17</v>
      </c>
      <c r="P186" s="153">
        <v>21.16</v>
      </c>
      <c r="Q186" s="153">
        <v>21.13</v>
      </c>
      <c r="R186" s="153">
        <v>21.12</v>
      </c>
      <c r="S186" s="4"/>
      <c r="U186" s="147" t="s">
        <v>265</v>
      </c>
      <c r="V186" s="11"/>
      <c r="W186" s="4"/>
      <c r="X186" s="12"/>
      <c r="Y186" s="14"/>
      <c r="Z186" s="4"/>
      <c r="AA186" s="13"/>
      <c r="AB186" s="11"/>
      <c r="AC186" s="4"/>
      <c r="AD186" s="12"/>
      <c r="AE186" s="13"/>
      <c r="AF186" s="14">
        <v>4.9970999999999997</v>
      </c>
      <c r="AG186" s="133"/>
      <c r="AI186" s="84"/>
      <c r="AL186" s="64">
        <v>4.1708244499999996</v>
      </c>
      <c r="AM186" s="56">
        <v>15.33999999999995</v>
      </c>
      <c r="AN186" s="56">
        <v>17.319999999999961</v>
      </c>
      <c r="AO186" s="62">
        <v>23.68000000000006</v>
      </c>
      <c r="AQ186" s="64">
        <v>4.0818447833333336</v>
      </c>
      <c r="AR186" s="56">
        <v>14.84000000000005</v>
      </c>
      <c r="AS186" s="56">
        <v>16.319999999999979</v>
      </c>
      <c r="AT186" s="62">
        <v>20.600000000000041</v>
      </c>
      <c r="AV186" s="64">
        <v>3.7278791166666658</v>
      </c>
      <c r="AW186" s="56">
        <v>14.360000000000021</v>
      </c>
      <c r="AX186" s="56">
        <v>15.84000000000003</v>
      </c>
      <c r="AY186" s="62">
        <v>20.760000000000019</v>
      </c>
      <c r="BA186" s="64">
        <v>3.1832864500000002</v>
      </c>
      <c r="BB186" s="56">
        <v>17.42000000000008</v>
      </c>
      <c r="BC186" s="56">
        <v>20.000000000000021</v>
      </c>
      <c r="BD186" s="62">
        <v>32.380000000000031</v>
      </c>
      <c r="BF186" s="64">
        <v>2.9514669999999992</v>
      </c>
      <c r="BG186" s="56">
        <v>20.319999999999979</v>
      </c>
      <c r="BH186" s="56">
        <v>27.079999999999949</v>
      </c>
      <c r="BI186" s="62">
        <v>54.260000000000019</v>
      </c>
      <c r="BJ186" s="70"/>
      <c r="BK186" s="51"/>
    </row>
    <row r="187" spans="1:63" ht="18" thickTop="1" x14ac:dyDescent="0.4">
      <c r="A187" s="11" t="s">
        <v>266</v>
      </c>
      <c r="B187" s="4"/>
      <c r="C187" s="4"/>
      <c r="D187" s="4"/>
      <c r="E187" s="12"/>
      <c r="G187" s="147" t="s">
        <v>266</v>
      </c>
      <c r="H187" s="159">
        <v>70.096000000000004</v>
      </c>
      <c r="I187" s="153">
        <v>70.34</v>
      </c>
      <c r="J187" s="153">
        <v>70.319999999999993</v>
      </c>
      <c r="K187" s="153">
        <v>70.33</v>
      </c>
      <c r="L187" s="153">
        <v>70.319999999999993</v>
      </c>
      <c r="M187" s="80">
        <f t="shared" si="4"/>
        <v>70.34</v>
      </c>
      <c r="N187" s="80">
        <f t="shared" si="5"/>
        <v>70.319999999999993</v>
      </c>
      <c r="O187" s="153">
        <v>21.19</v>
      </c>
      <c r="P187" s="162">
        <v>21.18</v>
      </c>
      <c r="Q187" s="153">
        <v>21.16</v>
      </c>
      <c r="R187" s="153">
        <v>21.13</v>
      </c>
      <c r="S187" s="4"/>
      <c r="U187" s="147" t="s">
        <v>266</v>
      </c>
      <c r="V187" s="11"/>
      <c r="W187" s="4"/>
      <c r="X187" s="12"/>
      <c r="Y187" s="14"/>
      <c r="Z187" s="4"/>
      <c r="AA187" s="13"/>
      <c r="AB187" s="11"/>
      <c r="AC187" s="4"/>
      <c r="AD187" s="12"/>
      <c r="AE187" s="13"/>
      <c r="AF187" s="14">
        <v>5.0376000000000003</v>
      </c>
      <c r="AG187" s="133"/>
      <c r="AI187" s="84"/>
      <c r="AL187" s="64">
        <v>4.1706795333333329</v>
      </c>
      <c r="AM187" s="56">
        <v>14.30000000000007</v>
      </c>
      <c r="AN187" s="56">
        <v>16.200000000000081</v>
      </c>
      <c r="AO187" s="62">
        <v>22.359999999999939</v>
      </c>
      <c r="AQ187" s="64">
        <v>4.0815949500000004</v>
      </c>
      <c r="AR187" s="56">
        <v>13.759999999999909</v>
      </c>
      <c r="AS187" s="56">
        <v>15.17999999999997</v>
      </c>
      <c r="AT187" s="62">
        <v>19.299999999999962</v>
      </c>
      <c r="AV187" s="64">
        <v>3.7272774833333329</v>
      </c>
      <c r="AW187" s="56">
        <v>13.319999999999951</v>
      </c>
      <c r="AX187" s="56">
        <v>14.739999999999929</v>
      </c>
      <c r="AY187" s="62">
        <v>19.439999999999991</v>
      </c>
      <c r="BA187" s="64">
        <v>3.180866833333333</v>
      </c>
      <c r="BB187" s="56">
        <v>17.23999999999997</v>
      </c>
      <c r="BC187" s="56">
        <v>19.81999999999999</v>
      </c>
      <c r="BD187" s="62">
        <v>32.279999999999987</v>
      </c>
      <c r="BF187" s="64">
        <v>2.949841483333334</v>
      </c>
      <c r="BG187" s="56">
        <v>20.16</v>
      </c>
      <c r="BH187" s="56">
        <v>26.799999999999979</v>
      </c>
      <c r="BI187" s="62">
        <v>54.139999999999937</v>
      </c>
      <c r="BJ187" s="70"/>
      <c r="BK187" s="51"/>
    </row>
    <row r="188" spans="1:63" x14ac:dyDescent="0.4">
      <c r="A188" s="11" t="s">
        <v>267</v>
      </c>
      <c r="B188" s="4"/>
      <c r="C188" s="4"/>
      <c r="D188" s="4"/>
      <c r="E188" s="12"/>
      <c r="G188" s="147" t="s">
        <v>267</v>
      </c>
      <c r="H188" s="159">
        <v>70.039000000000001</v>
      </c>
      <c r="I188" s="153">
        <v>70.34</v>
      </c>
      <c r="J188" s="153">
        <v>70.349999999999994</v>
      </c>
      <c r="K188" s="153">
        <v>70.349999999999994</v>
      </c>
      <c r="L188" s="153">
        <v>70.33</v>
      </c>
      <c r="M188" s="80">
        <f t="shared" si="4"/>
        <v>70.349999999999994</v>
      </c>
      <c r="N188" s="80">
        <f t="shared" si="5"/>
        <v>70.33</v>
      </c>
      <c r="O188" s="153">
        <v>21.2</v>
      </c>
      <c r="P188" s="153">
        <v>21.18</v>
      </c>
      <c r="Q188" s="153">
        <v>21.14</v>
      </c>
      <c r="R188" s="153">
        <v>21.12</v>
      </c>
      <c r="S188" s="4"/>
      <c r="U188" s="147" t="s">
        <v>267</v>
      </c>
      <c r="V188" s="11"/>
      <c r="W188" s="4"/>
      <c r="X188" s="12"/>
      <c r="Y188" s="14"/>
      <c r="Z188" s="4"/>
      <c r="AA188" s="13"/>
      <c r="AB188" s="11"/>
      <c r="AC188" s="4"/>
      <c r="AD188" s="12"/>
      <c r="AE188" s="13"/>
      <c r="AF188" s="14">
        <v>5.0369999999999999</v>
      </c>
      <c r="AG188" s="133"/>
      <c r="AI188" s="84"/>
      <c r="AL188" s="64">
        <v>4.1708816333333329</v>
      </c>
      <c r="AM188" s="56">
        <v>13.999999999999879</v>
      </c>
      <c r="AN188" s="56">
        <v>15.89999999999989</v>
      </c>
      <c r="AO188" s="62">
        <v>22.059999999999921</v>
      </c>
      <c r="AQ188" s="64">
        <v>4.0827874666666668</v>
      </c>
      <c r="AR188" s="56">
        <v>13.74000000000013</v>
      </c>
      <c r="AS188" s="56">
        <v>15.120000000000109</v>
      </c>
      <c r="AT188" s="62">
        <v>19.200000000000109</v>
      </c>
      <c r="AV188" s="64">
        <v>3.73018955</v>
      </c>
      <c r="AW188" s="56">
        <v>13.24000000000005</v>
      </c>
      <c r="AX188" s="56">
        <v>14.580000000000039</v>
      </c>
      <c r="AY188" s="62">
        <v>19.240000000000009</v>
      </c>
      <c r="BA188" s="64">
        <v>3.1919973499999998</v>
      </c>
      <c r="BB188" s="56">
        <v>16.04000000000001</v>
      </c>
      <c r="BC188" s="56">
        <v>18.50000000000005</v>
      </c>
      <c r="BD188" s="62">
        <v>30.320000000000039</v>
      </c>
      <c r="BF188" s="64">
        <v>2.959872966666667</v>
      </c>
      <c r="BG188" s="56">
        <v>19.160000000000021</v>
      </c>
      <c r="BH188" s="56">
        <v>25.779999999999959</v>
      </c>
      <c r="BI188" s="62">
        <v>52.939999999999984</v>
      </c>
      <c r="BJ188" s="70"/>
      <c r="BK188" s="51"/>
    </row>
    <row r="189" spans="1:63" x14ac:dyDescent="0.4">
      <c r="A189" s="11" t="s">
        <v>268</v>
      </c>
      <c r="B189" s="4"/>
      <c r="C189" s="4"/>
      <c r="D189" s="4"/>
      <c r="E189" s="12"/>
      <c r="G189" s="147" t="s">
        <v>268</v>
      </c>
      <c r="H189" s="159">
        <v>70.033000000000001</v>
      </c>
      <c r="I189" s="153">
        <v>70.33</v>
      </c>
      <c r="J189" s="153">
        <v>70.34</v>
      </c>
      <c r="K189" s="153">
        <v>70.3</v>
      </c>
      <c r="L189" s="153">
        <v>70.33</v>
      </c>
      <c r="M189" s="80">
        <f t="shared" si="4"/>
        <v>70.34</v>
      </c>
      <c r="N189" s="80">
        <f t="shared" si="5"/>
        <v>70.3</v>
      </c>
      <c r="O189" s="153">
        <v>21.18</v>
      </c>
      <c r="P189" s="153">
        <v>21.15</v>
      </c>
      <c r="Q189" s="153">
        <v>21.14</v>
      </c>
      <c r="R189" s="153">
        <v>21.12</v>
      </c>
      <c r="S189" s="4"/>
      <c r="U189" s="147" t="s">
        <v>268</v>
      </c>
      <c r="V189" s="11"/>
      <c r="W189" s="4"/>
      <c r="X189" s="12"/>
      <c r="Y189" s="14"/>
      <c r="Z189" s="4"/>
      <c r="AA189" s="13"/>
      <c r="AB189" s="11"/>
      <c r="AC189" s="4"/>
      <c r="AD189" s="12"/>
      <c r="AE189" s="13"/>
      <c r="AF189" s="14">
        <v>5.0242000000000004</v>
      </c>
      <c r="AG189" s="133"/>
      <c r="AI189" s="84"/>
      <c r="AL189" s="64">
        <v>4.1707445999999999</v>
      </c>
      <c r="AM189" s="56">
        <v>14.460000000000051</v>
      </c>
      <c r="AN189" s="56">
        <v>16.36000000000006</v>
      </c>
      <c r="AO189" s="62">
        <v>22.540000000000049</v>
      </c>
      <c r="AQ189" s="64">
        <v>4.0807079999999996</v>
      </c>
      <c r="AR189" s="56">
        <v>13.76000000000008</v>
      </c>
      <c r="AS189" s="56">
        <v>15.16000000000002</v>
      </c>
      <c r="AT189" s="62">
        <v>19.240000000000009</v>
      </c>
      <c r="AV189" s="64">
        <v>3.727864649999999</v>
      </c>
      <c r="AW189" s="56">
        <v>13.239999999999959</v>
      </c>
      <c r="AX189" s="56">
        <v>14.620000000000029</v>
      </c>
      <c r="AY189" s="62">
        <v>19.299999999999962</v>
      </c>
      <c r="BA189" s="64">
        <v>3.189508749999999</v>
      </c>
      <c r="BB189" s="56">
        <v>16.12</v>
      </c>
      <c r="BC189" s="56">
        <v>18.540000000000049</v>
      </c>
      <c r="BD189" s="62">
        <v>30.38000000000007</v>
      </c>
      <c r="BF189" s="64">
        <v>2.959057116666667</v>
      </c>
      <c r="BG189" s="56">
        <v>19.139999999999979</v>
      </c>
      <c r="BH189" s="56">
        <v>25.75999999999992</v>
      </c>
      <c r="BI189" s="62">
        <v>52.759999999999962</v>
      </c>
      <c r="BJ189" s="70"/>
      <c r="BK189" s="51"/>
    </row>
    <row r="190" spans="1:63" x14ac:dyDescent="0.4">
      <c r="A190" s="11" t="s">
        <v>269</v>
      </c>
      <c r="B190" s="4"/>
      <c r="C190" s="4"/>
      <c r="D190" s="4"/>
      <c r="E190" s="12"/>
      <c r="G190" s="147" t="s">
        <v>269</v>
      </c>
      <c r="H190" s="159">
        <v>70.106999999999999</v>
      </c>
      <c r="I190" s="153">
        <v>70.33</v>
      </c>
      <c r="J190" s="153">
        <v>70.33</v>
      </c>
      <c r="K190" s="153">
        <v>70.34</v>
      </c>
      <c r="L190" s="153">
        <v>70.34</v>
      </c>
      <c r="M190" s="80">
        <f t="shared" si="4"/>
        <v>70.34</v>
      </c>
      <c r="N190" s="80">
        <f t="shared" si="5"/>
        <v>70.33</v>
      </c>
      <c r="O190" s="153">
        <v>21.19</v>
      </c>
      <c r="P190" s="153">
        <v>21.14</v>
      </c>
      <c r="Q190" s="153">
        <v>21.14</v>
      </c>
      <c r="R190" s="153">
        <v>21.08</v>
      </c>
      <c r="S190" s="4"/>
      <c r="U190" s="147" t="s">
        <v>269</v>
      </c>
      <c r="V190" s="11"/>
      <c r="W190" s="4"/>
      <c r="X190" s="12"/>
      <c r="Y190" s="14"/>
      <c r="Z190" s="4"/>
      <c r="AA190" s="13"/>
      <c r="AB190" s="11"/>
      <c r="AC190" s="4"/>
      <c r="AD190" s="12"/>
      <c r="AE190" s="13"/>
      <c r="AF190" s="14">
        <v>5.0343</v>
      </c>
      <c r="AG190" s="133"/>
      <c r="AI190" s="84"/>
      <c r="AL190" s="64">
        <v>4.1705900833333329</v>
      </c>
      <c r="AM190" s="56">
        <v>14.63999999999999</v>
      </c>
      <c r="AN190" s="56">
        <v>16.58000000000008</v>
      </c>
      <c r="AO190" s="62">
        <v>22.82000000000011</v>
      </c>
      <c r="AQ190" s="64">
        <v>4.0806994999999997</v>
      </c>
      <c r="AR190" s="56">
        <v>14.140000000000089</v>
      </c>
      <c r="AS190" s="56">
        <v>15.55999999999997</v>
      </c>
      <c r="AT190" s="62">
        <v>19.70000000000001</v>
      </c>
      <c r="AV190" s="64">
        <v>3.7277933166666659</v>
      </c>
      <c r="AW190" s="56">
        <v>13.839999999999989</v>
      </c>
      <c r="AX190" s="56">
        <v>15.259999999999961</v>
      </c>
      <c r="AY190" s="62">
        <v>20.000000000000021</v>
      </c>
      <c r="BA190" s="64">
        <v>3.1860317500000002</v>
      </c>
      <c r="BB190" s="56">
        <v>17.160000000000061</v>
      </c>
      <c r="BC190" s="56">
        <v>19.720000000000049</v>
      </c>
      <c r="BD190" s="62">
        <v>31.939999999999991</v>
      </c>
      <c r="BF190" s="64">
        <v>2.9603476166666671</v>
      </c>
      <c r="BG190" s="56">
        <v>20.180000000000039</v>
      </c>
      <c r="BH190" s="56">
        <v>27.00000000000005</v>
      </c>
      <c r="BI190" s="62">
        <v>54.300000000000011</v>
      </c>
      <c r="BJ190" s="70"/>
      <c r="BK190" s="51"/>
    </row>
    <row r="191" spans="1:63" x14ac:dyDescent="0.4">
      <c r="A191" s="11" t="s">
        <v>270</v>
      </c>
      <c r="B191" s="4"/>
      <c r="C191" s="4"/>
      <c r="D191" s="4"/>
      <c r="E191" s="12"/>
      <c r="G191" s="147" t="s">
        <v>270</v>
      </c>
      <c r="H191" s="159">
        <v>69.968999999999994</v>
      </c>
      <c r="I191" s="153">
        <v>70.27</v>
      </c>
      <c r="J191" s="153">
        <v>70.31</v>
      </c>
      <c r="K191" s="153">
        <v>70.31</v>
      </c>
      <c r="L191" s="153">
        <v>70.319999999999993</v>
      </c>
      <c r="M191" s="80">
        <f t="shared" si="4"/>
        <v>70.319999999999993</v>
      </c>
      <c r="N191" s="80">
        <f t="shared" si="5"/>
        <v>70.27</v>
      </c>
      <c r="O191" s="153">
        <v>21.19</v>
      </c>
      <c r="P191" s="153">
        <v>21.15</v>
      </c>
      <c r="Q191" s="153">
        <v>21.12</v>
      </c>
      <c r="R191" s="153">
        <v>21.09</v>
      </c>
      <c r="S191" s="4"/>
      <c r="U191" s="147" t="s">
        <v>270</v>
      </c>
      <c r="V191" s="11"/>
      <c r="W191" s="4"/>
      <c r="X191" s="12"/>
      <c r="Y191" s="14"/>
      <c r="Z191" s="4"/>
      <c r="AA191" s="13"/>
      <c r="AB191" s="11"/>
      <c r="AC191" s="4"/>
      <c r="AD191" s="12"/>
      <c r="AE191" s="13"/>
      <c r="AF191" s="14">
        <v>4.9926000000000004</v>
      </c>
      <c r="AG191" s="133"/>
      <c r="AI191" s="84"/>
      <c r="AL191" s="64">
        <v>4.1709681666666656</v>
      </c>
      <c r="AM191" s="56">
        <v>14.52000000000009</v>
      </c>
      <c r="AN191" s="56">
        <v>16.460000000000012</v>
      </c>
      <c r="AO191" s="62">
        <v>22.680000000000081</v>
      </c>
      <c r="AQ191" s="64">
        <v>4.081251833333333</v>
      </c>
      <c r="AR191" s="56">
        <v>13.959999999999971</v>
      </c>
      <c r="AS191" s="56">
        <v>15.33999999999995</v>
      </c>
      <c r="AT191" s="62">
        <v>19.45999999999994</v>
      </c>
      <c r="AV191" s="64">
        <v>3.7289017499999999</v>
      </c>
      <c r="AW191" s="56">
        <v>13.419999999999989</v>
      </c>
      <c r="AX191" s="56">
        <v>14.800000000000059</v>
      </c>
      <c r="AY191" s="62">
        <v>19.500000000000028</v>
      </c>
      <c r="BA191" s="64">
        <v>3.190054850000001</v>
      </c>
      <c r="BB191" s="56">
        <v>16.400000000000059</v>
      </c>
      <c r="BC191" s="56">
        <v>18.86000000000001</v>
      </c>
      <c r="BD191" s="62">
        <v>30.820000000000029</v>
      </c>
      <c r="BF191" s="64">
        <v>2.9627365166666659</v>
      </c>
      <c r="BG191" s="56">
        <v>19.23999999999992</v>
      </c>
      <c r="BH191" s="56">
        <v>25.819999999999951</v>
      </c>
      <c r="BI191" s="62">
        <v>52.579999999999941</v>
      </c>
      <c r="BJ191" s="70"/>
      <c r="BK191" s="51"/>
    </row>
    <row r="192" spans="1:63" x14ac:dyDescent="0.4">
      <c r="A192" s="11" t="s">
        <v>271</v>
      </c>
      <c r="B192" s="4"/>
      <c r="C192" s="4"/>
      <c r="D192" s="4"/>
      <c r="E192" s="12"/>
      <c r="G192" s="147" t="s">
        <v>271</v>
      </c>
      <c r="H192" s="159">
        <v>70.019000000000005</v>
      </c>
      <c r="I192" s="153">
        <v>70.42</v>
      </c>
      <c r="J192" s="153">
        <v>70.430000000000007</v>
      </c>
      <c r="K192" s="153">
        <v>70.42</v>
      </c>
      <c r="L192" s="153">
        <v>70.41</v>
      </c>
      <c r="M192" s="80">
        <f t="shared" si="4"/>
        <v>70.430000000000007</v>
      </c>
      <c r="N192" s="80">
        <f t="shared" si="5"/>
        <v>70.41</v>
      </c>
      <c r="O192" s="153">
        <v>21.19</v>
      </c>
      <c r="P192" s="153">
        <v>21.15</v>
      </c>
      <c r="Q192" s="153">
        <v>21.15</v>
      </c>
      <c r="R192" s="153">
        <v>21.09</v>
      </c>
      <c r="S192" s="4"/>
      <c r="U192" s="147" t="s">
        <v>271</v>
      </c>
      <c r="V192" s="11"/>
      <c r="W192" s="4"/>
      <c r="X192" s="12"/>
      <c r="Y192" s="14"/>
      <c r="Z192" s="4"/>
      <c r="AA192" s="13"/>
      <c r="AB192" s="11"/>
      <c r="AC192" s="4"/>
      <c r="AD192" s="12"/>
      <c r="AE192" s="13"/>
      <c r="AF192" s="14">
        <v>4.9829999999999997</v>
      </c>
      <c r="AG192" s="133"/>
      <c r="AI192" s="84"/>
      <c r="AL192" s="64">
        <v>4.1710511833333328</v>
      </c>
      <c r="AM192" s="56">
        <v>15.62000000000001</v>
      </c>
      <c r="AN192" s="56">
        <v>17.68000000000001</v>
      </c>
      <c r="AO192" s="62">
        <v>24.019999999999971</v>
      </c>
      <c r="AQ192" s="64">
        <v>4.0820842666666666</v>
      </c>
      <c r="AR192" s="56">
        <v>15.32</v>
      </c>
      <c r="AS192" s="56">
        <v>16.85999999999996</v>
      </c>
      <c r="AT192" s="62">
        <v>21.25999999999992</v>
      </c>
      <c r="AV192" s="64">
        <v>3.7278242833333328</v>
      </c>
      <c r="AW192" s="56">
        <v>14.820000000000009</v>
      </c>
      <c r="AX192" s="56">
        <v>16.359999999999971</v>
      </c>
      <c r="AY192" s="62">
        <v>21.400000000000041</v>
      </c>
      <c r="BA192" s="64">
        <v>3.177410683333334</v>
      </c>
      <c r="BB192" s="56">
        <v>17.840000000000082</v>
      </c>
      <c r="BC192" s="56">
        <v>20.54</v>
      </c>
      <c r="BD192" s="62">
        <v>33.240000000000073</v>
      </c>
      <c r="BF192" s="64">
        <v>2.9406605666666672</v>
      </c>
      <c r="BG192" s="56">
        <v>20.600000000000041</v>
      </c>
      <c r="BH192" s="56">
        <v>27.099999999999991</v>
      </c>
      <c r="BI192" s="62">
        <v>54.699999999999967</v>
      </c>
      <c r="BJ192" s="70"/>
      <c r="BK192" s="51"/>
    </row>
    <row r="193" spans="1:63" x14ac:dyDescent="0.4">
      <c r="A193" s="11" t="s">
        <v>272</v>
      </c>
      <c r="B193" s="4"/>
      <c r="C193" s="4"/>
      <c r="D193" s="4"/>
      <c r="E193" s="12"/>
      <c r="G193" s="147" t="s">
        <v>272</v>
      </c>
      <c r="H193" s="159">
        <v>70.075999999999993</v>
      </c>
      <c r="I193" s="153">
        <v>70.260000000000005</v>
      </c>
      <c r="J193" s="153">
        <v>70.31</v>
      </c>
      <c r="K193" s="153">
        <v>70.34</v>
      </c>
      <c r="L193" s="153">
        <v>70.36</v>
      </c>
      <c r="M193" s="80">
        <f t="shared" si="4"/>
        <v>70.36</v>
      </c>
      <c r="N193" s="80">
        <f t="shared" si="5"/>
        <v>70.260000000000005</v>
      </c>
      <c r="O193" s="153">
        <v>21.17</v>
      </c>
      <c r="P193" s="153">
        <v>21.15</v>
      </c>
      <c r="Q193" s="153">
        <v>21.12</v>
      </c>
      <c r="R193" s="153">
        <v>21.11</v>
      </c>
      <c r="S193" s="4"/>
      <c r="U193" s="147" t="s">
        <v>272</v>
      </c>
      <c r="V193" s="11"/>
      <c r="W193" s="4"/>
      <c r="X193" s="12"/>
      <c r="Y193" s="14"/>
      <c r="Z193" s="4"/>
      <c r="AA193" s="13"/>
      <c r="AB193" s="11"/>
      <c r="AC193" s="4"/>
      <c r="AD193" s="12"/>
      <c r="AE193" s="13"/>
      <c r="AF193" s="14">
        <v>5.0293999999999999</v>
      </c>
      <c r="AG193" s="133"/>
      <c r="AI193" s="84"/>
      <c r="AL193" s="64">
        <v>4.1703108166666656</v>
      </c>
      <c r="AM193" s="56">
        <v>14.280000000000109</v>
      </c>
      <c r="AN193" s="56">
        <v>16.200000000000081</v>
      </c>
      <c r="AO193" s="62">
        <v>22.40000000000002</v>
      </c>
      <c r="AQ193" s="64">
        <v>4.0812098000000008</v>
      </c>
      <c r="AR193" s="56">
        <v>13.779999999999861</v>
      </c>
      <c r="AS193" s="56">
        <v>15.17999999999997</v>
      </c>
      <c r="AT193" s="62">
        <v>19.339999999999961</v>
      </c>
      <c r="AV193" s="64">
        <v>3.7255775166666658</v>
      </c>
      <c r="AW193" s="56">
        <v>13.37999999999999</v>
      </c>
      <c r="AX193" s="56">
        <v>14.75999999999997</v>
      </c>
      <c r="AY193" s="62">
        <v>19.519999999999978</v>
      </c>
      <c r="BA193" s="64">
        <v>3.1763979666666668</v>
      </c>
      <c r="BB193" s="56">
        <v>17.079999999999981</v>
      </c>
      <c r="BC193" s="56">
        <v>19.70000000000001</v>
      </c>
      <c r="BD193" s="62">
        <v>32.359999999999992</v>
      </c>
      <c r="BF193" s="64">
        <v>2.9505024166666671</v>
      </c>
      <c r="BG193" s="56">
        <v>19.81999999999999</v>
      </c>
      <c r="BH193" s="56">
        <v>26.259999999999991</v>
      </c>
      <c r="BI193" s="62">
        <v>53.16</v>
      </c>
      <c r="BJ193" s="70"/>
      <c r="BK193" s="51"/>
    </row>
    <row r="194" spans="1:63" x14ac:dyDescent="0.4">
      <c r="A194" s="11" t="s">
        <v>273</v>
      </c>
      <c r="B194" s="4"/>
      <c r="C194" s="4"/>
      <c r="D194" s="4"/>
      <c r="E194" s="12"/>
      <c r="G194" s="147" t="s">
        <v>273</v>
      </c>
      <c r="H194" s="159">
        <v>70.024000000000001</v>
      </c>
      <c r="I194" s="153">
        <v>70.349999999999994</v>
      </c>
      <c r="J194" s="153">
        <v>70.37</v>
      </c>
      <c r="K194" s="153">
        <v>70.400000000000006</v>
      </c>
      <c r="L194" s="153">
        <v>70.38</v>
      </c>
      <c r="M194" s="80">
        <f t="shared" si="4"/>
        <v>70.400000000000006</v>
      </c>
      <c r="N194" s="80">
        <f t="shared" si="5"/>
        <v>70.349999999999994</v>
      </c>
      <c r="O194" s="153">
        <v>21.19</v>
      </c>
      <c r="P194" s="153">
        <v>21.15</v>
      </c>
      <c r="Q194" s="153">
        <v>21.12</v>
      </c>
      <c r="R194" s="153">
        <v>21.09</v>
      </c>
      <c r="S194" s="4"/>
      <c r="U194" s="147" t="s">
        <v>273</v>
      </c>
      <c r="V194" s="11"/>
      <c r="W194" s="4"/>
      <c r="X194" s="12"/>
      <c r="Y194" s="14"/>
      <c r="Z194" s="4"/>
      <c r="AA194" s="13"/>
      <c r="AB194" s="11"/>
      <c r="AC194" s="4"/>
      <c r="AD194" s="12"/>
      <c r="AE194" s="13"/>
      <c r="AF194" s="14">
        <v>5.0236000000000001</v>
      </c>
      <c r="AG194" s="133"/>
      <c r="AI194" s="84"/>
      <c r="AL194" s="64">
        <v>4.1708942833333333</v>
      </c>
      <c r="AM194" s="56">
        <v>14.279999999999941</v>
      </c>
      <c r="AN194" s="56">
        <v>16.1999999999999</v>
      </c>
      <c r="AO194" s="62">
        <v>22.379999999999889</v>
      </c>
      <c r="AQ194" s="64">
        <v>4.0811838333333341</v>
      </c>
      <c r="AR194" s="56">
        <v>13.700000000000051</v>
      </c>
      <c r="AS194" s="56">
        <v>15.08000000000003</v>
      </c>
      <c r="AT194" s="62">
        <v>19.21999999999997</v>
      </c>
      <c r="AV194" s="64">
        <v>3.7269200999999992</v>
      </c>
      <c r="AW194" s="56">
        <v>13.239999999999959</v>
      </c>
      <c r="AX194" s="56">
        <v>14.63999999999999</v>
      </c>
      <c r="AY194" s="62">
        <v>19.379999999999949</v>
      </c>
      <c r="BA194" s="64">
        <v>3.1870269499999999</v>
      </c>
      <c r="BB194" s="56">
        <v>16.199999999999989</v>
      </c>
      <c r="BC194" s="56">
        <v>18.679999999999989</v>
      </c>
      <c r="BD194" s="62">
        <v>30.719999999999992</v>
      </c>
      <c r="BF194" s="64">
        <v>2.957408116666667</v>
      </c>
      <c r="BG194" s="56">
        <v>18.820000000000011</v>
      </c>
      <c r="BH194" s="56">
        <v>25.120000000000079</v>
      </c>
      <c r="BI194" s="62">
        <v>51.259999999999991</v>
      </c>
      <c r="BJ194" s="70"/>
      <c r="BK194" s="51"/>
    </row>
    <row r="195" spans="1:63" x14ac:dyDescent="0.4">
      <c r="A195" s="11" t="s">
        <v>274</v>
      </c>
      <c r="B195" s="4"/>
      <c r="C195" s="4"/>
      <c r="D195" s="4"/>
      <c r="E195" s="12"/>
      <c r="G195" s="147" t="s">
        <v>274</v>
      </c>
      <c r="H195" s="159">
        <v>70.046000000000006</v>
      </c>
      <c r="I195" s="153">
        <v>70.36</v>
      </c>
      <c r="J195" s="153">
        <v>70.349999999999994</v>
      </c>
      <c r="K195" s="153">
        <v>70.349999999999994</v>
      </c>
      <c r="L195" s="153">
        <v>70.34</v>
      </c>
      <c r="M195" s="80">
        <f t="shared" si="4"/>
        <v>70.36</v>
      </c>
      <c r="N195" s="80">
        <f t="shared" si="5"/>
        <v>70.34</v>
      </c>
      <c r="O195" s="153">
        <v>21.16</v>
      </c>
      <c r="P195" s="153">
        <v>21.15</v>
      </c>
      <c r="Q195" s="153">
        <v>21.12</v>
      </c>
      <c r="R195" s="153">
        <v>21.08</v>
      </c>
      <c r="S195" s="4"/>
      <c r="U195" s="147" t="s">
        <v>274</v>
      </c>
      <c r="V195" s="11"/>
      <c r="W195" s="4"/>
      <c r="X195" s="12"/>
      <c r="Y195" s="14"/>
      <c r="Z195" s="4"/>
      <c r="AA195" s="13"/>
      <c r="AB195" s="11"/>
      <c r="AC195" s="4"/>
      <c r="AD195" s="12"/>
      <c r="AE195" s="13"/>
      <c r="AF195" s="14">
        <v>5.0430000000000001</v>
      </c>
      <c r="AG195" s="133"/>
      <c r="AI195" s="84"/>
      <c r="AL195" s="64">
        <v>4.1713664666666661</v>
      </c>
      <c r="AM195" s="56">
        <v>14.30000000000007</v>
      </c>
      <c r="AN195" s="56">
        <v>16.220000000000031</v>
      </c>
      <c r="AO195" s="62">
        <v>22.38000000000007</v>
      </c>
      <c r="AQ195" s="64">
        <v>4.0805752833333333</v>
      </c>
      <c r="AR195" s="56">
        <v>13.61999999999988</v>
      </c>
      <c r="AS195" s="56">
        <v>14.99999999999986</v>
      </c>
      <c r="AT195" s="62">
        <v>19.099999999999891</v>
      </c>
      <c r="AV195" s="64">
        <v>3.7266551666666672</v>
      </c>
      <c r="AW195" s="56">
        <v>13.160000000000061</v>
      </c>
      <c r="AX195" s="56">
        <v>14.56</v>
      </c>
      <c r="AY195" s="62">
        <v>19.280000000000008</v>
      </c>
      <c r="BA195" s="64">
        <v>3.18391745</v>
      </c>
      <c r="BB195" s="56">
        <v>16.16</v>
      </c>
      <c r="BC195" s="56">
        <v>18.660000000000029</v>
      </c>
      <c r="BD195" s="62">
        <v>30.719999999999992</v>
      </c>
      <c r="BF195" s="64">
        <v>2.9494474666666659</v>
      </c>
      <c r="BG195" s="56">
        <v>18.940000000000001</v>
      </c>
      <c r="BH195" s="56">
        <v>25.240000000000059</v>
      </c>
      <c r="BI195" s="62">
        <v>51.78000000000003</v>
      </c>
      <c r="BJ195" s="70"/>
      <c r="BK195" s="51"/>
    </row>
    <row r="196" spans="1:63" x14ac:dyDescent="0.4">
      <c r="A196" s="11" t="s">
        <v>275</v>
      </c>
      <c r="B196" s="4"/>
      <c r="C196" s="4"/>
      <c r="D196" s="4"/>
      <c r="E196" s="12"/>
      <c r="G196" s="147" t="s">
        <v>275</v>
      </c>
      <c r="H196" s="159">
        <v>70.006</v>
      </c>
      <c r="I196" s="153">
        <v>70.349999999999994</v>
      </c>
      <c r="J196" s="153">
        <v>70.319999999999993</v>
      </c>
      <c r="K196" s="153">
        <v>70.36</v>
      </c>
      <c r="L196" s="153">
        <v>70.33</v>
      </c>
      <c r="M196" s="80">
        <f t="shared" si="4"/>
        <v>70.36</v>
      </c>
      <c r="N196" s="80">
        <f t="shared" si="5"/>
        <v>70.319999999999993</v>
      </c>
      <c r="O196" s="153">
        <v>21.18</v>
      </c>
      <c r="P196" s="153">
        <v>21.16</v>
      </c>
      <c r="Q196" s="153">
        <v>21.12</v>
      </c>
      <c r="R196" s="153">
        <v>21.08</v>
      </c>
      <c r="S196" s="4"/>
      <c r="U196" s="147" t="s">
        <v>275</v>
      </c>
      <c r="V196" s="11"/>
      <c r="W196" s="4"/>
      <c r="X196" s="12"/>
      <c r="Y196" s="14"/>
      <c r="Z196" s="4"/>
      <c r="AA196" s="13"/>
      <c r="AB196" s="11"/>
      <c r="AC196" s="4"/>
      <c r="AD196" s="12"/>
      <c r="AE196" s="13"/>
      <c r="AF196" s="14">
        <v>5.0111999999999997</v>
      </c>
      <c r="AG196" s="133"/>
      <c r="AI196" s="84"/>
      <c r="AL196" s="64">
        <v>4.1711537500000002</v>
      </c>
      <c r="AM196" s="56">
        <v>14.13999999999991</v>
      </c>
      <c r="AN196" s="56">
        <v>16.039999999999921</v>
      </c>
      <c r="AO196" s="62">
        <v>22.240000000000041</v>
      </c>
      <c r="AQ196" s="64">
        <v>4.0825058499999987</v>
      </c>
      <c r="AR196" s="56">
        <v>13.820000000000119</v>
      </c>
      <c r="AS196" s="56">
        <v>15.220000000000059</v>
      </c>
      <c r="AT196" s="62">
        <v>19.360000000000088</v>
      </c>
      <c r="AV196" s="64">
        <v>3.7282914333333328</v>
      </c>
      <c r="AW196" s="56">
        <v>13.419999999999989</v>
      </c>
      <c r="AX196" s="56">
        <v>14.820000000000009</v>
      </c>
      <c r="AY196" s="62">
        <v>19.58000000000002</v>
      </c>
      <c r="BA196" s="64">
        <v>3.1901431833333338</v>
      </c>
      <c r="BB196" s="56">
        <v>16.719999999999931</v>
      </c>
      <c r="BC196" s="56">
        <v>19.200000000000021</v>
      </c>
      <c r="BD196" s="62">
        <v>31.239999999999931</v>
      </c>
      <c r="BF196" s="64">
        <v>2.9594584166666671</v>
      </c>
      <c r="BG196" s="56">
        <v>19.519999999999978</v>
      </c>
      <c r="BH196" s="56">
        <v>25.919999999999991</v>
      </c>
      <c r="BI196" s="62">
        <v>52.219999999999978</v>
      </c>
      <c r="BJ196" s="70"/>
      <c r="BK196" s="51"/>
    </row>
    <row r="197" spans="1:63" x14ac:dyDescent="0.4">
      <c r="A197" s="11" t="s">
        <v>276</v>
      </c>
      <c r="B197" s="4"/>
      <c r="C197" s="4"/>
      <c r="D197" s="4"/>
      <c r="E197" s="12"/>
      <c r="G197" s="147" t="s">
        <v>276</v>
      </c>
      <c r="H197" s="159">
        <v>70.054000000000002</v>
      </c>
      <c r="I197" s="153">
        <v>70.33</v>
      </c>
      <c r="J197" s="153">
        <v>70.31</v>
      </c>
      <c r="K197" s="153">
        <v>70.319999999999993</v>
      </c>
      <c r="L197" s="153">
        <v>70.31</v>
      </c>
      <c r="M197" s="80">
        <f t="shared" si="4"/>
        <v>70.33</v>
      </c>
      <c r="N197" s="80">
        <f t="shared" si="5"/>
        <v>70.31</v>
      </c>
      <c r="O197" s="153">
        <v>21.15</v>
      </c>
      <c r="P197" s="153">
        <v>21.14</v>
      </c>
      <c r="Q197" s="153">
        <v>21.11</v>
      </c>
      <c r="R197" s="153">
        <v>21.1</v>
      </c>
      <c r="S197" s="4"/>
      <c r="U197" s="147" t="s">
        <v>276</v>
      </c>
      <c r="V197" s="11"/>
      <c r="W197" s="4"/>
      <c r="X197" s="12"/>
      <c r="Y197" s="14"/>
      <c r="Z197" s="4"/>
      <c r="AA197" s="13"/>
      <c r="AB197" s="11"/>
      <c r="AC197" s="4"/>
      <c r="AD197" s="12"/>
      <c r="AE197" s="13"/>
      <c r="AF197" s="14">
        <v>5.0414000000000003</v>
      </c>
      <c r="AG197" s="133"/>
      <c r="AI197" s="84"/>
      <c r="AL197" s="64">
        <v>4.1708590499999998</v>
      </c>
      <c r="AM197" s="56">
        <v>14.81999999999992</v>
      </c>
      <c r="AN197" s="56">
        <v>16.760000000000019</v>
      </c>
      <c r="AO197" s="62">
        <v>23.000000000000039</v>
      </c>
      <c r="AQ197" s="64">
        <v>4.0816797499999993</v>
      </c>
      <c r="AR197" s="56">
        <v>14.279999999999941</v>
      </c>
      <c r="AS197" s="56">
        <v>15.73999999999991</v>
      </c>
      <c r="AT197" s="62">
        <v>19.95999999999993</v>
      </c>
      <c r="AV197" s="64">
        <v>3.7273574000000012</v>
      </c>
      <c r="AW197" s="56">
        <v>13.91999999999998</v>
      </c>
      <c r="AX197" s="56">
        <v>15.379999999999949</v>
      </c>
      <c r="AY197" s="62">
        <v>20.219999999999949</v>
      </c>
      <c r="BA197" s="64">
        <v>3.181777583333333</v>
      </c>
      <c r="BB197" s="56">
        <v>17.160000000000061</v>
      </c>
      <c r="BC197" s="56">
        <v>19.739999999999998</v>
      </c>
      <c r="BD197" s="62">
        <v>32.24</v>
      </c>
      <c r="BF197" s="64">
        <v>2.9567923166666672</v>
      </c>
      <c r="BG197" s="56">
        <v>19.919999999999941</v>
      </c>
      <c r="BH197" s="56">
        <v>26.399999999999931</v>
      </c>
      <c r="BI197" s="62">
        <v>53.139999999999972</v>
      </c>
      <c r="BJ197" s="70"/>
      <c r="BK197" s="51"/>
    </row>
    <row r="198" spans="1:63" x14ac:dyDescent="0.4">
      <c r="A198" s="11" t="s">
        <v>277</v>
      </c>
      <c r="B198" s="4"/>
      <c r="C198" s="4"/>
      <c r="D198" s="4"/>
      <c r="E198" s="12"/>
      <c r="G198" s="147" t="s">
        <v>277</v>
      </c>
      <c r="H198" s="159">
        <v>70.054000000000002</v>
      </c>
      <c r="I198" s="153">
        <v>70.41</v>
      </c>
      <c r="J198" s="153">
        <v>70.319999999999993</v>
      </c>
      <c r="K198" s="153">
        <v>70.3</v>
      </c>
      <c r="L198" s="153">
        <v>70.31</v>
      </c>
      <c r="M198" s="80">
        <f t="shared" ref="M198:M261" si="6">MAX(I198:L198)</f>
        <v>70.41</v>
      </c>
      <c r="N198" s="80">
        <f t="shared" ref="N198:N261" si="7">MIN(I198:L198)</f>
        <v>70.3</v>
      </c>
      <c r="O198" s="153">
        <v>21.18</v>
      </c>
      <c r="P198" s="153">
        <v>21.15</v>
      </c>
      <c r="Q198" s="153">
        <v>21.13</v>
      </c>
      <c r="R198" s="153">
        <v>21.09</v>
      </c>
      <c r="S198" s="4"/>
      <c r="U198" s="147" t="s">
        <v>277</v>
      </c>
      <c r="V198" s="11"/>
      <c r="W198" s="4"/>
      <c r="X198" s="12"/>
      <c r="Y198" s="14"/>
      <c r="Z198" s="4"/>
      <c r="AA198" s="13"/>
      <c r="AB198" s="11"/>
      <c r="AC198" s="4"/>
      <c r="AD198" s="12"/>
      <c r="AE198" s="13"/>
      <c r="AF198" s="14">
        <v>5.0374999999999996</v>
      </c>
      <c r="AG198" s="133"/>
      <c r="AI198" s="84"/>
      <c r="AL198" s="64">
        <v>4.1709652166666666</v>
      </c>
      <c r="AM198" s="56">
        <v>14.32000000000002</v>
      </c>
      <c r="AN198" s="56">
        <v>16.220000000000031</v>
      </c>
      <c r="AO198" s="62">
        <v>22.40000000000002</v>
      </c>
      <c r="AQ198" s="64">
        <v>4.0823100166666677</v>
      </c>
      <c r="AR198" s="56">
        <v>13.81999999999994</v>
      </c>
      <c r="AS198" s="56">
        <v>15.199999999999919</v>
      </c>
      <c r="AT198" s="62">
        <v>19.299999999999962</v>
      </c>
      <c r="AV198" s="64">
        <v>3.7295263333333342</v>
      </c>
      <c r="AW198" s="56">
        <v>13.34</v>
      </c>
      <c r="AX198" s="56">
        <v>14.700000000000021</v>
      </c>
      <c r="AY198" s="62">
        <v>19.399999999999999</v>
      </c>
      <c r="BA198" s="64">
        <v>3.190244233333333</v>
      </c>
      <c r="BB198" s="56">
        <v>16.26000000000003</v>
      </c>
      <c r="BC198" s="56">
        <v>18.700000000000031</v>
      </c>
      <c r="BD198" s="62">
        <v>30.6</v>
      </c>
      <c r="BF198" s="64">
        <v>2.9638215499999991</v>
      </c>
      <c r="BG198" s="56">
        <v>18.98</v>
      </c>
      <c r="BH198" s="56">
        <v>25.740000000000052</v>
      </c>
      <c r="BI198" s="62">
        <v>52.47999999999999</v>
      </c>
      <c r="BJ198" s="70"/>
      <c r="BK198" s="51"/>
    </row>
    <row r="199" spans="1:63" x14ac:dyDescent="0.4">
      <c r="A199" s="11" t="s">
        <v>278</v>
      </c>
      <c r="B199" s="4"/>
      <c r="C199" s="4"/>
      <c r="D199" s="4"/>
      <c r="E199" s="12"/>
      <c r="G199" s="147" t="s">
        <v>278</v>
      </c>
      <c r="H199" s="159">
        <v>70.022000000000006</v>
      </c>
      <c r="I199" s="153">
        <v>70.400000000000006</v>
      </c>
      <c r="J199" s="153">
        <v>70.42</v>
      </c>
      <c r="K199" s="153">
        <v>70.400000000000006</v>
      </c>
      <c r="L199" s="153">
        <v>70.33</v>
      </c>
      <c r="M199" s="80">
        <f t="shared" si="6"/>
        <v>70.42</v>
      </c>
      <c r="N199" s="80">
        <f t="shared" si="7"/>
        <v>70.33</v>
      </c>
      <c r="O199" s="153">
        <v>21.17</v>
      </c>
      <c r="P199" s="153">
        <v>21.14</v>
      </c>
      <c r="Q199" s="153">
        <v>21.12</v>
      </c>
      <c r="R199" s="153">
        <v>21.11</v>
      </c>
      <c r="S199" s="4"/>
      <c r="U199" s="147" t="s">
        <v>278</v>
      </c>
      <c r="V199" s="11"/>
      <c r="W199" s="4"/>
      <c r="X199" s="12"/>
      <c r="Y199" s="14"/>
      <c r="Z199" s="4"/>
      <c r="AA199" s="13"/>
      <c r="AB199" s="11"/>
      <c r="AC199" s="4"/>
      <c r="AD199" s="12"/>
      <c r="AE199" s="13"/>
      <c r="AF199" s="14">
        <v>5.0366</v>
      </c>
      <c r="AG199" s="133"/>
      <c r="AI199" s="84"/>
      <c r="AL199" s="64">
        <v>4.1729718</v>
      </c>
      <c r="AM199" s="56">
        <v>13.76000000000008</v>
      </c>
      <c r="AN199" s="56">
        <v>15.6600000000001</v>
      </c>
      <c r="AO199" s="62">
        <v>21.72000000000001</v>
      </c>
      <c r="AQ199" s="64">
        <v>4.0815496166666669</v>
      </c>
      <c r="AR199" s="56">
        <v>13.34</v>
      </c>
      <c r="AS199" s="56">
        <v>14.67999999999989</v>
      </c>
      <c r="AT199" s="62">
        <v>18.619999999999951</v>
      </c>
      <c r="AV199" s="64">
        <v>3.7291471</v>
      </c>
      <c r="AW199" s="56">
        <v>12.900000000000039</v>
      </c>
      <c r="AX199" s="56">
        <v>14.25999999999998</v>
      </c>
      <c r="AY199" s="62">
        <v>18.799999999999969</v>
      </c>
      <c r="BA199" s="64">
        <v>3.18954045</v>
      </c>
      <c r="BB199" s="56">
        <v>15.64000000000005</v>
      </c>
      <c r="BC199" s="56">
        <v>18.00000000000006</v>
      </c>
      <c r="BD199" s="62">
        <v>29.60000000000003</v>
      </c>
      <c r="BF199" s="64">
        <v>2.9452095833333329</v>
      </c>
      <c r="BG199" s="56">
        <v>19.519999999999978</v>
      </c>
      <c r="BH199" s="56">
        <v>26.74000000000003</v>
      </c>
      <c r="BI199" s="62">
        <v>56.02</v>
      </c>
      <c r="BJ199" s="69"/>
      <c r="BK199" s="51"/>
    </row>
    <row r="200" spans="1:63" x14ac:dyDescent="0.4">
      <c r="A200" s="11" t="s">
        <v>279</v>
      </c>
      <c r="B200" s="4"/>
      <c r="C200" s="4"/>
      <c r="D200" s="4"/>
      <c r="E200" s="12"/>
      <c r="G200" s="147" t="s">
        <v>279</v>
      </c>
      <c r="H200" s="159">
        <v>70.064999999999998</v>
      </c>
      <c r="I200" s="153">
        <v>70.31</v>
      </c>
      <c r="J200" s="153">
        <v>70.38</v>
      </c>
      <c r="K200" s="153">
        <v>70.39</v>
      </c>
      <c r="L200" s="153">
        <v>70.36</v>
      </c>
      <c r="M200" s="80">
        <f t="shared" si="6"/>
        <v>70.39</v>
      </c>
      <c r="N200" s="80">
        <f t="shared" si="7"/>
        <v>70.31</v>
      </c>
      <c r="O200" s="153">
        <v>21.17</v>
      </c>
      <c r="P200" s="153">
        <v>21.15</v>
      </c>
      <c r="Q200" s="153">
        <v>21.16</v>
      </c>
      <c r="R200" s="153">
        <v>21.13</v>
      </c>
      <c r="S200" s="4"/>
      <c r="U200" s="147" t="s">
        <v>279</v>
      </c>
      <c r="V200" s="11"/>
      <c r="W200" s="4"/>
      <c r="X200" s="12"/>
      <c r="Y200" s="14"/>
      <c r="Z200" s="4"/>
      <c r="AA200" s="13"/>
      <c r="AB200" s="11"/>
      <c r="AC200" s="32"/>
      <c r="AD200" s="12"/>
      <c r="AE200" s="13"/>
      <c r="AF200" s="14">
        <v>5.04</v>
      </c>
      <c r="AG200" s="133"/>
      <c r="AI200" s="84"/>
      <c r="AL200" s="64">
        <v>4.1725995500000002</v>
      </c>
      <c r="AM200" s="56">
        <v>13.86000000000003</v>
      </c>
      <c r="AN200" s="56">
        <v>15.78</v>
      </c>
      <c r="AO200" s="62">
        <v>21.840000000000082</v>
      </c>
      <c r="AQ200" s="64">
        <v>4.0811932500000001</v>
      </c>
      <c r="AR200" s="56">
        <v>13.34</v>
      </c>
      <c r="AS200" s="56">
        <v>14.719999999999979</v>
      </c>
      <c r="AT200" s="62">
        <v>18.660000000000029</v>
      </c>
      <c r="AV200" s="64">
        <v>3.7288729333333341</v>
      </c>
      <c r="AW200" s="56">
        <v>12.95999999999999</v>
      </c>
      <c r="AX200" s="56">
        <v>14.33999999999997</v>
      </c>
      <c r="AY200" s="62">
        <v>18.900000000000009</v>
      </c>
      <c r="BA200" s="64">
        <v>3.189096849999999</v>
      </c>
      <c r="BB200" s="56">
        <v>15.78</v>
      </c>
      <c r="BC200" s="56">
        <v>18.18</v>
      </c>
      <c r="BD200" s="62">
        <v>29.899999999999949</v>
      </c>
      <c r="BF200" s="64">
        <v>2.950479416666667</v>
      </c>
      <c r="BG200" s="56">
        <v>19.599999999999969</v>
      </c>
      <c r="BH200" s="56">
        <v>26.74000000000003</v>
      </c>
      <c r="BI200" s="62">
        <v>55.6</v>
      </c>
      <c r="BJ200" s="70"/>
      <c r="BK200" s="51"/>
    </row>
    <row r="201" spans="1:63" x14ac:dyDescent="0.4">
      <c r="A201" s="11" t="s">
        <v>280</v>
      </c>
      <c r="B201" s="4"/>
      <c r="C201" s="4"/>
      <c r="D201" s="4"/>
      <c r="E201" s="12"/>
      <c r="G201" s="147" t="s">
        <v>280</v>
      </c>
      <c r="H201" s="159">
        <v>70.042000000000002</v>
      </c>
      <c r="I201" s="153">
        <v>70.319999999999993</v>
      </c>
      <c r="J201" s="153">
        <v>70.28</v>
      </c>
      <c r="K201" s="153">
        <v>70.319999999999993</v>
      </c>
      <c r="L201" s="153">
        <v>70.34</v>
      </c>
      <c r="M201" s="80">
        <f t="shared" si="6"/>
        <v>70.34</v>
      </c>
      <c r="N201" s="80">
        <f t="shared" si="7"/>
        <v>70.28</v>
      </c>
      <c r="O201" s="153">
        <v>21.16</v>
      </c>
      <c r="P201" s="153">
        <v>21.15</v>
      </c>
      <c r="Q201" s="153">
        <v>21.12</v>
      </c>
      <c r="R201" s="153">
        <v>21.11</v>
      </c>
      <c r="S201" s="4"/>
      <c r="U201" s="147" t="s">
        <v>280</v>
      </c>
      <c r="V201" s="11"/>
      <c r="W201" s="4"/>
      <c r="X201" s="12"/>
      <c r="Y201" s="14"/>
      <c r="Z201" s="4"/>
      <c r="AA201" s="13"/>
      <c r="AB201" s="11"/>
      <c r="AC201" s="4"/>
      <c r="AD201" s="12"/>
      <c r="AE201" s="13"/>
      <c r="AF201" s="14">
        <v>5.0057</v>
      </c>
      <c r="AG201" s="133"/>
      <c r="AI201" s="84"/>
      <c r="AL201" s="64">
        <v>4.1729138666666667</v>
      </c>
      <c r="AM201" s="56">
        <v>14.160000000000039</v>
      </c>
      <c r="AN201" s="56">
        <v>16.060000000000048</v>
      </c>
      <c r="AO201" s="62">
        <v>22.12000000000014</v>
      </c>
      <c r="AQ201" s="64">
        <v>4.0812543666666663</v>
      </c>
      <c r="AR201" s="56">
        <v>13.480000000000031</v>
      </c>
      <c r="AS201" s="56">
        <v>14.86000000000001</v>
      </c>
      <c r="AT201" s="62">
        <v>18.799999999999969</v>
      </c>
      <c r="AV201" s="64">
        <v>3.7286390833333338</v>
      </c>
      <c r="AW201" s="56">
        <v>13.100000000000019</v>
      </c>
      <c r="AX201" s="56">
        <v>14.48</v>
      </c>
      <c r="AY201" s="62">
        <v>19.059999999999992</v>
      </c>
      <c r="BA201" s="64">
        <v>3.1889387166666672</v>
      </c>
      <c r="BB201" s="56">
        <v>16.39999999999997</v>
      </c>
      <c r="BC201" s="56">
        <v>18.839999999999971</v>
      </c>
      <c r="BD201" s="62">
        <v>30.6</v>
      </c>
      <c r="BF201" s="64">
        <v>2.9455200000000001</v>
      </c>
      <c r="BG201" s="56">
        <v>20.280000000000079</v>
      </c>
      <c r="BH201" s="56">
        <v>27.56000000000007</v>
      </c>
      <c r="BI201" s="62">
        <v>56.760000000000048</v>
      </c>
      <c r="BJ201" s="70"/>
      <c r="BK201" s="51"/>
    </row>
    <row r="202" spans="1:63" x14ac:dyDescent="0.4">
      <c r="A202" s="11" t="s">
        <v>281</v>
      </c>
      <c r="B202" s="4"/>
      <c r="C202" s="4"/>
      <c r="D202" s="4"/>
      <c r="E202" s="12"/>
      <c r="G202" s="147" t="s">
        <v>281</v>
      </c>
      <c r="H202" s="159">
        <v>69.977000000000004</v>
      </c>
      <c r="I202" s="153">
        <v>70.37</v>
      </c>
      <c r="J202" s="153">
        <v>70.349999999999994</v>
      </c>
      <c r="K202" s="153">
        <v>70.349999999999994</v>
      </c>
      <c r="L202" s="153">
        <v>70.31</v>
      </c>
      <c r="M202" s="80">
        <f t="shared" si="6"/>
        <v>70.37</v>
      </c>
      <c r="N202" s="80">
        <f t="shared" si="7"/>
        <v>70.31</v>
      </c>
      <c r="O202" s="153">
        <v>21.18</v>
      </c>
      <c r="P202" s="153">
        <v>21.14</v>
      </c>
      <c r="Q202" s="153">
        <v>21.11</v>
      </c>
      <c r="R202" s="153">
        <v>21.08</v>
      </c>
      <c r="S202" s="4"/>
      <c r="U202" s="147" t="s">
        <v>281</v>
      </c>
      <c r="V202" s="11"/>
      <c r="W202" s="4"/>
      <c r="X202" s="12"/>
      <c r="Y202" s="14"/>
      <c r="Z202" s="4"/>
      <c r="AA202" s="13"/>
      <c r="AB202" s="11"/>
      <c r="AC202" s="4"/>
      <c r="AD202" s="12"/>
      <c r="AE202" s="13"/>
      <c r="AF202" s="14">
        <v>5.0407000000000002</v>
      </c>
      <c r="AG202" s="133"/>
      <c r="AI202" s="84"/>
      <c r="AL202" s="64">
        <v>4.1732968833333333</v>
      </c>
      <c r="AM202" s="56">
        <v>14.74000000000011</v>
      </c>
      <c r="AN202" s="56">
        <v>16.740000000000069</v>
      </c>
      <c r="AO202" s="62">
        <v>22.86000000000001</v>
      </c>
      <c r="AQ202" s="64">
        <v>4.0818499833333339</v>
      </c>
      <c r="AR202" s="56">
        <v>14.32000000000002</v>
      </c>
      <c r="AS202" s="56">
        <v>15.82000000000008</v>
      </c>
      <c r="AT202" s="62">
        <v>19.960000000000019</v>
      </c>
      <c r="AV202" s="64">
        <v>3.727986183333333</v>
      </c>
      <c r="AW202" s="56">
        <v>14.02000000000001</v>
      </c>
      <c r="AX202" s="56">
        <v>15.51999999999998</v>
      </c>
      <c r="AY202" s="62">
        <v>20.359999999999982</v>
      </c>
      <c r="BA202" s="64">
        <v>3.17912755</v>
      </c>
      <c r="BB202" s="56">
        <v>17.060000000000031</v>
      </c>
      <c r="BC202" s="56">
        <v>19.640000000000061</v>
      </c>
      <c r="BD202" s="62">
        <v>31.940000000000079</v>
      </c>
      <c r="BF202" s="64">
        <v>2.927248266666667</v>
      </c>
      <c r="BG202" s="56">
        <v>20.680000000000032</v>
      </c>
      <c r="BH202" s="56">
        <v>27.500000000000039</v>
      </c>
      <c r="BI202" s="62">
        <v>57.060000000000073</v>
      </c>
      <c r="BJ202" s="70"/>
      <c r="BK202" s="51"/>
    </row>
    <row r="203" spans="1:63" x14ac:dyDescent="0.4">
      <c r="A203" s="11" t="s">
        <v>282</v>
      </c>
      <c r="B203" s="4"/>
      <c r="C203" s="4"/>
      <c r="D203" s="4"/>
      <c r="E203" s="12"/>
      <c r="G203" s="147" t="s">
        <v>282</v>
      </c>
      <c r="H203" s="159">
        <v>70.06</v>
      </c>
      <c r="I203" s="153">
        <v>70.349999999999994</v>
      </c>
      <c r="J203" s="153">
        <v>70.33</v>
      </c>
      <c r="K203" s="153">
        <v>70.349999999999994</v>
      </c>
      <c r="L203" s="153">
        <v>70.36</v>
      </c>
      <c r="M203" s="80">
        <f t="shared" si="6"/>
        <v>70.36</v>
      </c>
      <c r="N203" s="80">
        <f t="shared" si="7"/>
        <v>70.33</v>
      </c>
      <c r="O203" s="153">
        <v>21.2</v>
      </c>
      <c r="P203" s="153">
        <v>21.17</v>
      </c>
      <c r="Q203" s="153">
        <v>21.12</v>
      </c>
      <c r="R203" s="153">
        <v>21.09</v>
      </c>
      <c r="S203" s="4"/>
      <c r="U203" s="147" t="s">
        <v>282</v>
      </c>
      <c r="V203" s="11"/>
      <c r="W203" s="4"/>
      <c r="X203" s="12"/>
      <c r="Y203" s="14"/>
      <c r="Z203" s="4"/>
      <c r="AA203" s="13"/>
      <c r="AB203" s="11"/>
      <c r="AC203" s="4"/>
      <c r="AD203" s="12"/>
      <c r="AE203" s="13"/>
      <c r="AF203" s="14">
        <v>5.0286999999999997</v>
      </c>
      <c r="AG203" s="133"/>
      <c r="AI203" s="84"/>
      <c r="AL203" s="64">
        <v>4.1731029500000014</v>
      </c>
      <c r="AM203" s="56">
        <v>13.700000000000051</v>
      </c>
      <c r="AN203" s="56">
        <v>15.62000000000001</v>
      </c>
      <c r="AO203" s="62">
        <v>21.659999999999972</v>
      </c>
      <c r="AQ203" s="64">
        <v>4.0823622500000001</v>
      </c>
      <c r="AR203" s="56">
        <v>13.29999999999991</v>
      </c>
      <c r="AS203" s="56">
        <v>14.700000000000021</v>
      </c>
      <c r="AT203" s="62">
        <v>18.65999999999994</v>
      </c>
      <c r="AV203" s="64">
        <v>3.730051416666667</v>
      </c>
      <c r="AW203" s="56">
        <v>13.00000000000008</v>
      </c>
      <c r="AX203" s="56">
        <v>14.42000000000005</v>
      </c>
      <c r="AY203" s="62">
        <v>19.040000000000031</v>
      </c>
      <c r="BA203" s="64">
        <v>3.1902165999999998</v>
      </c>
      <c r="BB203" s="56">
        <v>16.000000000000011</v>
      </c>
      <c r="BC203" s="56">
        <v>18.379999999999971</v>
      </c>
      <c r="BD203" s="62">
        <v>30.020000000000021</v>
      </c>
      <c r="BF203" s="64">
        <v>2.9330628166666659</v>
      </c>
      <c r="BG203" s="56">
        <v>19.70000000000001</v>
      </c>
      <c r="BH203" s="56">
        <v>26.16000000000005</v>
      </c>
      <c r="BI203" s="62">
        <v>54.560000000000031</v>
      </c>
      <c r="BJ203" s="70"/>
      <c r="BK203" s="51"/>
    </row>
    <row r="204" spans="1:63" x14ac:dyDescent="0.4">
      <c r="A204" s="11" t="s">
        <v>283</v>
      </c>
      <c r="B204" s="4"/>
      <c r="C204" s="4"/>
      <c r="D204" s="4"/>
      <c r="E204" s="12"/>
      <c r="G204" s="147" t="s">
        <v>283</v>
      </c>
      <c r="H204" s="159">
        <v>69.962000000000003</v>
      </c>
      <c r="I204" s="153">
        <v>70.319999999999993</v>
      </c>
      <c r="J204" s="153">
        <v>70.290000000000006</v>
      </c>
      <c r="K204" s="153">
        <v>70.3</v>
      </c>
      <c r="L204" s="153">
        <v>70.34</v>
      </c>
      <c r="M204" s="80">
        <f t="shared" si="6"/>
        <v>70.34</v>
      </c>
      <c r="N204" s="80">
        <f t="shared" si="7"/>
        <v>70.290000000000006</v>
      </c>
      <c r="O204" s="153">
        <v>21.19</v>
      </c>
      <c r="P204" s="153">
        <v>21.18</v>
      </c>
      <c r="Q204" s="153">
        <v>21.13</v>
      </c>
      <c r="R204" s="153">
        <v>21.11</v>
      </c>
      <c r="S204" s="4"/>
      <c r="U204" s="147" t="s">
        <v>283</v>
      </c>
      <c r="V204" s="11"/>
      <c r="W204" s="4"/>
      <c r="X204" s="12"/>
      <c r="Y204" s="14"/>
      <c r="Z204" s="4"/>
      <c r="AA204" s="13"/>
      <c r="AB204" s="11"/>
      <c r="AC204" s="4"/>
      <c r="AD204" s="12"/>
      <c r="AE204" s="13"/>
      <c r="AF204" s="14">
        <v>5.0327000000000002</v>
      </c>
      <c r="AG204" s="133"/>
      <c r="AI204" s="84"/>
      <c r="AL204" s="64">
        <v>4.1729722000000002</v>
      </c>
      <c r="AM204" s="56">
        <v>13.81999999999994</v>
      </c>
      <c r="AN204" s="56">
        <v>15.71999999999996</v>
      </c>
      <c r="AO204" s="62">
        <v>21.76000000000009</v>
      </c>
      <c r="AQ204" s="64">
        <v>4.0811972833333332</v>
      </c>
      <c r="AR204" s="56">
        <v>13.199999999999971</v>
      </c>
      <c r="AS204" s="56">
        <v>14.56</v>
      </c>
      <c r="AT204" s="62">
        <v>18.52</v>
      </c>
      <c r="AV204" s="64">
        <v>3.7271603999999989</v>
      </c>
      <c r="AW204" s="56">
        <v>12.840000000000011</v>
      </c>
      <c r="AX204" s="56">
        <v>14.21999999999999</v>
      </c>
      <c r="AY204" s="62">
        <v>18.820000000000011</v>
      </c>
      <c r="BA204" s="64">
        <v>3.1866438833333328</v>
      </c>
      <c r="BB204" s="56">
        <v>15.7</v>
      </c>
      <c r="BC204" s="56">
        <v>18.100000000000001</v>
      </c>
      <c r="BD204" s="62">
        <v>29.899999999999949</v>
      </c>
      <c r="BF204" s="64">
        <v>2.946379083333333</v>
      </c>
      <c r="BG204" s="56">
        <v>19.439999999999991</v>
      </c>
      <c r="BH204" s="56">
        <v>26.29999999999999</v>
      </c>
      <c r="BI204" s="62">
        <v>54.520000000000032</v>
      </c>
      <c r="BJ204" s="70"/>
      <c r="BK204" s="51"/>
    </row>
    <row r="205" spans="1:63" x14ac:dyDescent="0.4">
      <c r="A205" s="11" t="s">
        <v>284</v>
      </c>
      <c r="B205" s="4"/>
      <c r="C205" s="4"/>
      <c r="D205" s="4"/>
      <c r="E205" s="12"/>
      <c r="G205" s="147" t="s">
        <v>284</v>
      </c>
      <c r="H205" s="159">
        <v>69.989000000000004</v>
      </c>
      <c r="I205" s="153">
        <v>70.33</v>
      </c>
      <c r="J205" s="153">
        <v>70.34</v>
      </c>
      <c r="K205" s="153">
        <v>70.349999999999994</v>
      </c>
      <c r="L205" s="153">
        <v>70.33</v>
      </c>
      <c r="M205" s="80">
        <f t="shared" si="6"/>
        <v>70.349999999999994</v>
      </c>
      <c r="N205" s="80">
        <f t="shared" si="7"/>
        <v>70.33</v>
      </c>
      <c r="O205" s="153">
        <v>21.2</v>
      </c>
      <c r="P205" s="153">
        <v>21.17</v>
      </c>
      <c r="Q205" s="153">
        <v>21.15</v>
      </c>
      <c r="R205" s="153">
        <v>21.09</v>
      </c>
      <c r="S205" s="4"/>
      <c r="U205" s="147" t="s">
        <v>284</v>
      </c>
      <c r="V205" s="11"/>
      <c r="W205" s="4"/>
      <c r="X205" s="12"/>
      <c r="Y205" s="14"/>
      <c r="Z205" s="4"/>
      <c r="AA205" s="13"/>
      <c r="AB205" s="11"/>
      <c r="AC205" s="4"/>
      <c r="AD205" s="12"/>
      <c r="AE205" s="13"/>
      <c r="AF205" s="14">
        <v>5.0305</v>
      </c>
      <c r="AG205" s="133"/>
      <c r="AI205" s="84"/>
      <c r="AL205" s="64">
        <v>4.1733843833333344</v>
      </c>
      <c r="AM205" s="56">
        <v>13.640000000000009</v>
      </c>
      <c r="AN205" s="56">
        <v>15.520000000000071</v>
      </c>
      <c r="AO205" s="62">
        <v>21.579999999999981</v>
      </c>
      <c r="AQ205" s="64">
        <v>4.082336483333334</v>
      </c>
      <c r="AR205" s="56">
        <v>13.219999999999921</v>
      </c>
      <c r="AS205" s="56">
        <v>14.5999999999999</v>
      </c>
      <c r="AT205" s="62">
        <v>18.52</v>
      </c>
      <c r="AV205" s="64">
        <v>3.7288343833333339</v>
      </c>
      <c r="AW205" s="56">
        <v>12.88</v>
      </c>
      <c r="AX205" s="56">
        <v>14.25999999999998</v>
      </c>
      <c r="AY205" s="62">
        <v>18.87999999999996</v>
      </c>
      <c r="BA205" s="64">
        <v>3.187025633333334</v>
      </c>
      <c r="BB205" s="56">
        <v>15.71999999999996</v>
      </c>
      <c r="BC205" s="56">
        <v>18.14</v>
      </c>
      <c r="BD205" s="62">
        <v>29.919999999999991</v>
      </c>
      <c r="BF205" s="64">
        <v>2.9369597999999999</v>
      </c>
      <c r="BG205" s="56">
        <v>19.54000000000002</v>
      </c>
      <c r="BH205" s="56">
        <v>26.339999999999989</v>
      </c>
      <c r="BI205" s="62">
        <v>55.180000000000007</v>
      </c>
      <c r="BJ205" s="70"/>
      <c r="BK205" s="51"/>
    </row>
    <row r="206" spans="1:63" x14ac:dyDescent="0.4">
      <c r="A206" s="11" t="s">
        <v>285</v>
      </c>
      <c r="B206" s="4"/>
      <c r="C206" s="4"/>
      <c r="D206" s="4"/>
      <c r="E206" s="12"/>
      <c r="G206" s="147" t="s">
        <v>285</v>
      </c>
      <c r="H206" s="159">
        <v>70.012</v>
      </c>
      <c r="I206" s="153">
        <v>70.39</v>
      </c>
      <c r="J206" s="153">
        <v>70.33</v>
      </c>
      <c r="K206" s="153">
        <v>70.37</v>
      </c>
      <c r="L206" s="153">
        <v>70.349999999999994</v>
      </c>
      <c r="M206" s="80">
        <f t="shared" si="6"/>
        <v>70.39</v>
      </c>
      <c r="N206" s="80">
        <f t="shared" si="7"/>
        <v>70.33</v>
      </c>
      <c r="O206" s="153">
        <v>21.17</v>
      </c>
      <c r="P206" s="153">
        <v>21.15</v>
      </c>
      <c r="Q206" s="153">
        <v>21.13</v>
      </c>
      <c r="R206" s="153">
        <v>21.12</v>
      </c>
      <c r="S206" s="4"/>
      <c r="U206" s="147" t="s">
        <v>285</v>
      </c>
      <c r="V206" s="11"/>
      <c r="W206" s="4"/>
      <c r="X206" s="12"/>
      <c r="Y206" s="14"/>
      <c r="Z206" s="4"/>
      <c r="AA206" s="13"/>
      <c r="AB206" s="11"/>
      <c r="AC206" s="4"/>
      <c r="AD206" s="12"/>
      <c r="AE206" s="13"/>
      <c r="AF206" s="14">
        <v>5.0182000000000002</v>
      </c>
      <c r="AG206" s="133"/>
      <c r="AI206" s="84"/>
      <c r="AL206" s="64">
        <v>4.1727978000000006</v>
      </c>
      <c r="AM206" s="56">
        <v>13.56000000000002</v>
      </c>
      <c r="AN206" s="56">
        <v>15.479999999999981</v>
      </c>
      <c r="AO206" s="62">
        <v>21.539999999999889</v>
      </c>
      <c r="AQ206" s="64">
        <v>4.0820123499999994</v>
      </c>
      <c r="AR206" s="56">
        <v>13.219999999999921</v>
      </c>
      <c r="AS206" s="56">
        <v>14.57999999999995</v>
      </c>
      <c r="AT206" s="62">
        <v>18.559999999999999</v>
      </c>
      <c r="AV206" s="64">
        <v>3.7281308000000002</v>
      </c>
      <c r="AW206" s="56">
        <v>12.860000000000049</v>
      </c>
      <c r="AX206" s="56">
        <v>14.24000000000003</v>
      </c>
      <c r="AY206" s="62">
        <v>18.86000000000001</v>
      </c>
      <c r="BA206" s="64">
        <v>3.1877618000000001</v>
      </c>
      <c r="BB206" s="56">
        <v>15.78</v>
      </c>
      <c r="BC206" s="56">
        <v>18.219999999999992</v>
      </c>
      <c r="BD206" s="62">
        <v>30.07999999999997</v>
      </c>
      <c r="BF206" s="64">
        <v>2.9486810166666668</v>
      </c>
      <c r="BG206" s="56">
        <v>19.47999999999999</v>
      </c>
      <c r="BH206" s="56">
        <v>26.440000000000019</v>
      </c>
      <c r="BI206" s="62">
        <v>54.8</v>
      </c>
      <c r="BJ206" s="70"/>
      <c r="BK206" s="51"/>
    </row>
    <row r="207" spans="1:63" x14ac:dyDescent="0.4">
      <c r="A207" s="11" t="s">
        <v>286</v>
      </c>
      <c r="B207" s="4"/>
      <c r="C207" s="4"/>
      <c r="D207" s="4"/>
      <c r="E207" s="12"/>
      <c r="G207" s="147" t="s">
        <v>286</v>
      </c>
      <c r="H207" s="159">
        <v>70.084999999999994</v>
      </c>
      <c r="I207" s="153">
        <v>70.349999999999994</v>
      </c>
      <c r="J207" s="153">
        <v>70.36</v>
      </c>
      <c r="K207" s="153">
        <v>70.34</v>
      </c>
      <c r="L207" s="153">
        <v>70.31</v>
      </c>
      <c r="M207" s="80">
        <f t="shared" si="6"/>
        <v>70.36</v>
      </c>
      <c r="N207" s="80">
        <f t="shared" si="7"/>
        <v>70.31</v>
      </c>
      <c r="O207" s="153">
        <v>21.19</v>
      </c>
      <c r="P207" s="153">
        <v>21.15</v>
      </c>
      <c r="Q207" s="153">
        <v>21.13</v>
      </c>
      <c r="R207" s="153">
        <v>21.1</v>
      </c>
      <c r="S207" s="4"/>
      <c r="U207" s="147" t="s">
        <v>286</v>
      </c>
      <c r="V207" s="11"/>
      <c r="W207" s="4"/>
      <c r="X207" s="12"/>
      <c r="Y207" s="14"/>
      <c r="Z207" s="4"/>
      <c r="AA207" s="13"/>
      <c r="AB207" s="11"/>
      <c r="AC207" s="4"/>
      <c r="AD207" s="12"/>
      <c r="AE207" s="13"/>
      <c r="AF207" s="14">
        <v>5.0415000000000001</v>
      </c>
      <c r="AG207" s="133"/>
      <c r="AI207" s="84"/>
      <c r="AL207" s="64">
        <v>4.1721070833333336</v>
      </c>
      <c r="AM207" s="56">
        <v>13.68000000000009</v>
      </c>
      <c r="AN207" s="56">
        <v>15.62000000000001</v>
      </c>
      <c r="AO207" s="62">
        <v>21.640000000000011</v>
      </c>
      <c r="AQ207" s="64">
        <v>4.0834260333333328</v>
      </c>
      <c r="AR207" s="56">
        <v>13.57999999999997</v>
      </c>
      <c r="AS207" s="56">
        <v>14.979999999999899</v>
      </c>
      <c r="AT207" s="62">
        <v>18.98</v>
      </c>
      <c r="AV207" s="64">
        <v>3.7302992833333342</v>
      </c>
      <c r="AW207" s="56">
        <v>13.239999999999959</v>
      </c>
      <c r="AX207" s="56">
        <v>14.66000000000003</v>
      </c>
      <c r="AY207" s="62">
        <v>19.339999999999961</v>
      </c>
      <c r="BA207" s="64">
        <v>3.1861307000000001</v>
      </c>
      <c r="BB207" s="56">
        <v>16.359999999999971</v>
      </c>
      <c r="BC207" s="56">
        <v>18.820000000000011</v>
      </c>
      <c r="BD207" s="62">
        <v>30.81999999999994</v>
      </c>
      <c r="BF207" s="64">
        <v>2.941170483333333</v>
      </c>
      <c r="BG207" s="56">
        <v>20.12</v>
      </c>
      <c r="BH207" s="56">
        <v>27.099999999999991</v>
      </c>
      <c r="BI207" s="62">
        <v>56.12000000000004</v>
      </c>
      <c r="BJ207" s="70"/>
      <c r="BK207" s="51"/>
    </row>
    <row r="208" spans="1:63" x14ac:dyDescent="0.4">
      <c r="A208" s="11" t="s">
        <v>287</v>
      </c>
      <c r="B208" s="4"/>
      <c r="C208" s="4"/>
      <c r="D208" s="4"/>
      <c r="E208" s="12"/>
      <c r="G208" s="147" t="s">
        <v>287</v>
      </c>
      <c r="H208" s="159">
        <v>70.076999999999998</v>
      </c>
      <c r="I208" s="153">
        <v>70.349999999999994</v>
      </c>
      <c r="J208" s="153">
        <v>70.36</v>
      </c>
      <c r="K208" s="153">
        <v>70.349999999999994</v>
      </c>
      <c r="L208" s="153">
        <v>70.36</v>
      </c>
      <c r="M208" s="80">
        <f t="shared" si="6"/>
        <v>70.36</v>
      </c>
      <c r="N208" s="80">
        <f t="shared" si="7"/>
        <v>70.349999999999994</v>
      </c>
      <c r="O208" s="153">
        <v>21.16</v>
      </c>
      <c r="P208" s="153">
        <v>21.15</v>
      </c>
      <c r="Q208" s="153">
        <v>21.14</v>
      </c>
      <c r="R208" s="153">
        <v>21.1</v>
      </c>
      <c r="S208" s="4"/>
      <c r="U208" s="147" t="s">
        <v>287</v>
      </c>
      <c r="V208" s="11"/>
      <c r="W208" s="4"/>
      <c r="X208" s="12"/>
      <c r="Y208" s="14"/>
      <c r="Z208" s="4"/>
      <c r="AA208" s="13"/>
      <c r="AB208" s="11"/>
      <c r="AC208" s="4"/>
      <c r="AD208" s="12"/>
      <c r="AE208" s="13"/>
      <c r="AF208" s="14">
        <v>5.0408999999999997</v>
      </c>
      <c r="AG208" s="133"/>
      <c r="AI208" s="84"/>
      <c r="AL208" s="64">
        <v>4.1722877666666669</v>
      </c>
      <c r="AM208" s="56">
        <v>14.059999999999921</v>
      </c>
      <c r="AN208" s="56">
        <v>15.980000000000061</v>
      </c>
      <c r="AO208" s="62">
        <v>22.080000000000059</v>
      </c>
      <c r="AQ208" s="64">
        <v>4.0808789499999998</v>
      </c>
      <c r="AR208" s="56">
        <v>13.439999999999941</v>
      </c>
      <c r="AS208" s="56">
        <v>14.81999999999992</v>
      </c>
      <c r="AT208" s="62">
        <v>18.75999999999998</v>
      </c>
      <c r="AV208" s="64">
        <v>3.7286714500000002</v>
      </c>
      <c r="AW208" s="56">
        <v>13.03999999999998</v>
      </c>
      <c r="AX208" s="56">
        <v>14.41999999999997</v>
      </c>
      <c r="AY208" s="62">
        <v>18.98</v>
      </c>
      <c r="BA208" s="64">
        <v>3.1902606333333341</v>
      </c>
      <c r="BB208" s="56">
        <v>15.96000000000002</v>
      </c>
      <c r="BC208" s="56">
        <v>18.339999999999979</v>
      </c>
      <c r="BD208" s="62">
        <v>29.999999999999979</v>
      </c>
      <c r="BF208" s="64">
        <v>2.9491374166666668</v>
      </c>
      <c r="BG208" s="56">
        <v>19.80000000000004</v>
      </c>
      <c r="BH208" s="56">
        <v>26.98</v>
      </c>
      <c r="BI208" s="62">
        <v>55.879999999999967</v>
      </c>
      <c r="BJ208" s="70"/>
      <c r="BK208" s="51"/>
    </row>
    <row r="209" spans="1:63" x14ac:dyDescent="0.4">
      <c r="A209" s="11" t="s">
        <v>288</v>
      </c>
      <c r="B209" s="4"/>
      <c r="C209" s="4"/>
      <c r="D209" s="4"/>
      <c r="E209" s="12"/>
      <c r="G209" s="147" t="s">
        <v>288</v>
      </c>
      <c r="H209" s="159">
        <v>70.022999999999996</v>
      </c>
      <c r="I209" s="153">
        <v>70.349999999999994</v>
      </c>
      <c r="J209" s="153">
        <v>70.349999999999994</v>
      </c>
      <c r="K209" s="153">
        <v>70.33</v>
      </c>
      <c r="L209" s="153">
        <v>70.37</v>
      </c>
      <c r="M209" s="80">
        <f t="shared" si="6"/>
        <v>70.37</v>
      </c>
      <c r="N209" s="80">
        <f t="shared" si="7"/>
        <v>70.33</v>
      </c>
      <c r="O209" s="153">
        <v>21.2</v>
      </c>
      <c r="P209" s="153">
        <v>21.15</v>
      </c>
      <c r="Q209" s="153">
        <v>21.15</v>
      </c>
      <c r="R209" s="153">
        <v>21.13</v>
      </c>
      <c r="S209" s="4"/>
      <c r="U209" s="147" t="s">
        <v>288</v>
      </c>
      <c r="V209" s="11"/>
      <c r="W209" s="4"/>
      <c r="X209" s="12"/>
      <c r="Y209" s="14"/>
      <c r="Z209" s="4"/>
      <c r="AA209" s="13"/>
      <c r="AB209" s="11"/>
      <c r="AC209" s="4"/>
      <c r="AD209" s="12"/>
      <c r="AE209" s="13"/>
      <c r="AF209" s="14">
        <v>5.0407999999999999</v>
      </c>
      <c r="AG209" s="133"/>
      <c r="AI209" s="84"/>
      <c r="AL209" s="64">
        <v>4.172113416666666</v>
      </c>
      <c r="AM209" s="56">
        <v>14.08000000000005</v>
      </c>
      <c r="AN209" s="56">
        <v>15.980000000000061</v>
      </c>
      <c r="AO209" s="62">
        <v>22.040000000000148</v>
      </c>
      <c r="AQ209" s="64">
        <v>4.0806581833333331</v>
      </c>
      <c r="AR209" s="56">
        <v>13.419999999999989</v>
      </c>
      <c r="AS209" s="56">
        <v>14.799999999999971</v>
      </c>
      <c r="AT209" s="62">
        <v>18.74000000000002</v>
      </c>
      <c r="AV209" s="64">
        <v>3.7283792</v>
      </c>
      <c r="AW209" s="56">
        <v>13.02000000000003</v>
      </c>
      <c r="AX209" s="56">
        <v>14.380000000000059</v>
      </c>
      <c r="AY209" s="62">
        <v>18.96000000000004</v>
      </c>
      <c r="BA209" s="64">
        <v>3.189713816666667</v>
      </c>
      <c r="BB209" s="56">
        <v>16.019999999999971</v>
      </c>
      <c r="BC209" s="56">
        <v>18.41999999999997</v>
      </c>
      <c r="BD209" s="62">
        <v>30.159999999999961</v>
      </c>
      <c r="BF209" s="64">
        <v>2.9529774666666659</v>
      </c>
      <c r="BG209" s="56">
        <v>19.70000000000001</v>
      </c>
      <c r="BH209" s="56">
        <v>26.900000000000009</v>
      </c>
      <c r="BI209" s="62">
        <v>55.52000000000001</v>
      </c>
      <c r="BJ209" s="70"/>
      <c r="BK209" s="51"/>
    </row>
    <row r="210" spans="1:63" x14ac:dyDescent="0.4">
      <c r="A210" s="11" t="s">
        <v>289</v>
      </c>
      <c r="B210" s="4"/>
      <c r="C210" s="4"/>
      <c r="D210" s="4"/>
      <c r="E210" s="12"/>
      <c r="G210" s="147" t="s">
        <v>289</v>
      </c>
      <c r="H210" s="159">
        <v>70.004999999999995</v>
      </c>
      <c r="I210" s="153">
        <v>70.34</v>
      </c>
      <c r="J210" s="153">
        <v>70.39</v>
      </c>
      <c r="K210" s="153">
        <v>70.37</v>
      </c>
      <c r="L210" s="153">
        <v>70.34</v>
      </c>
      <c r="M210" s="80">
        <f t="shared" si="6"/>
        <v>70.39</v>
      </c>
      <c r="N210" s="80">
        <f t="shared" si="7"/>
        <v>70.34</v>
      </c>
      <c r="O210" s="153">
        <v>21.19</v>
      </c>
      <c r="P210" s="153">
        <v>21.15</v>
      </c>
      <c r="Q210" s="153">
        <v>21.13</v>
      </c>
      <c r="R210" s="153">
        <v>21.1</v>
      </c>
      <c r="S210" s="4"/>
      <c r="U210" s="147" t="s">
        <v>289</v>
      </c>
      <c r="V210" s="11"/>
      <c r="W210" s="4"/>
      <c r="X210" s="12"/>
      <c r="Y210" s="14"/>
      <c r="Z210" s="4"/>
      <c r="AA210" s="13"/>
      <c r="AB210" s="11"/>
      <c r="AC210" s="4"/>
      <c r="AD210" s="12"/>
      <c r="AE210" s="13"/>
      <c r="AF210" s="14">
        <v>5.0401999999999996</v>
      </c>
      <c r="AG210" s="133"/>
      <c r="AI210" s="84"/>
      <c r="AL210" s="64">
        <v>4.1724187000000006</v>
      </c>
      <c r="AM210" s="56">
        <v>14.02000000000001</v>
      </c>
      <c r="AN210" s="56">
        <v>15.939999999999969</v>
      </c>
      <c r="AO210" s="62">
        <v>21.99999999999989</v>
      </c>
      <c r="AQ210" s="64">
        <v>4.0807535333333327</v>
      </c>
      <c r="AR210" s="56">
        <v>13.419999999999989</v>
      </c>
      <c r="AS210" s="56">
        <v>14.799999999999971</v>
      </c>
      <c r="AT210" s="62">
        <v>18.719999999999981</v>
      </c>
      <c r="AV210" s="64">
        <v>3.7283739833333329</v>
      </c>
      <c r="AW210" s="56">
        <v>13.03999999999998</v>
      </c>
      <c r="AX210" s="56">
        <v>14.41999999999997</v>
      </c>
      <c r="AY210" s="62">
        <v>18.99999999999995</v>
      </c>
      <c r="BA210" s="64">
        <v>3.18897925</v>
      </c>
      <c r="BB210" s="56">
        <v>15.859999999999991</v>
      </c>
      <c r="BC210" s="56">
        <v>18.24000000000003</v>
      </c>
      <c r="BD210" s="62">
        <v>29.95999999999999</v>
      </c>
      <c r="BF210" s="64">
        <v>2.9494854666666672</v>
      </c>
      <c r="BG210" s="56">
        <v>19.620000000000019</v>
      </c>
      <c r="BH210" s="56">
        <v>26.760000000000069</v>
      </c>
      <c r="BI210" s="62">
        <v>55.580000000000062</v>
      </c>
      <c r="BJ210" s="70"/>
      <c r="BK210" s="51"/>
    </row>
    <row r="211" spans="1:63" x14ac:dyDescent="0.4">
      <c r="A211" s="11" t="s">
        <v>290</v>
      </c>
      <c r="B211" s="4"/>
      <c r="C211" s="4"/>
      <c r="D211" s="4"/>
      <c r="E211" s="12"/>
      <c r="G211" s="147" t="s">
        <v>290</v>
      </c>
      <c r="H211" s="159">
        <v>69.981999999999999</v>
      </c>
      <c r="I211" s="153">
        <v>70.34</v>
      </c>
      <c r="J211" s="153">
        <v>70.37</v>
      </c>
      <c r="K211" s="153">
        <v>70.34</v>
      </c>
      <c r="L211" s="153">
        <v>70.39</v>
      </c>
      <c r="M211" s="80">
        <f t="shared" si="6"/>
        <v>70.39</v>
      </c>
      <c r="N211" s="80">
        <f t="shared" si="7"/>
        <v>70.34</v>
      </c>
      <c r="O211" s="153">
        <v>21.18</v>
      </c>
      <c r="P211" s="153">
        <v>21.16</v>
      </c>
      <c r="Q211" s="153">
        <v>21.11</v>
      </c>
      <c r="R211" s="153">
        <v>21.1</v>
      </c>
      <c r="S211" s="4"/>
      <c r="U211" s="147" t="s">
        <v>290</v>
      </c>
      <c r="V211" s="11"/>
      <c r="W211" s="4"/>
      <c r="X211" s="12"/>
      <c r="Y211" s="14"/>
      <c r="Z211" s="4"/>
      <c r="AA211" s="13"/>
      <c r="AB211" s="11"/>
      <c r="AC211" s="4"/>
      <c r="AD211" s="12"/>
      <c r="AE211" s="13"/>
      <c r="AF211" s="14">
        <v>5.0012999999999996</v>
      </c>
      <c r="AG211" s="133"/>
      <c r="AI211" s="84"/>
      <c r="AL211" s="64">
        <v>4.17216085</v>
      </c>
      <c r="AM211" s="56">
        <v>14.02000000000001</v>
      </c>
      <c r="AN211" s="56">
        <v>15.940000000000159</v>
      </c>
      <c r="AO211" s="62">
        <v>22.040000000000148</v>
      </c>
      <c r="AQ211" s="64">
        <v>4.0813408333333339</v>
      </c>
      <c r="AR211" s="56">
        <v>13.56000000000002</v>
      </c>
      <c r="AS211" s="56">
        <v>14.960000000000131</v>
      </c>
      <c r="AT211" s="62">
        <v>18.920000000000051</v>
      </c>
      <c r="AV211" s="64">
        <v>3.7288160499999998</v>
      </c>
      <c r="AW211" s="56">
        <v>13.26000000000001</v>
      </c>
      <c r="AX211" s="56">
        <v>14.65999999999994</v>
      </c>
      <c r="AY211" s="62">
        <v>19.280000000000008</v>
      </c>
      <c r="BA211" s="64">
        <v>3.189779716666667</v>
      </c>
      <c r="BB211" s="56">
        <v>16.359999999999971</v>
      </c>
      <c r="BC211" s="56">
        <v>18.799999999999969</v>
      </c>
      <c r="BD211" s="62">
        <v>30.65999999999995</v>
      </c>
      <c r="BF211" s="64">
        <v>2.9512802333333341</v>
      </c>
      <c r="BG211" s="56">
        <v>20.139999999999961</v>
      </c>
      <c r="BH211" s="56">
        <v>27.4</v>
      </c>
      <c r="BI211" s="62">
        <v>56.320000000000007</v>
      </c>
      <c r="BJ211" s="70"/>
      <c r="BK211" s="51"/>
    </row>
    <row r="212" spans="1:63" x14ac:dyDescent="0.4">
      <c r="A212" s="11" t="s">
        <v>291</v>
      </c>
      <c r="B212" s="4"/>
      <c r="C212" s="4"/>
      <c r="D212" s="4"/>
      <c r="E212" s="12"/>
      <c r="G212" s="147" t="s">
        <v>291</v>
      </c>
      <c r="H212" s="159">
        <v>70.141000000000005</v>
      </c>
      <c r="I212" s="153">
        <v>70.33</v>
      </c>
      <c r="J212" s="153">
        <v>70.3</v>
      </c>
      <c r="K212" s="153">
        <v>70.31</v>
      </c>
      <c r="L212" s="153">
        <v>70.319999999999993</v>
      </c>
      <c r="M212" s="80">
        <f t="shared" si="6"/>
        <v>70.33</v>
      </c>
      <c r="N212" s="80">
        <f t="shared" si="7"/>
        <v>70.3</v>
      </c>
      <c r="O212" s="153">
        <v>21.19</v>
      </c>
      <c r="P212" s="153">
        <v>21.18</v>
      </c>
      <c r="Q212" s="153">
        <v>21.09</v>
      </c>
      <c r="R212" s="153">
        <v>21.08</v>
      </c>
      <c r="S212" s="4"/>
      <c r="U212" s="147" t="s">
        <v>291</v>
      </c>
      <c r="V212" s="11"/>
      <c r="W212" s="4"/>
      <c r="X212" s="12"/>
      <c r="Y212" s="14"/>
      <c r="Z212" s="4"/>
      <c r="AA212" s="13"/>
      <c r="AB212" s="11"/>
      <c r="AC212" s="4"/>
      <c r="AD212" s="12"/>
      <c r="AE212" s="13"/>
      <c r="AF212" s="14">
        <v>5.0434999999999999</v>
      </c>
      <c r="AG212" s="133"/>
      <c r="AI212" s="84"/>
      <c r="AL212" s="64">
        <v>4.1725762499999997</v>
      </c>
      <c r="AM212" s="56">
        <v>14.98000000000008</v>
      </c>
      <c r="AN212" s="56">
        <v>17.040000000000081</v>
      </c>
      <c r="AO212" s="62">
        <v>23.30000000000005</v>
      </c>
      <c r="AQ212" s="64">
        <v>4.0825218833333334</v>
      </c>
      <c r="AR212" s="56">
        <v>14.63999999999999</v>
      </c>
      <c r="AS212" s="56">
        <v>16.16</v>
      </c>
      <c r="AT212" s="62">
        <v>20.320000000000071</v>
      </c>
      <c r="AV212" s="64">
        <v>3.7288137666666672</v>
      </c>
      <c r="AW212" s="56">
        <v>14.23999999999994</v>
      </c>
      <c r="AX212" s="56">
        <v>15.75999999999995</v>
      </c>
      <c r="AY212" s="62">
        <v>20.659999999999989</v>
      </c>
      <c r="BA212" s="64">
        <v>3.1791815666666658</v>
      </c>
      <c r="BB212" s="56">
        <v>17.11999999999998</v>
      </c>
      <c r="BC212" s="56">
        <v>19.71999999999996</v>
      </c>
      <c r="BD212" s="62">
        <v>32.120000000000019</v>
      </c>
      <c r="BF212" s="64">
        <v>2.9278244166666658</v>
      </c>
      <c r="BG212" s="56">
        <v>20.96</v>
      </c>
      <c r="BH212" s="56">
        <v>27.799999999999962</v>
      </c>
      <c r="BI212" s="62">
        <v>57.599999999999973</v>
      </c>
      <c r="BJ212" s="70"/>
      <c r="BK212" s="51"/>
    </row>
    <row r="213" spans="1:63" x14ac:dyDescent="0.4">
      <c r="A213" s="11" t="s">
        <v>292</v>
      </c>
      <c r="B213" s="4"/>
      <c r="C213" s="4"/>
      <c r="D213" s="4"/>
      <c r="E213" s="12"/>
      <c r="G213" s="147" t="s">
        <v>292</v>
      </c>
      <c r="H213" s="159">
        <v>69.998000000000005</v>
      </c>
      <c r="I213" s="153">
        <v>70.3</v>
      </c>
      <c r="J213" s="153">
        <v>70.28</v>
      </c>
      <c r="K213" s="153">
        <v>70.31</v>
      </c>
      <c r="L213" s="153">
        <v>70.3</v>
      </c>
      <c r="M213" s="80">
        <f t="shared" si="6"/>
        <v>70.31</v>
      </c>
      <c r="N213" s="80">
        <f t="shared" si="7"/>
        <v>70.28</v>
      </c>
      <c r="O213" s="153">
        <v>21.17</v>
      </c>
      <c r="P213" s="153">
        <v>21.16</v>
      </c>
      <c r="Q213" s="153">
        <v>21.11</v>
      </c>
      <c r="R213" s="153">
        <v>21.1</v>
      </c>
      <c r="S213" s="4"/>
      <c r="U213" s="147" t="s">
        <v>292</v>
      </c>
      <c r="V213" s="11"/>
      <c r="W213" s="4"/>
      <c r="X213" s="12"/>
      <c r="Y213" s="14"/>
      <c r="Z213" s="4"/>
      <c r="AA213" s="13"/>
      <c r="AB213" s="11"/>
      <c r="AC213" s="4"/>
      <c r="AD213" s="12"/>
      <c r="AE213" s="13"/>
      <c r="AF213" s="14">
        <v>5.0174000000000003</v>
      </c>
      <c r="AG213" s="133"/>
      <c r="AI213" s="84"/>
      <c r="AL213" s="64">
        <v>4.1728425500000004</v>
      </c>
      <c r="AM213" s="56">
        <v>13.459999999999891</v>
      </c>
      <c r="AN213" s="56">
        <v>15.359999999999911</v>
      </c>
      <c r="AO213" s="62">
        <v>21.39999999999986</v>
      </c>
      <c r="AQ213" s="64">
        <v>4.0817774500000006</v>
      </c>
      <c r="AR213" s="56">
        <v>13.100000000000019</v>
      </c>
      <c r="AS213" s="56">
        <v>14.48</v>
      </c>
      <c r="AT213" s="62">
        <v>18.400000000000109</v>
      </c>
      <c r="AV213" s="64">
        <v>3.7280486333333331</v>
      </c>
      <c r="AW213" s="56">
        <v>12.72000000000002</v>
      </c>
      <c r="AX213" s="56">
        <v>14.1</v>
      </c>
      <c r="AY213" s="62">
        <v>18.679999999999989</v>
      </c>
      <c r="BA213" s="64">
        <v>3.1908424000000002</v>
      </c>
      <c r="BB213" s="56">
        <v>15.51999999999998</v>
      </c>
      <c r="BC213" s="56">
        <v>17.91999999999998</v>
      </c>
      <c r="BD213" s="62">
        <v>29.560000000000031</v>
      </c>
      <c r="BF213" s="64">
        <v>2.946575300000001</v>
      </c>
      <c r="BG213" s="56">
        <v>19.339999999999961</v>
      </c>
      <c r="BH213" s="56">
        <v>26.159999999999961</v>
      </c>
      <c r="BI213" s="62">
        <v>54.359999999999957</v>
      </c>
      <c r="BJ213" s="70"/>
      <c r="BK213" s="51"/>
    </row>
    <row r="214" spans="1:63" x14ac:dyDescent="0.4">
      <c r="A214" s="11" t="s">
        <v>293</v>
      </c>
      <c r="B214" s="4"/>
      <c r="C214" s="4"/>
      <c r="D214" s="4"/>
      <c r="E214" s="12"/>
      <c r="G214" s="147" t="s">
        <v>293</v>
      </c>
      <c r="H214" s="159">
        <v>70.143000000000001</v>
      </c>
      <c r="I214" s="153">
        <v>70.37</v>
      </c>
      <c r="J214" s="153">
        <v>70.33</v>
      </c>
      <c r="K214" s="153">
        <v>70.38</v>
      </c>
      <c r="L214" s="153">
        <v>70.349999999999994</v>
      </c>
      <c r="M214" s="80">
        <f t="shared" si="6"/>
        <v>70.38</v>
      </c>
      <c r="N214" s="80">
        <f t="shared" si="7"/>
        <v>70.33</v>
      </c>
      <c r="O214" s="153">
        <v>21.18</v>
      </c>
      <c r="P214" s="153">
        <v>21.16</v>
      </c>
      <c r="Q214" s="153">
        <v>21.14</v>
      </c>
      <c r="R214" s="153">
        <v>21.12</v>
      </c>
      <c r="S214" s="4"/>
      <c r="U214" s="147" t="s">
        <v>293</v>
      </c>
      <c r="V214" s="11"/>
      <c r="W214" s="4"/>
      <c r="X214" s="12"/>
      <c r="Y214" s="14"/>
      <c r="Z214" s="4"/>
      <c r="AA214" s="13"/>
      <c r="AB214" s="11"/>
      <c r="AC214" s="4"/>
      <c r="AD214" s="12"/>
      <c r="AE214" s="13"/>
      <c r="AF214" s="14">
        <v>5.0212000000000003</v>
      </c>
      <c r="AG214" s="133"/>
      <c r="AI214" s="84"/>
      <c r="AL214" s="64">
        <v>4.1724621666666666</v>
      </c>
      <c r="AM214" s="56">
        <v>15.32</v>
      </c>
      <c r="AN214" s="56">
        <v>17.339999999999911</v>
      </c>
      <c r="AO214" s="62">
        <v>23.540000000000031</v>
      </c>
      <c r="AQ214" s="64">
        <v>4.0811097500000004</v>
      </c>
      <c r="AR214" s="56">
        <v>14.680000000000071</v>
      </c>
      <c r="AS214" s="56">
        <v>16.17999999999995</v>
      </c>
      <c r="AT214" s="62">
        <v>20.38000000000002</v>
      </c>
      <c r="AV214" s="64">
        <v>3.7270689166666671</v>
      </c>
      <c r="AW214" s="56">
        <v>14.179999999999991</v>
      </c>
      <c r="AX214" s="56">
        <v>15.680000000000049</v>
      </c>
      <c r="AY214" s="62">
        <v>20.560000000000041</v>
      </c>
      <c r="BA214" s="64">
        <v>3.182174649999999</v>
      </c>
      <c r="BB214" s="56">
        <v>16.819999999999968</v>
      </c>
      <c r="BC214" s="56">
        <v>19.36</v>
      </c>
      <c r="BD214" s="62">
        <v>31.579999999999941</v>
      </c>
      <c r="BF214" s="64">
        <v>2.938847766666667</v>
      </c>
      <c r="BG214" s="56">
        <v>20.58</v>
      </c>
      <c r="BH214" s="56">
        <v>27.82</v>
      </c>
      <c r="BI214" s="62">
        <v>56.97999999999999</v>
      </c>
      <c r="BJ214" s="70"/>
      <c r="BK214" s="51"/>
    </row>
    <row r="215" spans="1:63" x14ac:dyDescent="0.4">
      <c r="A215" s="11" t="s">
        <v>294</v>
      </c>
      <c r="B215" s="4"/>
      <c r="C215" s="4"/>
      <c r="D215" s="4"/>
      <c r="E215" s="12"/>
      <c r="G215" s="147" t="s">
        <v>294</v>
      </c>
      <c r="H215" s="159">
        <v>70.013000000000005</v>
      </c>
      <c r="I215" s="153">
        <v>70.34</v>
      </c>
      <c r="J215" s="153">
        <v>70.39</v>
      </c>
      <c r="K215" s="153">
        <v>70.31</v>
      </c>
      <c r="L215" s="153">
        <v>70.319999999999993</v>
      </c>
      <c r="M215" s="80">
        <f t="shared" si="6"/>
        <v>70.39</v>
      </c>
      <c r="N215" s="80">
        <f t="shared" si="7"/>
        <v>70.31</v>
      </c>
      <c r="O215" s="153">
        <v>21.2</v>
      </c>
      <c r="P215" s="153">
        <v>21.16</v>
      </c>
      <c r="Q215" s="153">
        <v>21.17</v>
      </c>
      <c r="R215" s="153">
        <v>21.12</v>
      </c>
      <c r="S215" s="4"/>
      <c r="U215" s="147" t="s">
        <v>294</v>
      </c>
      <c r="V215" s="11"/>
      <c r="W215" s="4"/>
      <c r="X215" s="12"/>
      <c r="Y215" s="14"/>
      <c r="Z215" s="4"/>
      <c r="AA215" s="13"/>
      <c r="AB215" s="11"/>
      <c r="AC215" s="4"/>
      <c r="AD215" s="12"/>
      <c r="AE215" s="13"/>
      <c r="AF215" s="14">
        <v>5.0342000000000002</v>
      </c>
      <c r="AG215" s="133"/>
      <c r="AI215" s="84"/>
      <c r="AL215" s="64">
        <v>4.1730040333333331</v>
      </c>
      <c r="AM215" s="56">
        <v>15.000000000000041</v>
      </c>
      <c r="AN215" s="56">
        <v>16.999999999999989</v>
      </c>
      <c r="AO215" s="62">
        <v>23.179999999999978</v>
      </c>
      <c r="AQ215" s="64">
        <v>4.0813236833333333</v>
      </c>
      <c r="AR215" s="56">
        <v>14.1</v>
      </c>
      <c r="AS215" s="56">
        <v>15.56000000000015</v>
      </c>
      <c r="AT215" s="62">
        <v>19.6600000000001</v>
      </c>
      <c r="AV215" s="64">
        <v>3.729103799999999</v>
      </c>
      <c r="AW215" s="56">
        <v>13.78000000000004</v>
      </c>
      <c r="AX215" s="56">
        <v>15.26000000000005</v>
      </c>
      <c r="AY215" s="62">
        <v>20.04000000000001</v>
      </c>
      <c r="BA215" s="64">
        <v>3.1880917833333329</v>
      </c>
      <c r="BB215" s="56">
        <v>17.160000000000061</v>
      </c>
      <c r="BC215" s="56">
        <v>19.720000000000049</v>
      </c>
      <c r="BD215" s="62">
        <v>31.80000000000005</v>
      </c>
      <c r="BF215" s="64">
        <v>2.9420066666666669</v>
      </c>
      <c r="BG215" s="56">
        <v>21.13999999999994</v>
      </c>
      <c r="BH215" s="56">
        <v>28.299999999999951</v>
      </c>
      <c r="BI215" s="62">
        <v>57.479999999999983</v>
      </c>
      <c r="BJ215" s="70"/>
      <c r="BK215" s="51"/>
    </row>
    <row r="216" spans="1:63" x14ac:dyDescent="0.4">
      <c r="A216" s="11" t="s">
        <v>295</v>
      </c>
      <c r="B216" s="4"/>
      <c r="C216" s="4"/>
      <c r="D216" s="4"/>
      <c r="E216" s="12"/>
      <c r="G216" s="147" t="s">
        <v>295</v>
      </c>
      <c r="H216" s="159">
        <v>70.197000000000003</v>
      </c>
      <c r="I216" s="153">
        <v>70.38</v>
      </c>
      <c r="J216" s="153">
        <v>70.41</v>
      </c>
      <c r="K216" s="153">
        <v>70.38</v>
      </c>
      <c r="L216" s="153">
        <v>70.34</v>
      </c>
      <c r="M216" s="80">
        <f t="shared" si="6"/>
        <v>70.41</v>
      </c>
      <c r="N216" s="80">
        <f t="shared" si="7"/>
        <v>70.34</v>
      </c>
      <c r="O216" s="153">
        <v>21.19</v>
      </c>
      <c r="P216" s="153">
        <v>21.17</v>
      </c>
      <c r="Q216" s="153">
        <v>21.11</v>
      </c>
      <c r="R216" s="153">
        <v>21.1</v>
      </c>
      <c r="S216" s="4"/>
      <c r="U216" s="147" t="s">
        <v>295</v>
      </c>
      <c r="V216" s="11"/>
      <c r="W216" s="4"/>
      <c r="X216" s="12"/>
      <c r="Y216" s="14"/>
      <c r="Z216" s="4"/>
      <c r="AA216" s="13"/>
      <c r="AB216" s="11"/>
      <c r="AC216" s="4"/>
      <c r="AD216" s="12"/>
      <c r="AE216" s="13"/>
      <c r="AF216" s="14">
        <v>5.0364000000000004</v>
      </c>
      <c r="AG216" s="133"/>
      <c r="AI216" s="84"/>
      <c r="AL216" s="64">
        <v>4.1734172333333337</v>
      </c>
      <c r="AM216" s="56">
        <v>13.76000000000008</v>
      </c>
      <c r="AN216" s="56">
        <v>15.6600000000001</v>
      </c>
      <c r="AO216" s="62">
        <v>21.72000000000001</v>
      </c>
      <c r="AQ216" s="64">
        <v>4.0815208333333333</v>
      </c>
      <c r="AR216" s="56">
        <v>13.219999999999921</v>
      </c>
      <c r="AS216" s="56">
        <v>14.5999999999999</v>
      </c>
      <c r="AT216" s="62">
        <v>18.559999999999999</v>
      </c>
      <c r="AV216" s="64">
        <v>3.7276827666666659</v>
      </c>
      <c r="AW216" s="56">
        <v>12.83999999999992</v>
      </c>
      <c r="AX216" s="56">
        <v>14.21999999999999</v>
      </c>
      <c r="AY216" s="62">
        <v>18.839999999999971</v>
      </c>
      <c r="BA216" s="64">
        <v>3.18724585</v>
      </c>
      <c r="BB216" s="56">
        <v>15.71999999999996</v>
      </c>
      <c r="BC216" s="56">
        <v>18.15999999999995</v>
      </c>
      <c r="BD216" s="62">
        <v>29.95999999999999</v>
      </c>
      <c r="BF216" s="64">
        <v>2.9436190166666658</v>
      </c>
      <c r="BG216" s="56">
        <v>19.36</v>
      </c>
      <c r="BH216" s="56">
        <v>26.259999999999991</v>
      </c>
      <c r="BI216" s="62">
        <v>54.519999999999953</v>
      </c>
      <c r="BJ216" s="70"/>
      <c r="BK216" s="51"/>
    </row>
    <row r="217" spans="1:63" x14ac:dyDescent="0.4">
      <c r="A217" s="11" t="s">
        <v>296</v>
      </c>
      <c r="B217" s="4"/>
      <c r="C217" s="4"/>
      <c r="D217" s="4"/>
      <c r="E217" s="12"/>
      <c r="G217" s="147" t="s">
        <v>296</v>
      </c>
      <c r="H217" s="159">
        <v>70.064999999999998</v>
      </c>
      <c r="I217" s="153">
        <v>70.39</v>
      </c>
      <c r="J217" s="153">
        <v>70.36</v>
      </c>
      <c r="K217" s="153">
        <v>70.39</v>
      </c>
      <c r="L217" s="153">
        <v>70.39</v>
      </c>
      <c r="M217" s="80">
        <f t="shared" si="6"/>
        <v>70.39</v>
      </c>
      <c r="N217" s="80">
        <f t="shared" si="7"/>
        <v>70.36</v>
      </c>
      <c r="O217" s="153">
        <v>21.19</v>
      </c>
      <c r="P217" s="153">
        <v>21.16</v>
      </c>
      <c r="Q217" s="153">
        <v>21.17</v>
      </c>
      <c r="R217" s="153">
        <v>21.15</v>
      </c>
      <c r="S217" s="4"/>
      <c r="U217" s="147" t="s">
        <v>296</v>
      </c>
      <c r="V217" s="11"/>
      <c r="W217" s="4"/>
      <c r="X217" s="12"/>
      <c r="Y217" s="14"/>
      <c r="Z217" s="4"/>
      <c r="AA217" s="13"/>
      <c r="AB217" s="11"/>
      <c r="AC217" s="4"/>
      <c r="AD217" s="12"/>
      <c r="AE217" s="13"/>
      <c r="AF217" s="14">
        <v>5.0377999999999998</v>
      </c>
      <c r="AG217" s="133"/>
      <c r="AI217" s="84"/>
      <c r="AL217" s="64">
        <v>4.172964883333333</v>
      </c>
      <c r="AM217" s="56">
        <v>13.700000000000051</v>
      </c>
      <c r="AN217" s="56">
        <v>15.60000000000006</v>
      </c>
      <c r="AO217" s="62">
        <v>21.620000000000061</v>
      </c>
      <c r="AQ217" s="64">
        <v>4.0817835999999996</v>
      </c>
      <c r="AR217" s="56">
        <v>13.2200000000001</v>
      </c>
      <c r="AS217" s="56">
        <v>14.60000000000008</v>
      </c>
      <c r="AT217" s="62">
        <v>18.560000000000091</v>
      </c>
      <c r="AV217" s="64">
        <v>3.7289851500000002</v>
      </c>
      <c r="AW217" s="56">
        <v>12.840000000000011</v>
      </c>
      <c r="AX217" s="56">
        <v>14.24000000000003</v>
      </c>
      <c r="AY217" s="62">
        <v>18.84000000000006</v>
      </c>
      <c r="BA217" s="64">
        <v>3.1898615499999998</v>
      </c>
      <c r="BB217" s="56">
        <v>15.72000000000005</v>
      </c>
      <c r="BC217" s="56">
        <v>18.100000000000001</v>
      </c>
      <c r="BD217" s="62">
        <v>29.72000000000001</v>
      </c>
      <c r="BF217" s="64">
        <v>2.9415488500000002</v>
      </c>
      <c r="BG217" s="56">
        <v>19.36</v>
      </c>
      <c r="BH217" s="56">
        <v>26.159999999999961</v>
      </c>
      <c r="BI217" s="62">
        <v>54.399999999999963</v>
      </c>
      <c r="BJ217" s="70"/>
      <c r="BK217" s="51"/>
    </row>
    <row r="218" spans="1:63" x14ac:dyDescent="0.4">
      <c r="A218" s="11" t="s">
        <v>297</v>
      </c>
      <c r="B218" s="4"/>
      <c r="C218" s="4"/>
      <c r="D218" s="4"/>
      <c r="E218" s="12"/>
      <c r="G218" s="147" t="s">
        <v>297</v>
      </c>
      <c r="H218" s="159">
        <v>70.025000000000006</v>
      </c>
      <c r="I218" s="153">
        <v>70.31</v>
      </c>
      <c r="J218" s="153">
        <v>70.36</v>
      </c>
      <c r="K218" s="153">
        <v>70.34</v>
      </c>
      <c r="L218" s="153">
        <v>70.36</v>
      </c>
      <c r="M218" s="80">
        <f t="shared" si="6"/>
        <v>70.36</v>
      </c>
      <c r="N218" s="80">
        <f t="shared" si="7"/>
        <v>70.31</v>
      </c>
      <c r="O218" s="153">
        <v>21.17</v>
      </c>
      <c r="P218" s="153">
        <v>21.15</v>
      </c>
      <c r="Q218" s="153">
        <v>21.13</v>
      </c>
      <c r="R218" s="153">
        <v>21.1</v>
      </c>
      <c r="S218" s="4"/>
      <c r="U218" s="147" t="s">
        <v>297</v>
      </c>
      <c r="V218" s="11"/>
      <c r="W218" s="4"/>
      <c r="X218" s="12"/>
      <c r="Y218" s="14"/>
      <c r="Z218" s="4"/>
      <c r="AA218" s="13"/>
      <c r="AB218" s="11"/>
      <c r="AC218" s="4"/>
      <c r="AD218" s="12"/>
      <c r="AE218" s="13"/>
      <c r="AF218" s="14">
        <v>5.0446999999999997</v>
      </c>
      <c r="AG218" s="133"/>
      <c r="AI218" s="84"/>
      <c r="AL218" s="64">
        <v>4.1731168666666667</v>
      </c>
      <c r="AM218" s="56">
        <v>13.78000000000004</v>
      </c>
      <c r="AN218" s="56">
        <v>15.7</v>
      </c>
      <c r="AO218" s="62">
        <v>21.78000000000004</v>
      </c>
      <c r="AQ218" s="64">
        <v>4.0826185666666666</v>
      </c>
      <c r="AR218" s="56">
        <v>13.34</v>
      </c>
      <c r="AS218" s="56">
        <v>14.719999999999979</v>
      </c>
      <c r="AT218" s="62">
        <v>18.660000000000029</v>
      </c>
      <c r="AV218" s="64">
        <v>3.7300024000000001</v>
      </c>
      <c r="AW218" s="56">
        <v>12.94000000000004</v>
      </c>
      <c r="AX218" s="56">
        <v>14.30000000000007</v>
      </c>
      <c r="AY218" s="62">
        <v>18.880000000000049</v>
      </c>
      <c r="BA218" s="64">
        <v>3.1902458999999999</v>
      </c>
      <c r="BB218" s="56">
        <v>15.920000000000019</v>
      </c>
      <c r="BC218" s="56">
        <v>18.320000000000029</v>
      </c>
      <c r="BD218" s="62">
        <v>30.06000000000002</v>
      </c>
      <c r="BF218" s="64">
        <v>2.9487640499999999</v>
      </c>
      <c r="BG218" s="56">
        <v>19.720000000000049</v>
      </c>
      <c r="BH218" s="56">
        <v>26.900000000000009</v>
      </c>
      <c r="BI218" s="62">
        <v>55.879999999999967</v>
      </c>
      <c r="BJ218" s="70"/>
      <c r="BK218" s="51"/>
    </row>
    <row r="219" spans="1:63" x14ac:dyDescent="0.4">
      <c r="A219" s="11" t="s">
        <v>298</v>
      </c>
      <c r="B219" s="4"/>
      <c r="C219" s="4"/>
      <c r="E219" s="12"/>
      <c r="G219" s="147" t="s">
        <v>298</v>
      </c>
      <c r="H219" s="159">
        <v>70.069999999999993</v>
      </c>
      <c r="I219" s="153">
        <v>70.400000000000006</v>
      </c>
      <c r="J219" s="153">
        <v>70.39</v>
      </c>
      <c r="K219" s="153">
        <v>70.38</v>
      </c>
      <c r="L219" s="153">
        <v>70.34</v>
      </c>
      <c r="M219" s="80">
        <f t="shared" si="6"/>
        <v>70.400000000000006</v>
      </c>
      <c r="N219" s="80">
        <f t="shared" si="7"/>
        <v>70.34</v>
      </c>
      <c r="O219" s="153">
        <v>21.16</v>
      </c>
      <c r="P219" s="153">
        <v>21.14</v>
      </c>
      <c r="Q219" s="153">
        <v>21.15</v>
      </c>
      <c r="R219" s="153">
        <v>21.12</v>
      </c>
      <c r="S219" s="4"/>
      <c r="U219" s="147" t="s">
        <v>298</v>
      </c>
      <c r="V219" s="11"/>
      <c r="W219" s="4"/>
      <c r="X219" s="12"/>
      <c r="Y219" s="14"/>
      <c r="Z219" s="4"/>
      <c r="AA219" s="13"/>
      <c r="AB219" s="11"/>
      <c r="AC219" s="4"/>
      <c r="AD219" s="12"/>
      <c r="AE219" s="13"/>
      <c r="AF219" s="14">
        <v>5.0407999999999999</v>
      </c>
      <c r="AG219" s="133"/>
      <c r="AI219" s="84"/>
      <c r="AL219" s="64">
        <v>4.1724614000000004</v>
      </c>
      <c r="AM219" s="56">
        <v>14.03999999999996</v>
      </c>
      <c r="AN219" s="56">
        <v>15.95999999999993</v>
      </c>
      <c r="AO219" s="62">
        <v>22.059999999999921</v>
      </c>
      <c r="AQ219" s="64">
        <v>4.0810102166666677</v>
      </c>
      <c r="AR219" s="56">
        <v>13.52000000000011</v>
      </c>
      <c r="AS219" s="56">
        <v>14.920000000000041</v>
      </c>
      <c r="AT219" s="62">
        <v>18.880000000000049</v>
      </c>
      <c r="AV219" s="64">
        <v>3.728881700000001</v>
      </c>
      <c r="AW219" s="56">
        <v>13.18000000000001</v>
      </c>
      <c r="AX219" s="56">
        <v>14.57999999999995</v>
      </c>
      <c r="AY219" s="62">
        <v>19.200000000000021</v>
      </c>
      <c r="BA219" s="64">
        <v>3.1910511499999989</v>
      </c>
      <c r="BB219" s="56">
        <v>16.479999999999961</v>
      </c>
      <c r="BC219" s="56">
        <v>18.919999999999959</v>
      </c>
      <c r="BD219" s="62">
        <v>30.719999999999992</v>
      </c>
      <c r="BF219" s="64">
        <v>2.9514833500000002</v>
      </c>
      <c r="BG219" s="56">
        <v>20.239999999999991</v>
      </c>
      <c r="BH219" s="56">
        <v>27.540000000000031</v>
      </c>
      <c r="BI219" s="62">
        <v>56.419999999999959</v>
      </c>
      <c r="BJ219" s="69"/>
      <c r="BK219" s="51"/>
    </row>
    <row r="220" spans="1:63" x14ac:dyDescent="0.4">
      <c r="A220" s="11" t="s">
        <v>299</v>
      </c>
      <c r="B220" s="4"/>
      <c r="C220" s="4"/>
      <c r="D220" s="4"/>
      <c r="E220" s="12"/>
      <c r="G220" s="147" t="s">
        <v>299</v>
      </c>
      <c r="H220" s="159">
        <v>70.125</v>
      </c>
      <c r="I220" s="153">
        <v>70.38</v>
      </c>
      <c r="J220" s="153">
        <v>70.36</v>
      </c>
      <c r="K220" s="153">
        <v>70.37</v>
      </c>
      <c r="L220" s="153">
        <v>70.39</v>
      </c>
      <c r="M220" s="80">
        <f t="shared" si="6"/>
        <v>70.39</v>
      </c>
      <c r="N220" s="80">
        <f t="shared" si="7"/>
        <v>70.36</v>
      </c>
      <c r="O220" s="153">
        <v>21.19</v>
      </c>
      <c r="P220" s="153">
        <v>21.17</v>
      </c>
      <c r="Q220" s="153">
        <v>21.12</v>
      </c>
      <c r="R220" s="153">
        <v>21.11</v>
      </c>
      <c r="S220" s="4"/>
      <c r="U220" s="147" t="s">
        <v>299</v>
      </c>
      <c r="V220" s="11"/>
      <c r="W220" s="4"/>
      <c r="X220" s="12"/>
      <c r="Y220" s="14"/>
      <c r="Z220" s="4"/>
      <c r="AA220" s="13"/>
      <c r="AB220" s="11"/>
      <c r="AC220" s="4"/>
      <c r="AD220" s="12"/>
      <c r="AE220" s="13"/>
      <c r="AF220" s="14">
        <v>5.0411999999999999</v>
      </c>
      <c r="AG220" s="133"/>
      <c r="AI220" s="84"/>
      <c r="AL220" s="64">
        <v>4.1729070000000004</v>
      </c>
      <c r="AM220" s="56">
        <v>14.060000000000089</v>
      </c>
      <c r="AN220" s="56">
        <v>16.000000000000011</v>
      </c>
      <c r="AO220" s="62">
        <v>22.080000000000059</v>
      </c>
      <c r="AQ220" s="64">
        <v>4.081339166666667</v>
      </c>
      <c r="AR220" s="56">
        <v>13.56000000000002</v>
      </c>
      <c r="AS220" s="56">
        <v>14.94</v>
      </c>
      <c r="AT220" s="62">
        <v>18.880000000000049</v>
      </c>
      <c r="AV220" s="64">
        <v>3.7292006166666658</v>
      </c>
      <c r="AW220" s="56">
        <v>13.239999999999959</v>
      </c>
      <c r="AX220" s="56">
        <v>14.619999999999941</v>
      </c>
      <c r="AY220" s="62">
        <v>19.23999999999992</v>
      </c>
      <c r="BA220" s="64">
        <v>3.1902177833333329</v>
      </c>
      <c r="BB220" s="56">
        <v>16.239999999999991</v>
      </c>
      <c r="BC220" s="56">
        <v>18.660000000000029</v>
      </c>
      <c r="BD220" s="62">
        <v>30.41999999999998</v>
      </c>
      <c r="BF220" s="64">
        <v>2.9511810500000002</v>
      </c>
      <c r="BG220" s="56">
        <v>20.05999999999997</v>
      </c>
      <c r="BH220" s="56">
        <v>27.25999999999997</v>
      </c>
      <c r="BI220" s="62">
        <v>56.12000000000004</v>
      </c>
      <c r="BJ220" s="70"/>
      <c r="BK220" s="51"/>
    </row>
    <row r="221" spans="1:63" ht="17.25" customHeight="1" thickBot="1" x14ac:dyDescent="0.45">
      <c r="A221" s="16" t="s">
        <v>300</v>
      </c>
      <c r="B221" s="17"/>
      <c r="C221" s="17"/>
      <c r="D221" s="17"/>
      <c r="E221" s="18"/>
      <c r="G221" s="147" t="s">
        <v>300</v>
      </c>
      <c r="H221" s="159">
        <v>69.980999999999995</v>
      </c>
      <c r="I221" s="153">
        <v>70.319999999999993</v>
      </c>
      <c r="J221" s="153">
        <v>70.319999999999993</v>
      </c>
      <c r="K221" s="153">
        <v>70.349999999999994</v>
      </c>
      <c r="L221" s="153">
        <v>70.36</v>
      </c>
      <c r="M221" s="80">
        <f t="shared" si="6"/>
        <v>70.36</v>
      </c>
      <c r="N221" s="80">
        <f t="shared" si="7"/>
        <v>70.319999999999993</v>
      </c>
      <c r="O221" s="153">
        <v>21.17</v>
      </c>
      <c r="P221" s="153">
        <v>21.16</v>
      </c>
      <c r="Q221" s="153">
        <v>21.11</v>
      </c>
      <c r="R221" s="153">
        <v>21.1</v>
      </c>
      <c r="S221" s="4"/>
      <c r="U221" s="147" t="s">
        <v>300</v>
      </c>
      <c r="V221" s="16"/>
      <c r="W221" s="33"/>
      <c r="X221" s="34"/>
      <c r="Y221" s="29"/>
      <c r="Z221" s="17"/>
      <c r="AA221" s="30"/>
      <c r="AB221" s="16"/>
      <c r="AC221" s="17"/>
      <c r="AD221" s="18"/>
      <c r="AE221" s="30"/>
      <c r="AF221" s="14">
        <v>5.008</v>
      </c>
      <c r="AG221" s="133"/>
      <c r="AI221" s="84"/>
      <c r="AL221" s="64">
        <v>4.1728473833333339</v>
      </c>
      <c r="AM221" s="56">
        <v>13.640000000000009</v>
      </c>
      <c r="AN221" s="56">
        <v>15.55999999999997</v>
      </c>
      <c r="AO221" s="62">
        <v>21.61999999999988</v>
      </c>
      <c r="AQ221" s="64">
        <v>4.0827687333333333</v>
      </c>
      <c r="AR221" s="56">
        <v>13.34</v>
      </c>
      <c r="AS221" s="56">
        <v>14.700000000000021</v>
      </c>
      <c r="AT221" s="62">
        <v>18.63999999999999</v>
      </c>
      <c r="AV221" s="64">
        <v>3.7304962833333328</v>
      </c>
      <c r="AW221" s="56">
        <v>12.900000000000039</v>
      </c>
      <c r="AX221" s="56">
        <v>14.28000000000003</v>
      </c>
      <c r="AY221" s="62">
        <v>18.84000000000006</v>
      </c>
      <c r="BA221" s="64">
        <v>3.1911709500000001</v>
      </c>
      <c r="BB221" s="56">
        <v>15.740000000000091</v>
      </c>
      <c r="BC221" s="56">
        <v>18.14</v>
      </c>
      <c r="BD221" s="62">
        <v>29.84</v>
      </c>
      <c r="BF221" s="64">
        <v>2.9497838500000002</v>
      </c>
      <c r="BG221" s="56">
        <v>19.54000000000002</v>
      </c>
      <c r="BH221" s="56">
        <v>26.69999999999995</v>
      </c>
      <c r="BI221" s="62">
        <v>55.64</v>
      </c>
      <c r="BJ221" s="70"/>
      <c r="BK221" s="51"/>
    </row>
    <row r="222" spans="1:63" x14ac:dyDescent="0.4">
      <c r="A222" s="19" t="s">
        <v>301</v>
      </c>
      <c r="B222" s="4"/>
      <c r="C222" s="4"/>
      <c r="D222" s="4"/>
      <c r="E222" s="12"/>
      <c r="G222" s="147" t="s">
        <v>301</v>
      </c>
      <c r="H222" s="159">
        <v>70.075000000000003</v>
      </c>
      <c r="I222" s="153">
        <v>70.349999999999994</v>
      </c>
      <c r="J222" s="153">
        <v>70.37</v>
      </c>
      <c r="K222" s="153">
        <v>70.38</v>
      </c>
      <c r="L222" s="153">
        <v>70.349999999999994</v>
      </c>
      <c r="M222" s="80">
        <f t="shared" si="6"/>
        <v>70.38</v>
      </c>
      <c r="N222" s="80">
        <f t="shared" si="7"/>
        <v>70.349999999999994</v>
      </c>
      <c r="O222" s="153">
        <v>21.17</v>
      </c>
      <c r="P222" s="153">
        <v>21.16</v>
      </c>
      <c r="Q222" s="153">
        <v>21.12</v>
      </c>
      <c r="R222" s="153">
        <v>21.11</v>
      </c>
      <c r="S222" s="4"/>
      <c r="U222" s="147" t="s">
        <v>301</v>
      </c>
      <c r="V222" s="11"/>
      <c r="W222" s="4"/>
      <c r="X222" s="12"/>
      <c r="Y222" s="14"/>
      <c r="Z222" s="20"/>
      <c r="AA222" s="13"/>
      <c r="AB222" s="11"/>
      <c r="AC222" s="4"/>
      <c r="AD222" s="12"/>
      <c r="AE222" s="13"/>
      <c r="AF222" s="14">
        <v>5.0007999999999999</v>
      </c>
      <c r="AG222" s="133"/>
      <c r="AI222" s="84"/>
      <c r="AL222" s="64">
        <v>4.1726839</v>
      </c>
      <c r="AM222" s="56">
        <v>14.780000000000021</v>
      </c>
      <c r="AN222" s="56">
        <v>16.820000000000061</v>
      </c>
      <c r="AO222" s="62">
        <v>23.099999999999991</v>
      </c>
      <c r="AQ222" s="64">
        <v>4.0825077333333324</v>
      </c>
      <c r="AR222" s="56">
        <v>14.619999999999861</v>
      </c>
      <c r="AS222" s="56">
        <v>16.099999999999959</v>
      </c>
      <c r="AT222" s="62">
        <v>20.279999999999902</v>
      </c>
      <c r="AV222" s="64">
        <v>3.728376416666666</v>
      </c>
      <c r="AW222" s="56">
        <v>14.21999999999999</v>
      </c>
      <c r="AX222" s="56">
        <v>15.74</v>
      </c>
      <c r="AY222" s="62">
        <v>20.61999999999999</v>
      </c>
      <c r="BA222" s="64">
        <v>3.1798168499999999</v>
      </c>
      <c r="BB222" s="56">
        <v>17.180000000000021</v>
      </c>
      <c r="BC222" s="56">
        <v>19.739999999999998</v>
      </c>
      <c r="BD222" s="62">
        <v>32.099999999999973</v>
      </c>
      <c r="BF222" s="64">
        <v>2.9252645166666671</v>
      </c>
      <c r="BG222" s="56">
        <v>20.840000000000011</v>
      </c>
      <c r="BH222" s="56">
        <v>27.940000000000079</v>
      </c>
      <c r="BI222" s="62">
        <v>57.980000000000047</v>
      </c>
      <c r="BJ222" s="70"/>
      <c r="BK222" s="51"/>
    </row>
    <row r="223" spans="1:63" x14ac:dyDescent="0.4">
      <c r="A223" s="11" t="s">
        <v>302</v>
      </c>
      <c r="B223" s="4"/>
      <c r="C223" s="4"/>
      <c r="D223" s="4"/>
      <c r="E223" s="12"/>
      <c r="G223" s="147" t="s">
        <v>302</v>
      </c>
      <c r="H223" s="159">
        <v>70.012</v>
      </c>
      <c r="I223" s="153">
        <v>70.38</v>
      </c>
      <c r="J223" s="153">
        <v>70.41</v>
      </c>
      <c r="K223" s="153">
        <v>70.349999999999994</v>
      </c>
      <c r="L223" s="153">
        <v>70.349999999999994</v>
      </c>
      <c r="M223" s="80">
        <f t="shared" si="6"/>
        <v>70.41</v>
      </c>
      <c r="N223" s="80">
        <f t="shared" si="7"/>
        <v>70.349999999999994</v>
      </c>
      <c r="O223" s="153">
        <v>21.2</v>
      </c>
      <c r="P223" s="153">
        <v>21.17</v>
      </c>
      <c r="Q223" s="153">
        <v>21.12</v>
      </c>
      <c r="R223" s="153">
        <v>21.11</v>
      </c>
      <c r="S223" s="4"/>
      <c r="U223" s="147" t="s">
        <v>302</v>
      </c>
      <c r="V223" s="11"/>
      <c r="W223" s="4"/>
      <c r="X223" s="12"/>
      <c r="Y223" s="14"/>
      <c r="Z223" s="4"/>
      <c r="AA223" s="13"/>
      <c r="AB223" s="11"/>
      <c r="AC223" s="4"/>
      <c r="AD223" s="12"/>
      <c r="AE223" s="35"/>
      <c r="AF223" s="14">
        <v>5.0186000000000002</v>
      </c>
      <c r="AG223" s="133"/>
      <c r="AI223" s="84"/>
      <c r="AL223" s="64">
        <v>4.1724827833333338</v>
      </c>
      <c r="AM223" s="56">
        <v>13.679999999999909</v>
      </c>
      <c r="AN223" s="56">
        <v>15.55999999999997</v>
      </c>
      <c r="AO223" s="62">
        <v>21.59999999999993</v>
      </c>
      <c r="AQ223" s="64">
        <v>4.0820957499999988</v>
      </c>
      <c r="AR223" s="56">
        <v>13.26000000000001</v>
      </c>
      <c r="AS223" s="56">
        <v>14.63999999999999</v>
      </c>
      <c r="AT223" s="62">
        <v>18.60000000000008</v>
      </c>
      <c r="AV223" s="64">
        <v>3.7272518166666662</v>
      </c>
      <c r="AW223" s="56">
        <v>12.860000000000049</v>
      </c>
      <c r="AX223" s="56">
        <v>14.25999999999998</v>
      </c>
      <c r="AY223" s="62">
        <v>18.86000000000001</v>
      </c>
      <c r="BA223" s="64">
        <v>3.1806651833333328</v>
      </c>
      <c r="BB223" s="56">
        <v>16.05999999999996</v>
      </c>
      <c r="BC223" s="56">
        <v>18.540000000000049</v>
      </c>
      <c r="BD223" s="62">
        <v>30.700000000000038</v>
      </c>
      <c r="BF223" s="64">
        <v>2.9368601999999999</v>
      </c>
      <c r="BG223" s="56">
        <v>19.620000000000019</v>
      </c>
      <c r="BH223" s="56">
        <v>26.6</v>
      </c>
      <c r="BI223" s="62">
        <v>55.560000000000009</v>
      </c>
      <c r="BJ223" s="70"/>
      <c r="BK223" s="51"/>
    </row>
    <row r="224" spans="1:63" x14ac:dyDescent="0.4">
      <c r="A224" s="11" t="s">
        <v>303</v>
      </c>
      <c r="B224" s="4"/>
      <c r="C224" s="4"/>
      <c r="D224" s="4"/>
      <c r="E224" s="12"/>
      <c r="G224" s="147" t="s">
        <v>303</v>
      </c>
      <c r="H224" s="159">
        <v>69.960999999999999</v>
      </c>
      <c r="I224" s="153">
        <v>70.34</v>
      </c>
      <c r="J224" s="153">
        <v>70.349999999999994</v>
      </c>
      <c r="K224" s="153">
        <v>70.34</v>
      </c>
      <c r="L224" s="153">
        <v>70.34</v>
      </c>
      <c r="M224" s="80">
        <f t="shared" si="6"/>
        <v>70.349999999999994</v>
      </c>
      <c r="N224" s="80">
        <f t="shared" si="7"/>
        <v>70.34</v>
      </c>
      <c r="O224" s="153">
        <v>21.18</v>
      </c>
      <c r="P224" s="153">
        <v>21.17</v>
      </c>
      <c r="Q224" s="153">
        <v>21.11</v>
      </c>
      <c r="R224" s="153">
        <v>21.1</v>
      </c>
      <c r="S224" s="4"/>
      <c r="U224" s="147" t="s">
        <v>303</v>
      </c>
      <c r="V224" s="11"/>
      <c r="W224" s="4"/>
      <c r="X224" s="12"/>
      <c r="Y224" s="14"/>
      <c r="Z224" s="4"/>
      <c r="AA224" s="13"/>
      <c r="AB224" s="11"/>
      <c r="AC224" s="4"/>
      <c r="AD224" s="12"/>
      <c r="AE224" s="13"/>
      <c r="AF224" s="14">
        <v>5.0282999999999998</v>
      </c>
      <c r="AG224" s="133"/>
      <c r="AI224" s="84"/>
      <c r="AL224" s="64">
        <v>4.1724671999999998</v>
      </c>
      <c r="AM224" s="56">
        <v>14.81999999999992</v>
      </c>
      <c r="AN224" s="56">
        <v>16.840000000000011</v>
      </c>
      <c r="AO224" s="62">
        <v>23.059999999999899</v>
      </c>
      <c r="AQ224" s="64">
        <v>4.0830550333333342</v>
      </c>
      <c r="AR224" s="56">
        <v>14.63999999999999</v>
      </c>
      <c r="AS224" s="56">
        <v>16.14000000000004</v>
      </c>
      <c r="AT224" s="62">
        <v>20.319999999999979</v>
      </c>
      <c r="AV224" s="64">
        <v>3.7297399000000002</v>
      </c>
      <c r="AW224" s="56">
        <v>14.1</v>
      </c>
      <c r="AX224" s="56">
        <v>15.599999999999969</v>
      </c>
      <c r="AY224" s="62">
        <v>20.460000000000012</v>
      </c>
      <c r="BA224" s="64">
        <v>3.1866449000000001</v>
      </c>
      <c r="BB224" s="56">
        <v>16.840000000000011</v>
      </c>
      <c r="BC224" s="56">
        <v>19.34000000000005</v>
      </c>
      <c r="BD224" s="62">
        <v>31.47999999999999</v>
      </c>
      <c r="BF224" s="64">
        <v>2.9433599166666671</v>
      </c>
      <c r="BG224" s="56">
        <v>20.439999999999969</v>
      </c>
      <c r="BH224" s="56">
        <v>27.70000000000001</v>
      </c>
      <c r="BI224" s="62">
        <v>56.660000000000032</v>
      </c>
      <c r="BJ224" s="70"/>
      <c r="BK224" s="51"/>
    </row>
    <row r="225" spans="1:63" x14ac:dyDescent="0.4">
      <c r="A225" s="11" t="s">
        <v>304</v>
      </c>
      <c r="B225" s="4"/>
      <c r="C225" s="4"/>
      <c r="D225" s="4"/>
      <c r="E225" s="12"/>
      <c r="G225" s="147" t="s">
        <v>304</v>
      </c>
      <c r="H225" s="159">
        <v>70.11</v>
      </c>
      <c r="I225" s="153">
        <v>70.37</v>
      </c>
      <c r="J225" s="153">
        <v>70.37</v>
      </c>
      <c r="K225" s="153">
        <v>70.319999999999993</v>
      </c>
      <c r="L225" s="153">
        <v>70.34</v>
      </c>
      <c r="M225" s="80">
        <f t="shared" si="6"/>
        <v>70.37</v>
      </c>
      <c r="N225" s="80">
        <f t="shared" si="7"/>
        <v>70.319999999999993</v>
      </c>
      <c r="O225" s="153">
        <v>21.14</v>
      </c>
      <c r="P225" s="153">
        <v>21.13</v>
      </c>
      <c r="Q225" s="153">
        <v>21.16</v>
      </c>
      <c r="R225" s="153">
        <v>21.13</v>
      </c>
      <c r="S225" s="4"/>
      <c r="U225" s="147" t="s">
        <v>304</v>
      </c>
      <c r="V225" s="11"/>
      <c r="W225" s="4"/>
      <c r="X225" s="12"/>
      <c r="Y225" s="14"/>
      <c r="Z225" s="4"/>
      <c r="AA225" s="13"/>
      <c r="AB225" s="11"/>
      <c r="AC225" s="4"/>
      <c r="AD225" s="12"/>
      <c r="AE225" s="13"/>
      <c r="AF225" s="14">
        <v>5.0357000000000003</v>
      </c>
      <c r="AG225" s="133"/>
      <c r="AI225" s="84"/>
      <c r="AL225" s="64">
        <v>4.1730342333333326</v>
      </c>
      <c r="AM225" s="56">
        <v>13.30000000000009</v>
      </c>
      <c r="AN225" s="56">
        <v>15.220000000000059</v>
      </c>
      <c r="AO225" s="62">
        <v>21.260000000000009</v>
      </c>
      <c r="AQ225" s="64">
        <v>4.0837038500000009</v>
      </c>
      <c r="AR225" s="56">
        <v>13.199999999999971</v>
      </c>
      <c r="AS225" s="56">
        <v>14.57999999999995</v>
      </c>
      <c r="AT225" s="62">
        <v>18.52</v>
      </c>
      <c r="AV225" s="64">
        <v>3.7304295833333341</v>
      </c>
      <c r="AW225" s="56">
        <v>12.840000000000011</v>
      </c>
      <c r="AX225" s="56">
        <v>14.21999999999999</v>
      </c>
      <c r="AY225" s="62">
        <v>18.84000000000006</v>
      </c>
      <c r="BA225" s="64">
        <v>3.1877607999999999</v>
      </c>
      <c r="BB225" s="56">
        <v>15.680000000000049</v>
      </c>
      <c r="BC225" s="56">
        <v>18.100000000000001</v>
      </c>
      <c r="BD225" s="62">
        <v>29.94000000000003</v>
      </c>
      <c r="BF225" s="64">
        <v>2.939500666666667</v>
      </c>
      <c r="BG225" s="56">
        <v>19.36</v>
      </c>
      <c r="BH225" s="56">
        <v>26.080000000000059</v>
      </c>
      <c r="BI225" s="62">
        <v>54.580000000000069</v>
      </c>
      <c r="BJ225" s="69"/>
      <c r="BK225" s="51"/>
    </row>
    <row r="226" spans="1:63" x14ac:dyDescent="0.4">
      <c r="A226" s="11" t="s">
        <v>305</v>
      </c>
      <c r="B226" s="4"/>
      <c r="C226" s="4"/>
      <c r="D226" s="4"/>
      <c r="E226" s="12"/>
      <c r="G226" s="147" t="s">
        <v>305</v>
      </c>
      <c r="H226" s="159">
        <v>70.105999999999995</v>
      </c>
      <c r="I226" s="153">
        <v>70.28</v>
      </c>
      <c r="J226" s="153">
        <v>70.31</v>
      </c>
      <c r="K226" s="153">
        <v>70.3</v>
      </c>
      <c r="L226" s="153">
        <v>70.349999999999994</v>
      </c>
      <c r="M226" s="80">
        <f t="shared" si="6"/>
        <v>70.349999999999994</v>
      </c>
      <c r="N226" s="80">
        <f t="shared" si="7"/>
        <v>70.28</v>
      </c>
      <c r="O226" s="153">
        <v>21.16</v>
      </c>
      <c r="P226" s="153">
        <v>21.14</v>
      </c>
      <c r="Q226" s="153">
        <v>21.14</v>
      </c>
      <c r="R226" s="153">
        <v>21.11</v>
      </c>
      <c r="S226" s="4"/>
      <c r="U226" s="147" t="s">
        <v>305</v>
      </c>
      <c r="V226" s="11"/>
      <c r="W226" s="4"/>
      <c r="X226" s="12"/>
      <c r="Y226" s="14"/>
      <c r="Z226" s="4"/>
      <c r="AA226" s="13"/>
      <c r="AB226" s="11"/>
      <c r="AC226" s="4"/>
      <c r="AD226" s="12"/>
      <c r="AE226" s="13"/>
      <c r="AF226" s="14">
        <v>5.0305</v>
      </c>
      <c r="AG226" s="133"/>
      <c r="AI226" s="84"/>
      <c r="AL226" s="64">
        <v>4.1728984833333334</v>
      </c>
      <c r="AM226" s="56">
        <v>13.419999999999989</v>
      </c>
      <c r="AN226" s="56">
        <v>15.32</v>
      </c>
      <c r="AO226" s="62">
        <v>21.360000000000131</v>
      </c>
      <c r="AQ226" s="64">
        <v>4.0829355166666668</v>
      </c>
      <c r="AR226" s="56">
        <v>13.18000000000001</v>
      </c>
      <c r="AS226" s="56">
        <v>14.56</v>
      </c>
      <c r="AT226" s="62">
        <v>18.50000000000005</v>
      </c>
      <c r="AV226" s="64">
        <v>3.7291862833333331</v>
      </c>
      <c r="AW226" s="56">
        <v>12.80000000000001</v>
      </c>
      <c r="AX226" s="56">
        <v>14.179999999999991</v>
      </c>
      <c r="AY226" s="62">
        <v>18.77999999999993</v>
      </c>
      <c r="BA226" s="64">
        <v>3.1907099666666658</v>
      </c>
      <c r="BB226" s="56">
        <v>15.679999999999961</v>
      </c>
      <c r="BC226" s="56">
        <v>18.039999999999971</v>
      </c>
      <c r="BD226" s="62">
        <v>29.75999999999992</v>
      </c>
      <c r="BF226" s="64">
        <v>2.9495547333333332</v>
      </c>
      <c r="BG226" s="56">
        <v>19.21999999999997</v>
      </c>
      <c r="BH226" s="56">
        <v>26.06000000000002</v>
      </c>
      <c r="BI226" s="62">
        <v>53.920000000000009</v>
      </c>
      <c r="BJ226" s="70"/>
      <c r="BK226" s="51"/>
    </row>
    <row r="227" spans="1:63" x14ac:dyDescent="0.4">
      <c r="A227" s="11" t="s">
        <v>306</v>
      </c>
      <c r="B227" s="4"/>
      <c r="C227" s="4"/>
      <c r="D227" s="4"/>
      <c r="E227" s="12"/>
      <c r="G227" s="147" t="s">
        <v>306</v>
      </c>
      <c r="H227" s="159">
        <v>70.025999999999996</v>
      </c>
      <c r="I227" s="153">
        <v>70.3</v>
      </c>
      <c r="J227" s="153">
        <v>70.34</v>
      </c>
      <c r="K227" s="153">
        <v>70.349999999999994</v>
      </c>
      <c r="L227" s="153">
        <v>70.31</v>
      </c>
      <c r="M227" s="80">
        <f t="shared" si="6"/>
        <v>70.349999999999994</v>
      </c>
      <c r="N227" s="80">
        <f t="shared" si="7"/>
        <v>70.3</v>
      </c>
      <c r="O227" s="153">
        <v>21.19</v>
      </c>
      <c r="P227" s="153">
        <v>21.17</v>
      </c>
      <c r="Q227" s="153">
        <v>21.12</v>
      </c>
      <c r="R227" s="153">
        <v>21.11</v>
      </c>
      <c r="S227" s="4"/>
      <c r="U227" s="147" t="s">
        <v>306</v>
      </c>
      <c r="V227" s="11"/>
      <c r="W227" s="4"/>
      <c r="X227" s="12"/>
      <c r="Y227" s="14"/>
      <c r="Z227" s="4"/>
      <c r="AA227" s="13"/>
      <c r="AB227" s="11"/>
      <c r="AC227" s="4"/>
      <c r="AD227" s="12"/>
      <c r="AE227" s="13"/>
      <c r="AF227" s="14">
        <v>5.0389999999999997</v>
      </c>
      <c r="AG227" s="133"/>
      <c r="AI227" s="84"/>
      <c r="AL227" s="64">
        <v>4.1724329999999998</v>
      </c>
      <c r="AM227" s="56">
        <v>13.959999999999971</v>
      </c>
      <c r="AN227" s="56">
        <v>15.859999999999991</v>
      </c>
      <c r="AO227" s="62">
        <v>21.859999999999861</v>
      </c>
      <c r="AQ227" s="64">
        <v>4.0809676833333333</v>
      </c>
      <c r="AR227" s="56">
        <v>13.30000000000009</v>
      </c>
      <c r="AS227" s="56">
        <v>14.700000000000021</v>
      </c>
      <c r="AT227" s="62">
        <v>18.660000000000121</v>
      </c>
      <c r="AV227" s="64">
        <v>3.7274570333333328</v>
      </c>
      <c r="AW227" s="56">
        <v>12.92</v>
      </c>
      <c r="AX227" s="56">
        <v>14.32000000000002</v>
      </c>
      <c r="AY227" s="62">
        <v>18.920000000000051</v>
      </c>
      <c r="BA227" s="64">
        <v>3.1866014333333328</v>
      </c>
      <c r="BB227" s="56">
        <v>15.760000000000041</v>
      </c>
      <c r="BC227" s="56">
        <v>18.14</v>
      </c>
      <c r="BD227" s="62">
        <v>29.919999999999991</v>
      </c>
      <c r="BF227" s="64">
        <v>2.9445006833333331</v>
      </c>
      <c r="BG227" s="56">
        <v>19.36</v>
      </c>
      <c r="BH227" s="56">
        <v>26.020000000000021</v>
      </c>
      <c r="BI227" s="62">
        <v>53.89999999999997</v>
      </c>
      <c r="BJ227" s="70"/>
      <c r="BK227" s="51"/>
    </row>
    <row r="228" spans="1:63" x14ac:dyDescent="0.4">
      <c r="A228" s="11" t="s">
        <v>307</v>
      </c>
      <c r="B228" s="4"/>
      <c r="C228" s="4"/>
      <c r="D228" s="4"/>
      <c r="E228" s="12"/>
      <c r="G228" s="147" t="s">
        <v>307</v>
      </c>
      <c r="H228" s="159">
        <v>70.009</v>
      </c>
      <c r="I228" s="153">
        <v>70.34</v>
      </c>
      <c r="J228" s="153">
        <v>70.36</v>
      </c>
      <c r="K228" s="153">
        <v>70.37</v>
      </c>
      <c r="L228" s="153">
        <v>70.36</v>
      </c>
      <c r="M228" s="80">
        <f t="shared" si="6"/>
        <v>70.37</v>
      </c>
      <c r="N228" s="80">
        <f t="shared" si="7"/>
        <v>70.34</v>
      </c>
      <c r="O228" s="153">
        <v>21.17</v>
      </c>
      <c r="P228" s="153">
        <v>21.15</v>
      </c>
      <c r="Q228" s="153">
        <v>21.13</v>
      </c>
      <c r="R228" s="153">
        <v>21.11</v>
      </c>
      <c r="S228" s="4"/>
      <c r="U228" s="147" t="s">
        <v>307</v>
      </c>
      <c r="V228" s="11"/>
      <c r="W228" s="4"/>
      <c r="X228" s="12"/>
      <c r="Y228" s="14"/>
      <c r="Z228" s="4"/>
      <c r="AA228" s="13"/>
      <c r="AB228" s="11"/>
      <c r="AC228" s="4"/>
      <c r="AD228" s="12"/>
      <c r="AE228" s="13"/>
      <c r="AF228" s="14">
        <v>5.0468999999999999</v>
      </c>
      <c r="AG228" s="133"/>
      <c r="AI228" s="84"/>
      <c r="AL228" s="64">
        <v>4.1723774999999996</v>
      </c>
      <c r="AM228" s="56">
        <v>13.940000000000021</v>
      </c>
      <c r="AN228" s="56">
        <v>15.859999999999991</v>
      </c>
      <c r="AO228" s="62">
        <v>21.94000000000003</v>
      </c>
      <c r="AQ228" s="64">
        <v>4.0817273166666652</v>
      </c>
      <c r="AR228" s="56">
        <v>13.480000000000031</v>
      </c>
      <c r="AS228" s="56">
        <v>14.86000000000001</v>
      </c>
      <c r="AT228" s="62">
        <v>18.8200000000001</v>
      </c>
      <c r="AV228" s="64">
        <v>3.7291386000000002</v>
      </c>
      <c r="AW228" s="56">
        <v>13.079999999999981</v>
      </c>
      <c r="AX228" s="56">
        <v>14.44000000000001</v>
      </c>
      <c r="AY228" s="62">
        <v>19.019999999999989</v>
      </c>
      <c r="BA228" s="64">
        <v>3.1884243333333342</v>
      </c>
      <c r="BB228" s="56">
        <v>16.019999999999971</v>
      </c>
      <c r="BC228" s="56">
        <v>18.41999999999997</v>
      </c>
      <c r="BD228" s="62">
        <v>30.19999999999996</v>
      </c>
      <c r="BF228" s="64">
        <v>2.949456183333333</v>
      </c>
      <c r="BG228" s="56">
        <v>19.760000000000041</v>
      </c>
      <c r="BH228" s="56">
        <v>26.920000000000051</v>
      </c>
      <c r="BI228" s="62">
        <v>55.760000000000083</v>
      </c>
      <c r="BJ228" s="70"/>
      <c r="BK228" s="51"/>
    </row>
    <row r="229" spans="1:63" x14ac:dyDescent="0.4">
      <c r="A229" s="11" t="s">
        <v>308</v>
      </c>
      <c r="B229" s="4"/>
      <c r="C229" s="4"/>
      <c r="D229" s="4"/>
      <c r="E229" s="12"/>
      <c r="G229" s="147" t="s">
        <v>308</v>
      </c>
      <c r="H229" s="159">
        <v>69.962999999999994</v>
      </c>
      <c r="I229" s="153">
        <v>70.39</v>
      </c>
      <c r="J229" s="153">
        <v>70.39</v>
      </c>
      <c r="K229" s="153">
        <v>70.38</v>
      </c>
      <c r="L229" s="153">
        <v>70.349999999999994</v>
      </c>
      <c r="M229" s="80">
        <f t="shared" si="6"/>
        <v>70.39</v>
      </c>
      <c r="N229" s="80">
        <f t="shared" si="7"/>
        <v>70.349999999999994</v>
      </c>
      <c r="O229" s="153">
        <v>21.18</v>
      </c>
      <c r="P229" s="153">
        <v>21.17</v>
      </c>
      <c r="Q229" s="153">
        <v>21.12</v>
      </c>
      <c r="R229" s="153">
        <v>21.11</v>
      </c>
      <c r="S229" s="4"/>
      <c r="U229" s="147" t="s">
        <v>308</v>
      </c>
      <c r="V229" s="11"/>
      <c r="W229" s="4"/>
      <c r="X229" s="12"/>
      <c r="Y229" s="14"/>
      <c r="Z229" s="4"/>
      <c r="AA229" s="13"/>
      <c r="AB229" s="11"/>
      <c r="AC229" s="4"/>
      <c r="AD229" s="12"/>
      <c r="AE229" s="13"/>
      <c r="AF229" s="14">
        <v>5.0335999999999999</v>
      </c>
      <c r="AG229" s="133"/>
      <c r="AI229" s="84"/>
      <c r="AL229" s="64">
        <v>4.1722328000000006</v>
      </c>
      <c r="AM229" s="56">
        <v>14.25999999999998</v>
      </c>
      <c r="AN229" s="56">
        <v>16.17999999999995</v>
      </c>
      <c r="AO229" s="62">
        <v>22.280000000000118</v>
      </c>
      <c r="AQ229" s="64">
        <v>4.0804929666666663</v>
      </c>
      <c r="AR229" s="56">
        <v>13.480000000000031</v>
      </c>
      <c r="AS229" s="56">
        <v>14.87999999999996</v>
      </c>
      <c r="AT229" s="62">
        <v>18.839999999999971</v>
      </c>
      <c r="AV229" s="64">
        <v>3.728206983333334</v>
      </c>
      <c r="AW229" s="56">
        <v>13.18000000000001</v>
      </c>
      <c r="AX229" s="56">
        <v>14.56</v>
      </c>
      <c r="AY229" s="62">
        <v>19.179999999999971</v>
      </c>
      <c r="BA229" s="64">
        <v>3.1898517833333329</v>
      </c>
      <c r="BB229" s="56">
        <v>16.14000000000004</v>
      </c>
      <c r="BC229" s="56">
        <v>18.540000000000049</v>
      </c>
      <c r="BD229" s="62">
        <v>30.28000000000004</v>
      </c>
      <c r="BF229" s="64">
        <v>2.9485991499999988</v>
      </c>
      <c r="BG229" s="56">
        <v>19.919999999999941</v>
      </c>
      <c r="BH229" s="56">
        <v>27.039999999999949</v>
      </c>
      <c r="BI229" s="62">
        <v>55.779999999999937</v>
      </c>
      <c r="BJ229" s="69"/>
      <c r="BK229" s="51"/>
    </row>
    <row r="230" spans="1:63" x14ac:dyDescent="0.4">
      <c r="A230" s="11" t="s">
        <v>309</v>
      </c>
      <c r="B230" s="4"/>
      <c r="C230" s="4"/>
      <c r="D230" s="4"/>
      <c r="E230" s="12"/>
      <c r="G230" s="147" t="s">
        <v>309</v>
      </c>
      <c r="H230" s="159">
        <v>70.052999999999997</v>
      </c>
      <c r="I230" s="153">
        <v>70.37</v>
      </c>
      <c r="J230" s="153">
        <v>70.37</v>
      </c>
      <c r="K230" s="153">
        <v>70.349999999999994</v>
      </c>
      <c r="L230" s="153">
        <v>70.3</v>
      </c>
      <c r="M230" s="80">
        <f t="shared" si="6"/>
        <v>70.37</v>
      </c>
      <c r="N230" s="80">
        <f t="shared" si="7"/>
        <v>70.3</v>
      </c>
      <c r="O230" s="153">
        <v>21.17</v>
      </c>
      <c r="P230" s="153">
        <v>21.15</v>
      </c>
      <c r="Q230" s="153">
        <v>21.15</v>
      </c>
      <c r="R230" s="153">
        <v>21.12</v>
      </c>
      <c r="S230" s="4"/>
      <c r="U230" s="147" t="s">
        <v>309</v>
      </c>
      <c r="V230" s="11"/>
      <c r="W230" s="4"/>
      <c r="X230" s="12"/>
      <c r="Y230" s="14"/>
      <c r="Z230" s="4"/>
      <c r="AA230" s="13"/>
      <c r="AB230" s="11"/>
      <c r="AC230" s="4"/>
      <c r="AD230" s="12"/>
      <c r="AE230" s="13"/>
      <c r="AF230" s="14">
        <v>5.0407999999999999</v>
      </c>
      <c r="AG230" s="133"/>
      <c r="AI230" s="84"/>
      <c r="AL230" s="64">
        <v>4.1725742000000006</v>
      </c>
      <c r="AM230" s="56">
        <v>14.30000000000007</v>
      </c>
      <c r="AN230" s="56">
        <v>16.220000000000031</v>
      </c>
      <c r="AO230" s="62">
        <v>22.34000000000016</v>
      </c>
      <c r="AQ230" s="64">
        <v>4.082095616666666</v>
      </c>
      <c r="AR230" s="56">
        <v>13.85999999999985</v>
      </c>
      <c r="AS230" s="56">
        <v>15.259999999999961</v>
      </c>
      <c r="AT230" s="62">
        <v>19.25999999999997</v>
      </c>
      <c r="AV230" s="64">
        <v>3.7291877833333329</v>
      </c>
      <c r="AW230" s="56">
        <v>13.659999999999959</v>
      </c>
      <c r="AX230" s="56">
        <v>15.09999999999998</v>
      </c>
      <c r="AY230" s="62">
        <v>19.78</v>
      </c>
      <c r="BA230" s="64">
        <v>3.1879244</v>
      </c>
      <c r="BB230" s="56">
        <v>16.72000000000002</v>
      </c>
      <c r="BC230" s="56">
        <v>19.200000000000021</v>
      </c>
      <c r="BD230" s="62">
        <v>31.160000000000029</v>
      </c>
      <c r="BF230" s="64">
        <v>2.9493676999999998</v>
      </c>
      <c r="BG230" s="56">
        <v>20.55999999999996</v>
      </c>
      <c r="BH230" s="56">
        <v>27.83999999999995</v>
      </c>
      <c r="BI230" s="62">
        <v>56.920000000000037</v>
      </c>
      <c r="BJ230" s="70"/>
      <c r="BK230" s="51"/>
    </row>
    <row r="231" spans="1:63" x14ac:dyDescent="0.4">
      <c r="A231" s="11" t="s">
        <v>310</v>
      </c>
      <c r="B231" s="4"/>
      <c r="C231" s="4"/>
      <c r="D231" s="4"/>
      <c r="E231" s="12"/>
      <c r="G231" s="147" t="s">
        <v>310</v>
      </c>
      <c r="H231" s="159">
        <v>70.096999999999994</v>
      </c>
      <c r="I231" s="153">
        <v>70.31</v>
      </c>
      <c r="J231" s="153">
        <v>70.290000000000006</v>
      </c>
      <c r="K231" s="153">
        <v>70.27</v>
      </c>
      <c r="L231" s="153">
        <v>70.31</v>
      </c>
      <c r="M231" s="80">
        <f t="shared" si="6"/>
        <v>70.31</v>
      </c>
      <c r="N231" s="80">
        <f t="shared" si="7"/>
        <v>70.27</v>
      </c>
      <c r="O231" s="153">
        <v>21.17</v>
      </c>
      <c r="P231" s="153">
        <v>21.16</v>
      </c>
      <c r="Q231" s="153">
        <v>21.14</v>
      </c>
      <c r="R231" s="153">
        <v>21.12</v>
      </c>
      <c r="S231" s="4"/>
      <c r="U231" s="147" t="s">
        <v>310</v>
      </c>
      <c r="V231" s="11"/>
      <c r="W231" s="4"/>
      <c r="X231" s="12"/>
      <c r="Y231" s="14"/>
      <c r="Z231" s="4"/>
      <c r="AA231" s="13"/>
      <c r="AB231" s="11"/>
      <c r="AC231" s="4"/>
      <c r="AD231" s="12"/>
      <c r="AE231" s="13"/>
      <c r="AF231" s="14">
        <v>5.0259</v>
      </c>
      <c r="AG231" s="133"/>
      <c r="AI231" s="84"/>
      <c r="AL231" s="64">
        <v>4.1727302999999996</v>
      </c>
      <c r="AM231" s="56">
        <v>14.060000000000089</v>
      </c>
      <c r="AN231" s="56">
        <v>15.980000000000061</v>
      </c>
      <c r="AO231" s="62">
        <v>22.060000000000102</v>
      </c>
      <c r="AQ231" s="64">
        <v>4.0810373666666671</v>
      </c>
      <c r="AR231" s="56">
        <v>13.44000000000012</v>
      </c>
      <c r="AS231" s="56">
        <v>14.8200000000001</v>
      </c>
      <c r="AT231" s="62">
        <v>18.760000000000069</v>
      </c>
      <c r="AV231" s="64">
        <v>3.7291614000000002</v>
      </c>
      <c r="AW231" s="56">
        <v>13.060000000000031</v>
      </c>
      <c r="AX231" s="56">
        <v>14.460000000000051</v>
      </c>
      <c r="AY231" s="62">
        <v>19.019999999999989</v>
      </c>
      <c r="BA231" s="64">
        <v>3.1906587000000002</v>
      </c>
      <c r="BB231" s="56">
        <v>16.019999999999971</v>
      </c>
      <c r="BC231" s="56">
        <v>18.440000000000008</v>
      </c>
      <c r="BD231" s="62">
        <v>30.16000000000005</v>
      </c>
      <c r="BF231" s="64">
        <v>2.9489312833333332</v>
      </c>
      <c r="BG231" s="56">
        <v>19.739999999999998</v>
      </c>
      <c r="BH231" s="56">
        <v>26.78000000000003</v>
      </c>
      <c r="BI231" s="62">
        <v>55.360000000000028</v>
      </c>
      <c r="BJ231" s="69"/>
      <c r="BK231" s="51"/>
    </row>
    <row r="232" spans="1:63" x14ac:dyDescent="0.4">
      <c r="A232" s="11" t="s">
        <v>311</v>
      </c>
      <c r="B232" s="4"/>
      <c r="C232" s="4"/>
      <c r="D232" s="4"/>
      <c r="E232" s="12"/>
      <c r="G232" s="147" t="s">
        <v>311</v>
      </c>
      <c r="H232" s="159">
        <v>70.111000000000004</v>
      </c>
      <c r="I232" s="153">
        <v>70.39</v>
      </c>
      <c r="J232" s="153">
        <v>70.39</v>
      </c>
      <c r="K232" s="153">
        <v>70.36</v>
      </c>
      <c r="L232" s="153">
        <v>70.34</v>
      </c>
      <c r="M232" s="80">
        <f t="shared" si="6"/>
        <v>70.39</v>
      </c>
      <c r="N232" s="80">
        <f t="shared" si="7"/>
        <v>70.34</v>
      </c>
      <c r="O232" s="153">
        <v>21.19</v>
      </c>
      <c r="P232" s="153">
        <v>21.17</v>
      </c>
      <c r="Q232" s="153">
        <v>21.15</v>
      </c>
      <c r="R232" s="153">
        <v>21.12</v>
      </c>
      <c r="S232" s="4"/>
      <c r="U232" s="147" t="s">
        <v>311</v>
      </c>
      <c r="V232" s="11"/>
      <c r="W232" s="4"/>
      <c r="X232" s="12"/>
      <c r="Y232" s="14"/>
      <c r="Z232" s="4"/>
      <c r="AA232" s="13"/>
      <c r="AB232" s="11"/>
      <c r="AC232" s="4"/>
      <c r="AD232" s="12"/>
      <c r="AE232" s="13"/>
      <c r="AF232" s="14">
        <v>5.0125999999999999</v>
      </c>
      <c r="AG232" s="133"/>
      <c r="AI232" s="84"/>
      <c r="AL232" s="64">
        <v>4.172558866666666</v>
      </c>
      <c r="AM232" s="56">
        <v>15.08000000000003</v>
      </c>
      <c r="AN232" s="56">
        <v>17.100000000000119</v>
      </c>
      <c r="AO232" s="62">
        <v>23.30000000000005</v>
      </c>
      <c r="AQ232" s="64">
        <v>4.0811351333333334</v>
      </c>
      <c r="AR232" s="56">
        <v>14.719999999999979</v>
      </c>
      <c r="AS232" s="56">
        <v>16.239999999999991</v>
      </c>
      <c r="AT232" s="62">
        <v>20.420000000000019</v>
      </c>
      <c r="AV232" s="64">
        <v>3.7276559333333328</v>
      </c>
      <c r="AW232" s="56">
        <v>14.32000000000002</v>
      </c>
      <c r="AX232" s="56">
        <v>15.81999999999999</v>
      </c>
      <c r="AY232" s="62">
        <v>20.699999999999989</v>
      </c>
      <c r="BA232" s="64">
        <v>3.1837525666666679</v>
      </c>
      <c r="BB232" s="56">
        <v>17.140000000000018</v>
      </c>
      <c r="BC232" s="56">
        <v>19.660000000000011</v>
      </c>
      <c r="BD232" s="62">
        <v>31.760000000000051</v>
      </c>
      <c r="BF232" s="64">
        <v>2.9243606333333338</v>
      </c>
      <c r="BG232" s="56">
        <v>20.800000000000018</v>
      </c>
      <c r="BH232" s="56">
        <v>27.639999999999979</v>
      </c>
      <c r="BI232" s="62">
        <v>57.220000000000049</v>
      </c>
      <c r="BJ232" s="70"/>
      <c r="BK232" s="51"/>
    </row>
    <row r="233" spans="1:63" x14ac:dyDescent="0.4">
      <c r="A233" s="11" t="s">
        <v>312</v>
      </c>
      <c r="B233" s="4"/>
      <c r="C233" s="4"/>
      <c r="D233" s="4"/>
      <c r="E233" s="12"/>
      <c r="G233" s="147" t="s">
        <v>312</v>
      </c>
      <c r="H233" s="159">
        <v>70.099999999999994</v>
      </c>
      <c r="I233" s="153">
        <v>70.36</v>
      </c>
      <c r="J233" s="153">
        <v>70.319999999999993</v>
      </c>
      <c r="K233" s="153">
        <v>70.37</v>
      </c>
      <c r="L233" s="153">
        <v>70.39</v>
      </c>
      <c r="M233" s="80">
        <f t="shared" si="6"/>
        <v>70.39</v>
      </c>
      <c r="N233" s="80">
        <f t="shared" si="7"/>
        <v>70.319999999999993</v>
      </c>
      <c r="O233" s="153">
        <v>21.17</v>
      </c>
      <c r="P233" s="153">
        <v>21.16</v>
      </c>
      <c r="Q233" s="153">
        <v>21.15</v>
      </c>
      <c r="R233" s="153">
        <v>21.11</v>
      </c>
      <c r="S233" s="4"/>
      <c r="U233" s="147" t="s">
        <v>312</v>
      </c>
      <c r="V233" s="11"/>
      <c r="W233" s="4"/>
      <c r="X233" s="12"/>
      <c r="Y233" s="14"/>
      <c r="Z233" s="4"/>
      <c r="AA233" s="13"/>
      <c r="AB233" s="11"/>
      <c r="AC233" s="4"/>
      <c r="AD233" s="12"/>
      <c r="AE233" s="13"/>
      <c r="AF233" s="14">
        <v>5.0416999999999996</v>
      </c>
      <c r="AG233" s="133"/>
      <c r="AI233" s="84"/>
      <c r="AL233" s="64">
        <v>4.1722659999999996</v>
      </c>
      <c r="AM233" s="56">
        <v>14.059999999999921</v>
      </c>
      <c r="AN233" s="56">
        <v>15.95999999999993</v>
      </c>
      <c r="AO233" s="62">
        <v>22.020000000000021</v>
      </c>
      <c r="AQ233" s="64">
        <v>4.0812631499999998</v>
      </c>
      <c r="AR233" s="56">
        <v>13.59999999999992</v>
      </c>
      <c r="AS233" s="56">
        <v>14.99999999999986</v>
      </c>
      <c r="AT233" s="62">
        <v>18.99999999999995</v>
      </c>
      <c r="AV233" s="64">
        <v>3.7277404000000001</v>
      </c>
      <c r="AW233" s="56">
        <v>13.35999999999995</v>
      </c>
      <c r="AX233" s="56">
        <v>14.75999999999997</v>
      </c>
      <c r="AY233" s="62">
        <v>19.45999999999994</v>
      </c>
      <c r="BA233" s="64">
        <v>3.18460645</v>
      </c>
      <c r="BB233" s="56">
        <v>16.719999999999931</v>
      </c>
      <c r="BC233" s="56">
        <v>19.21999999999997</v>
      </c>
      <c r="BD233" s="62">
        <v>31.27999999999993</v>
      </c>
      <c r="BF233" s="64">
        <v>2.93866425</v>
      </c>
      <c r="BG233" s="56">
        <v>20.339999999999939</v>
      </c>
      <c r="BH233" s="56">
        <v>27.44</v>
      </c>
      <c r="BI233" s="62">
        <v>56.359999999999921</v>
      </c>
      <c r="BJ233" s="70"/>
      <c r="BK233" s="51"/>
    </row>
    <row r="234" spans="1:63" x14ac:dyDescent="0.4">
      <c r="A234" s="11" t="s">
        <v>313</v>
      </c>
      <c r="B234" s="4"/>
      <c r="C234" s="4"/>
      <c r="D234" s="4"/>
      <c r="E234" s="12"/>
      <c r="G234" s="147" t="s">
        <v>313</v>
      </c>
      <c r="H234" s="159">
        <v>69.968999999999994</v>
      </c>
      <c r="I234" s="153">
        <v>70.27</v>
      </c>
      <c r="J234" s="153">
        <v>70.349999999999994</v>
      </c>
      <c r="K234" s="153">
        <v>70.34</v>
      </c>
      <c r="L234" s="153">
        <v>70.260000000000005</v>
      </c>
      <c r="M234" s="80">
        <f t="shared" si="6"/>
        <v>70.349999999999994</v>
      </c>
      <c r="N234" s="80">
        <f t="shared" si="7"/>
        <v>70.260000000000005</v>
      </c>
      <c r="O234" s="153">
        <v>21.18</v>
      </c>
      <c r="P234" s="153">
        <v>21.15</v>
      </c>
      <c r="Q234" s="153">
        <v>21.13</v>
      </c>
      <c r="R234" s="153">
        <v>21.12</v>
      </c>
      <c r="S234" s="4"/>
      <c r="U234" s="147" t="s">
        <v>313</v>
      </c>
      <c r="V234" s="11"/>
      <c r="W234" s="4"/>
      <c r="X234" s="12"/>
      <c r="Y234" s="14"/>
      <c r="Z234" s="4"/>
      <c r="AA234" s="13"/>
      <c r="AB234" s="11"/>
      <c r="AC234" s="4"/>
      <c r="AD234" s="12"/>
      <c r="AE234" s="13"/>
      <c r="AF234" s="14">
        <v>5.0335999999999999</v>
      </c>
      <c r="AG234" s="133"/>
      <c r="AI234" s="84"/>
      <c r="AL234" s="64">
        <v>4.1727359499999999</v>
      </c>
      <c r="AM234" s="56">
        <v>13.72</v>
      </c>
      <c r="AN234" s="56">
        <v>15.62000000000001</v>
      </c>
      <c r="AO234" s="62">
        <v>21.679999999999922</v>
      </c>
      <c r="AQ234" s="64">
        <v>4.0813242833333332</v>
      </c>
      <c r="AR234" s="56">
        <v>13.18000000000001</v>
      </c>
      <c r="AS234" s="56">
        <v>14.58000000000013</v>
      </c>
      <c r="AT234" s="62">
        <v>18.520000000000088</v>
      </c>
      <c r="AV234" s="64">
        <v>3.7277483500000002</v>
      </c>
      <c r="AW234" s="56">
        <v>12.819999999999959</v>
      </c>
      <c r="AX234" s="56">
        <v>14.21999999999999</v>
      </c>
      <c r="AY234" s="62">
        <v>18.819999999999929</v>
      </c>
      <c r="BA234" s="64">
        <v>3.189129166666667</v>
      </c>
      <c r="BB234" s="56">
        <v>15.63999999999997</v>
      </c>
      <c r="BC234" s="56">
        <v>17.999999999999972</v>
      </c>
      <c r="BD234" s="62">
        <v>29.699999999999971</v>
      </c>
      <c r="BF234" s="64">
        <v>2.948752633333334</v>
      </c>
      <c r="BG234" s="56">
        <v>19.09999999999998</v>
      </c>
      <c r="BH234" s="56">
        <v>25.59999999999993</v>
      </c>
      <c r="BI234" s="62">
        <v>52.999999999999943</v>
      </c>
      <c r="BJ234" s="70"/>
      <c r="BK234" s="51"/>
    </row>
    <row r="235" spans="1:63" x14ac:dyDescent="0.4">
      <c r="A235" s="11" t="s">
        <v>314</v>
      </c>
      <c r="B235" s="4"/>
      <c r="C235" s="4"/>
      <c r="D235" s="4"/>
      <c r="E235" s="12"/>
      <c r="G235" s="147" t="s">
        <v>314</v>
      </c>
      <c r="H235" s="159">
        <v>70.009</v>
      </c>
      <c r="I235" s="153">
        <v>70.34</v>
      </c>
      <c r="J235" s="153">
        <v>70.319999999999993</v>
      </c>
      <c r="K235" s="153">
        <v>70.37</v>
      </c>
      <c r="L235" s="153">
        <v>70.31</v>
      </c>
      <c r="M235" s="80">
        <f t="shared" si="6"/>
        <v>70.37</v>
      </c>
      <c r="N235" s="80">
        <f t="shared" si="7"/>
        <v>70.31</v>
      </c>
      <c r="O235" s="153">
        <v>21.16</v>
      </c>
      <c r="P235" s="153">
        <v>21.15</v>
      </c>
      <c r="Q235" s="153">
        <v>21.13</v>
      </c>
      <c r="R235" s="153">
        <v>21.1</v>
      </c>
      <c r="S235" s="4"/>
      <c r="U235" s="147" t="s">
        <v>314</v>
      </c>
      <c r="V235" s="11"/>
      <c r="W235" s="4"/>
      <c r="X235" s="12"/>
      <c r="Y235" s="14"/>
      <c r="Z235" s="4"/>
      <c r="AA235" s="13"/>
      <c r="AB235" s="11"/>
      <c r="AC235" s="4"/>
      <c r="AD235" s="12"/>
      <c r="AE235" s="13"/>
      <c r="AF235" s="14">
        <v>5.0167999999999999</v>
      </c>
      <c r="AG235" s="133"/>
      <c r="AI235" s="84"/>
      <c r="AL235" s="64">
        <v>4.1734018333333331</v>
      </c>
      <c r="AM235" s="56">
        <v>13.51999999999993</v>
      </c>
      <c r="AN235" s="56">
        <v>15.41999999999994</v>
      </c>
      <c r="AO235" s="62">
        <v>21.439999999999952</v>
      </c>
      <c r="AQ235" s="64">
        <v>4.0818806500000004</v>
      </c>
      <c r="AR235" s="56">
        <v>13.13999999999993</v>
      </c>
      <c r="AS235" s="56">
        <v>14.499999999999959</v>
      </c>
      <c r="AT235" s="62">
        <v>18.40000000000002</v>
      </c>
      <c r="AV235" s="64">
        <v>3.7285813499999998</v>
      </c>
      <c r="AW235" s="56">
        <v>12.760000000000019</v>
      </c>
      <c r="AX235" s="56">
        <v>14.14</v>
      </c>
      <c r="AY235" s="62">
        <v>18.719999999999981</v>
      </c>
      <c r="BA235" s="64">
        <v>3.1863237</v>
      </c>
      <c r="BB235" s="56">
        <v>15.64000000000005</v>
      </c>
      <c r="BC235" s="56">
        <v>18.04000000000006</v>
      </c>
      <c r="BD235" s="62">
        <v>29.780000000000051</v>
      </c>
      <c r="BF235" s="64">
        <v>2.938073483333334</v>
      </c>
      <c r="BG235" s="56">
        <v>19.260000000000051</v>
      </c>
      <c r="BH235" s="56">
        <v>25.94000000000003</v>
      </c>
      <c r="BI235" s="62">
        <v>54.159999999999982</v>
      </c>
      <c r="BJ235" s="70"/>
      <c r="BK235" s="51"/>
    </row>
    <row r="236" spans="1:63" x14ac:dyDescent="0.4">
      <c r="A236" s="11" t="s">
        <v>315</v>
      </c>
      <c r="B236" s="4"/>
      <c r="C236" s="4"/>
      <c r="D236" s="4"/>
      <c r="E236" s="12"/>
      <c r="G236" s="147" t="s">
        <v>315</v>
      </c>
      <c r="H236" s="159">
        <v>70.105999999999995</v>
      </c>
      <c r="I236" s="153">
        <v>70.36</v>
      </c>
      <c r="J236" s="153">
        <v>70.34</v>
      </c>
      <c r="K236" s="153">
        <v>70.37</v>
      </c>
      <c r="L236" s="153">
        <v>70.349999999999994</v>
      </c>
      <c r="M236" s="80">
        <f t="shared" si="6"/>
        <v>70.37</v>
      </c>
      <c r="N236" s="80">
        <f t="shared" si="7"/>
        <v>70.34</v>
      </c>
      <c r="O236" s="153">
        <v>21.17</v>
      </c>
      <c r="P236" s="153">
        <v>21.16</v>
      </c>
      <c r="Q236" s="153">
        <v>21.13</v>
      </c>
      <c r="R236" s="153">
        <v>21.12</v>
      </c>
      <c r="S236" s="4"/>
      <c r="U236" s="147" t="s">
        <v>315</v>
      </c>
      <c r="V236" s="11"/>
      <c r="W236" s="4"/>
      <c r="X236" s="12"/>
      <c r="Y236" s="14"/>
      <c r="Z236" s="4"/>
      <c r="AA236" s="13"/>
      <c r="AB236" s="11"/>
      <c r="AC236" s="4"/>
      <c r="AD236" s="12"/>
      <c r="AE236" s="13"/>
      <c r="AF236" s="14">
        <v>5.0193000000000003</v>
      </c>
      <c r="AG236" s="133"/>
      <c r="AI236" s="84"/>
      <c r="AL236" s="64">
        <v>4.1727294666666674</v>
      </c>
      <c r="AM236" s="56">
        <v>14.920000000000041</v>
      </c>
      <c r="AN236" s="56">
        <v>16.959999999999908</v>
      </c>
      <c r="AO236" s="62">
        <v>23.160000000000029</v>
      </c>
      <c r="AQ236" s="64">
        <v>4.083187699999999</v>
      </c>
      <c r="AR236" s="56">
        <v>14.5999999999999</v>
      </c>
      <c r="AS236" s="56">
        <v>16.080000000000009</v>
      </c>
      <c r="AT236" s="62">
        <v>20.27999999999999</v>
      </c>
      <c r="AV236" s="64">
        <v>3.7295146666666672</v>
      </c>
      <c r="AW236" s="56">
        <v>14.200000000000029</v>
      </c>
      <c r="AX236" s="56">
        <v>15.72000000000005</v>
      </c>
      <c r="AY236" s="62">
        <v>20.600000000000041</v>
      </c>
      <c r="BA236" s="64">
        <v>3.18535455</v>
      </c>
      <c r="BB236" s="56">
        <v>17.10000000000003</v>
      </c>
      <c r="BC236" s="56">
        <v>19.660000000000011</v>
      </c>
      <c r="BD236" s="62">
        <v>31.939999999999991</v>
      </c>
      <c r="BF236" s="64">
        <v>2.9451144500000002</v>
      </c>
      <c r="BG236" s="56">
        <v>20.819999999999968</v>
      </c>
      <c r="BH236" s="56">
        <v>27.86</v>
      </c>
      <c r="BI236" s="62">
        <v>56.339999999999968</v>
      </c>
      <c r="BJ236" s="70"/>
      <c r="BK236" s="51"/>
    </row>
    <row r="237" spans="1:63" x14ac:dyDescent="0.4">
      <c r="A237" s="11" t="s">
        <v>316</v>
      </c>
      <c r="B237" s="4"/>
      <c r="C237" s="4"/>
      <c r="D237" s="4"/>
      <c r="E237" s="12"/>
      <c r="G237" s="147" t="s">
        <v>316</v>
      </c>
      <c r="H237" s="159">
        <v>69.957999999999998</v>
      </c>
      <c r="I237" s="153">
        <v>70.349999999999994</v>
      </c>
      <c r="J237" s="153">
        <v>70.36</v>
      </c>
      <c r="K237" s="153">
        <v>70.31</v>
      </c>
      <c r="L237" s="153">
        <v>70.290000000000006</v>
      </c>
      <c r="M237" s="80">
        <f t="shared" si="6"/>
        <v>70.36</v>
      </c>
      <c r="N237" s="80">
        <f t="shared" si="7"/>
        <v>70.290000000000006</v>
      </c>
      <c r="O237" s="153">
        <v>21.18</v>
      </c>
      <c r="P237" s="153">
        <v>21.14</v>
      </c>
      <c r="Q237" s="153">
        <v>21.13</v>
      </c>
      <c r="R237" s="153">
        <v>21.09</v>
      </c>
      <c r="S237" s="4"/>
      <c r="U237" s="147" t="s">
        <v>316</v>
      </c>
      <c r="V237" s="11"/>
      <c r="W237" s="4"/>
      <c r="X237" s="12"/>
      <c r="Y237" s="14"/>
      <c r="Z237" s="4"/>
      <c r="AA237" s="13"/>
      <c r="AB237" s="11"/>
      <c r="AC237" s="4"/>
      <c r="AD237" s="12"/>
      <c r="AE237" s="13"/>
      <c r="AF237" s="14">
        <v>5.0438000000000001</v>
      </c>
      <c r="AG237" s="133"/>
      <c r="AI237" s="84"/>
      <c r="AL237" s="64">
        <v>4.172673716666667</v>
      </c>
      <c r="AM237" s="56">
        <v>13.81999999999994</v>
      </c>
      <c r="AN237" s="56">
        <v>15.760000000000041</v>
      </c>
      <c r="AO237" s="62">
        <v>21.819999999999951</v>
      </c>
      <c r="AQ237" s="64">
        <v>4.0821461499999989</v>
      </c>
      <c r="AR237" s="56">
        <v>13.56000000000002</v>
      </c>
      <c r="AS237" s="56">
        <v>14.86000000000001</v>
      </c>
      <c r="AT237" s="62">
        <v>18.84000000000006</v>
      </c>
      <c r="AV237" s="64">
        <v>3.7286592500000002</v>
      </c>
      <c r="AW237" s="56">
        <v>13.079999999999981</v>
      </c>
      <c r="AX237" s="56">
        <v>14.52</v>
      </c>
      <c r="AY237" s="62">
        <v>19.18000000000006</v>
      </c>
      <c r="BA237" s="64">
        <v>3.1852738166666659</v>
      </c>
      <c r="BB237" s="56">
        <v>15.97999999999997</v>
      </c>
      <c r="BC237" s="56">
        <v>18.41999999999997</v>
      </c>
      <c r="BD237" s="62">
        <v>30.339999999999989</v>
      </c>
      <c r="BF237" s="64">
        <v>2.9433232666666669</v>
      </c>
      <c r="BG237" s="56">
        <v>19.36</v>
      </c>
      <c r="BH237" s="56">
        <v>25.84</v>
      </c>
      <c r="BI237" s="62">
        <v>53.440000000000062</v>
      </c>
      <c r="BJ237" s="70"/>
      <c r="BK237" s="51"/>
    </row>
    <row r="238" spans="1:63" x14ac:dyDescent="0.4">
      <c r="A238" s="11" t="s">
        <v>317</v>
      </c>
      <c r="B238" s="4"/>
      <c r="C238" s="4"/>
      <c r="D238" s="4"/>
      <c r="E238" s="12"/>
      <c r="G238" s="147" t="s">
        <v>317</v>
      </c>
      <c r="H238" s="159">
        <v>70.052000000000007</v>
      </c>
      <c r="I238" s="153">
        <v>70.349999999999994</v>
      </c>
      <c r="J238" s="153">
        <v>70.34</v>
      </c>
      <c r="K238" s="153">
        <v>70.319999999999993</v>
      </c>
      <c r="L238" s="153">
        <v>70.319999999999993</v>
      </c>
      <c r="M238" s="80">
        <f t="shared" si="6"/>
        <v>70.349999999999994</v>
      </c>
      <c r="N238" s="80">
        <f t="shared" si="7"/>
        <v>70.319999999999993</v>
      </c>
      <c r="O238" s="153">
        <v>21.18</v>
      </c>
      <c r="P238" s="153">
        <v>21.16</v>
      </c>
      <c r="Q238" s="153">
        <v>21.12</v>
      </c>
      <c r="R238" s="153">
        <v>21.11</v>
      </c>
      <c r="S238" s="4"/>
      <c r="U238" s="147" t="s">
        <v>317</v>
      </c>
      <c r="V238" s="11"/>
      <c r="W238" s="4"/>
      <c r="X238" s="12"/>
      <c r="Y238" s="14"/>
      <c r="Z238" s="4"/>
      <c r="AA238" s="13"/>
      <c r="AB238" s="11"/>
      <c r="AC238" s="4"/>
      <c r="AD238" s="12"/>
      <c r="AE238" s="13"/>
      <c r="AF238" s="14">
        <v>5.0496999999999996</v>
      </c>
      <c r="AG238" s="133"/>
      <c r="AI238" s="84"/>
      <c r="AL238" s="64">
        <v>4.1726169500000001</v>
      </c>
      <c r="AM238" s="56">
        <v>13.840000000000069</v>
      </c>
      <c r="AN238" s="56">
        <v>15.740000000000091</v>
      </c>
      <c r="AO238" s="62">
        <v>21.840000000000082</v>
      </c>
      <c r="AQ238" s="64">
        <v>4.0820656999999994</v>
      </c>
      <c r="AR238" s="56">
        <v>13.419999999999989</v>
      </c>
      <c r="AS238" s="56">
        <v>14.81999999999992</v>
      </c>
      <c r="AT238" s="62">
        <v>18.77999999999993</v>
      </c>
      <c r="AV238" s="64">
        <v>3.7301610333333319</v>
      </c>
      <c r="AW238" s="56">
        <v>13.02000000000003</v>
      </c>
      <c r="AX238" s="56">
        <v>14.400000000000009</v>
      </c>
      <c r="AY238" s="62">
        <v>18.98</v>
      </c>
      <c r="BA238" s="64">
        <v>3.1920125166666669</v>
      </c>
      <c r="BB238" s="56">
        <v>15.78</v>
      </c>
      <c r="BC238" s="56">
        <v>18.160000000000039</v>
      </c>
      <c r="BD238" s="62">
        <v>29.82000000000005</v>
      </c>
      <c r="BF238" s="64">
        <v>2.9513631</v>
      </c>
      <c r="BG238" s="56">
        <v>19.380000000000042</v>
      </c>
      <c r="BH238" s="56">
        <v>26.420000000000069</v>
      </c>
      <c r="BI238" s="62">
        <v>54.84</v>
      </c>
      <c r="BJ238" s="70"/>
      <c r="BK238" s="51"/>
    </row>
    <row r="239" spans="1:63" x14ac:dyDescent="0.4">
      <c r="A239" s="11" t="s">
        <v>318</v>
      </c>
      <c r="B239" s="4"/>
      <c r="C239" s="4"/>
      <c r="D239" s="4"/>
      <c r="E239" s="12"/>
      <c r="G239" s="147" t="s">
        <v>318</v>
      </c>
      <c r="H239" s="159">
        <v>70.072999999999993</v>
      </c>
      <c r="I239" s="153">
        <v>70.36</v>
      </c>
      <c r="J239" s="153">
        <v>70.39</v>
      </c>
      <c r="K239" s="153">
        <v>70.34</v>
      </c>
      <c r="L239" s="153">
        <v>70.36</v>
      </c>
      <c r="M239" s="80">
        <f t="shared" si="6"/>
        <v>70.39</v>
      </c>
      <c r="N239" s="80">
        <f t="shared" si="7"/>
        <v>70.34</v>
      </c>
      <c r="O239" s="153">
        <v>21.19</v>
      </c>
      <c r="P239" s="153">
        <v>21.16</v>
      </c>
      <c r="Q239" s="153">
        <v>21.16</v>
      </c>
      <c r="R239" s="153">
        <v>21.13</v>
      </c>
      <c r="S239" s="4"/>
      <c r="U239" s="147" t="s">
        <v>318</v>
      </c>
      <c r="V239" s="11"/>
      <c r="W239" s="4"/>
      <c r="X239" s="12"/>
      <c r="Y239" s="14"/>
      <c r="Z239" s="4"/>
      <c r="AA239" s="13"/>
      <c r="AB239" s="11"/>
      <c r="AC239" s="4"/>
      <c r="AD239" s="12"/>
      <c r="AE239" s="13"/>
      <c r="AF239" s="14">
        <v>5.0434999999999999</v>
      </c>
      <c r="AG239" s="133"/>
      <c r="AI239" s="84"/>
      <c r="AL239" s="64">
        <v>4.1720495499999997</v>
      </c>
      <c r="AM239" s="56">
        <v>13.72</v>
      </c>
      <c r="AN239" s="56">
        <v>15.599999999999881</v>
      </c>
      <c r="AO239" s="62">
        <v>21.679999999999922</v>
      </c>
      <c r="AQ239" s="64">
        <v>4.0818848166666664</v>
      </c>
      <c r="AR239" s="56">
        <v>13.30000000000009</v>
      </c>
      <c r="AS239" s="56">
        <v>14.680000000000071</v>
      </c>
      <c r="AT239" s="62">
        <v>18.63999999999999</v>
      </c>
      <c r="AV239" s="64">
        <v>3.7298343666666658</v>
      </c>
      <c r="AW239" s="56">
        <v>12.88</v>
      </c>
      <c r="AX239" s="56">
        <v>14.260000000000071</v>
      </c>
      <c r="AY239" s="62">
        <v>18.84000000000006</v>
      </c>
      <c r="BA239" s="64">
        <v>3.1925351333333341</v>
      </c>
      <c r="BB239" s="56">
        <v>15.64000000000005</v>
      </c>
      <c r="BC239" s="56">
        <v>18.04000000000006</v>
      </c>
      <c r="BD239" s="62">
        <v>29.640000000000018</v>
      </c>
      <c r="BF239" s="64">
        <v>2.9516754666666669</v>
      </c>
      <c r="BG239" s="56">
        <v>19.200000000000021</v>
      </c>
      <c r="BH239" s="56">
        <v>26.22</v>
      </c>
      <c r="BI239" s="62">
        <v>54.499999999999993</v>
      </c>
      <c r="BJ239" s="69"/>
      <c r="BK239" s="51"/>
    </row>
    <row r="240" spans="1:63" x14ac:dyDescent="0.4">
      <c r="A240" s="11" t="s">
        <v>319</v>
      </c>
      <c r="B240" s="4"/>
      <c r="C240" s="4"/>
      <c r="D240" s="4"/>
      <c r="E240" s="12"/>
      <c r="G240" s="147" t="s">
        <v>319</v>
      </c>
      <c r="H240" s="159">
        <v>70.034000000000006</v>
      </c>
      <c r="I240" s="153">
        <v>70.38</v>
      </c>
      <c r="J240" s="153">
        <v>70.36</v>
      </c>
      <c r="K240" s="153">
        <v>70.36</v>
      </c>
      <c r="L240" s="153">
        <v>70.349999999999994</v>
      </c>
      <c r="M240" s="80">
        <f t="shared" si="6"/>
        <v>70.38</v>
      </c>
      <c r="N240" s="80">
        <f t="shared" si="7"/>
        <v>70.349999999999994</v>
      </c>
      <c r="O240" s="153">
        <v>21.18</v>
      </c>
      <c r="P240" s="153">
        <v>21.15</v>
      </c>
      <c r="Q240" s="153">
        <v>21.16</v>
      </c>
      <c r="R240" s="153">
        <v>21.14</v>
      </c>
      <c r="S240" s="4"/>
      <c r="U240" s="147" t="s">
        <v>319</v>
      </c>
      <c r="V240" s="11"/>
      <c r="W240" s="4"/>
      <c r="X240" s="12"/>
      <c r="Y240" s="14"/>
      <c r="Z240" s="4"/>
      <c r="AA240" s="13"/>
      <c r="AB240" s="11"/>
      <c r="AC240" s="4"/>
      <c r="AD240" s="12"/>
      <c r="AE240" s="13"/>
      <c r="AF240" s="14">
        <v>5.0472000000000001</v>
      </c>
      <c r="AG240" s="133"/>
      <c r="AI240" s="84"/>
      <c r="AL240" s="64">
        <v>4.1721330833333328</v>
      </c>
      <c r="AM240" s="56">
        <v>13.580000000000149</v>
      </c>
      <c r="AN240" s="56">
        <v>15.48000000000016</v>
      </c>
      <c r="AO240" s="62">
        <v>21.56000000000002</v>
      </c>
      <c r="AQ240" s="64">
        <v>4.0834882333333331</v>
      </c>
      <c r="AR240" s="56">
        <v>13.459999999999891</v>
      </c>
      <c r="AS240" s="56">
        <v>14.81999999999992</v>
      </c>
      <c r="AT240" s="62">
        <v>18.780000000000019</v>
      </c>
      <c r="AV240" s="64">
        <v>3.7313573999999989</v>
      </c>
      <c r="AW240" s="56">
        <v>13.03999999999998</v>
      </c>
      <c r="AX240" s="56">
        <v>14.41999999999997</v>
      </c>
      <c r="AY240" s="62">
        <v>18.99999999999995</v>
      </c>
      <c r="BA240" s="64">
        <v>3.193036283333333</v>
      </c>
      <c r="BB240" s="56">
        <v>16.039999999999921</v>
      </c>
      <c r="BC240" s="56">
        <v>18.43999999999992</v>
      </c>
      <c r="BD240" s="62">
        <v>30.19999999999996</v>
      </c>
      <c r="BF240" s="64">
        <v>2.9574907833333328</v>
      </c>
      <c r="BG240" s="56">
        <v>19.54000000000002</v>
      </c>
      <c r="BH240" s="56">
        <v>26.579999999999959</v>
      </c>
      <c r="BI240" s="62">
        <v>54.779999999999959</v>
      </c>
      <c r="BJ240" s="70"/>
      <c r="BK240" s="51"/>
    </row>
    <row r="241" spans="1:63" x14ac:dyDescent="0.4">
      <c r="A241" s="11" t="s">
        <v>320</v>
      </c>
      <c r="B241" s="4"/>
      <c r="C241" s="4"/>
      <c r="D241" s="4"/>
      <c r="E241" s="12"/>
      <c r="G241" s="147" t="s">
        <v>320</v>
      </c>
      <c r="H241" s="159">
        <v>70.078000000000003</v>
      </c>
      <c r="I241" s="153">
        <v>70.319999999999993</v>
      </c>
      <c r="J241" s="153">
        <v>70.36</v>
      </c>
      <c r="K241" s="153">
        <v>70.37</v>
      </c>
      <c r="L241" s="153">
        <v>70.36</v>
      </c>
      <c r="M241" s="80">
        <f t="shared" si="6"/>
        <v>70.37</v>
      </c>
      <c r="N241" s="80">
        <f t="shared" si="7"/>
        <v>70.319999999999993</v>
      </c>
      <c r="O241" s="153">
        <v>21.16</v>
      </c>
      <c r="P241" s="153">
        <v>21.14</v>
      </c>
      <c r="Q241" s="153">
        <v>21.14</v>
      </c>
      <c r="R241" s="153">
        <v>21.13</v>
      </c>
      <c r="S241" s="4"/>
      <c r="U241" s="147" t="s">
        <v>320</v>
      </c>
      <c r="V241" s="11"/>
      <c r="W241" s="4"/>
      <c r="X241" s="12"/>
      <c r="Y241" s="14"/>
      <c r="Z241" s="4"/>
      <c r="AA241" s="13"/>
      <c r="AB241" s="11"/>
      <c r="AC241" s="4"/>
      <c r="AD241" s="12"/>
      <c r="AE241" s="13"/>
      <c r="AF241" s="14">
        <v>5.0037000000000003</v>
      </c>
      <c r="AG241" s="133"/>
      <c r="AI241" s="84"/>
      <c r="AL241" s="64">
        <v>4.1719892666666656</v>
      </c>
      <c r="AM241" s="56">
        <v>13.659999999999959</v>
      </c>
      <c r="AN241" s="56">
        <v>15.579999999999931</v>
      </c>
      <c r="AO241" s="62">
        <v>21.659999999999972</v>
      </c>
      <c r="AQ241" s="64">
        <v>4.0824736166666664</v>
      </c>
      <c r="AR241" s="56">
        <v>13.3799999999999</v>
      </c>
      <c r="AS241" s="56">
        <v>14.759999999999881</v>
      </c>
      <c r="AT241" s="62">
        <v>18.719999999999889</v>
      </c>
      <c r="AV241" s="64">
        <v>3.7303204500000011</v>
      </c>
      <c r="AW241" s="56">
        <v>12.95999999999999</v>
      </c>
      <c r="AX241" s="56">
        <v>14.32000000000002</v>
      </c>
      <c r="AY241" s="62">
        <v>18.900000000000009</v>
      </c>
      <c r="BA241" s="64">
        <v>3.1929648166666671</v>
      </c>
      <c r="BB241" s="56">
        <v>15.74</v>
      </c>
      <c r="BC241" s="56">
        <v>18.120000000000051</v>
      </c>
      <c r="BD241" s="62">
        <v>29.760000000000009</v>
      </c>
      <c r="BF241" s="64">
        <v>2.9526449833333328</v>
      </c>
      <c r="BG241" s="56">
        <v>19.240000000000009</v>
      </c>
      <c r="BH241" s="56">
        <v>26.259999999999991</v>
      </c>
      <c r="BI241" s="62">
        <v>54.499999999999993</v>
      </c>
      <c r="BJ241" s="70"/>
      <c r="BK241" s="51"/>
    </row>
    <row r="242" spans="1:63" x14ac:dyDescent="0.4">
      <c r="A242" s="11" t="s">
        <v>321</v>
      </c>
      <c r="B242" s="4"/>
      <c r="C242" s="4"/>
      <c r="D242" s="4"/>
      <c r="E242" s="12"/>
      <c r="G242" s="147" t="s">
        <v>321</v>
      </c>
      <c r="H242" s="159">
        <v>69.927999999999997</v>
      </c>
      <c r="I242" s="153">
        <v>70.38</v>
      </c>
      <c r="J242" s="153">
        <v>70.349999999999994</v>
      </c>
      <c r="K242" s="153">
        <v>70.34</v>
      </c>
      <c r="L242" s="153">
        <v>70.349999999999994</v>
      </c>
      <c r="M242" s="80">
        <f t="shared" si="6"/>
        <v>70.38</v>
      </c>
      <c r="N242" s="80">
        <f t="shared" si="7"/>
        <v>70.34</v>
      </c>
      <c r="O242" s="153">
        <v>21.17</v>
      </c>
      <c r="P242" s="153">
        <v>21.16</v>
      </c>
      <c r="Q242" s="153">
        <v>21.13</v>
      </c>
      <c r="R242" s="153">
        <v>21.12</v>
      </c>
      <c r="S242" s="4"/>
      <c r="U242" s="147" t="s">
        <v>321</v>
      </c>
      <c r="V242" s="11"/>
      <c r="W242" s="4"/>
      <c r="X242" s="12"/>
      <c r="Y242" s="14"/>
      <c r="Z242" s="4"/>
      <c r="AA242" s="13"/>
      <c r="AB242" s="11"/>
      <c r="AC242" s="4"/>
      <c r="AD242" s="12"/>
      <c r="AE242" s="13"/>
      <c r="AF242" s="14">
        <v>5.0049999999999999</v>
      </c>
      <c r="AG242" s="133"/>
      <c r="AI242" s="84"/>
      <c r="AL242" s="64">
        <v>4.1721116333333326</v>
      </c>
      <c r="AM242" s="56">
        <v>14.76000000000006</v>
      </c>
      <c r="AN242" s="56">
        <v>16.740000000000069</v>
      </c>
      <c r="AO242" s="62">
        <v>22.80000000000015</v>
      </c>
      <c r="AQ242" s="64">
        <v>4.0800718500000004</v>
      </c>
      <c r="AR242" s="56">
        <v>14.43999999999992</v>
      </c>
      <c r="AS242" s="56">
        <v>15.920000000000019</v>
      </c>
      <c r="AT242" s="62">
        <v>20.080000000000009</v>
      </c>
      <c r="AV242" s="64">
        <v>3.726197766666667</v>
      </c>
      <c r="AW242" s="56">
        <v>13.82000000000003</v>
      </c>
      <c r="AX242" s="56">
        <v>15.30000000000005</v>
      </c>
      <c r="AY242" s="62">
        <v>20.14000000000005</v>
      </c>
      <c r="BA242" s="64">
        <v>3.178685016666666</v>
      </c>
      <c r="BB242" s="56">
        <v>16.939999999999959</v>
      </c>
      <c r="BC242" s="56">
        <v>19.47999999999999</v>
      </c>
      <c r="BD242" s="62">
        <v>31.75999999999997</v>
      </c>
      <c r="BF242" s="64">
        <v>2.9324167833333332</v>
      </c>
      <c r="BG242" s="56">
        <v>20.39999999999997</v>
      </c>
      <c r="BH242" s="56">
        <v>27.119999999999941</v>
      </c>
      <c r="BI242" s="62">
        <v>55.759999999999991</v>
      </c>
      <c r="BJ242" s="70"/>
      <c r="BK242" s="51"/>
    </row>
    <row r="243" spans="1:63" x14ac:dyDescent="0.4">
      <c r="A243" s="11" t="s">
        <v>322</v>
      </c>
      <c r="B243" s="4"/>
      <c r="C243" s="4"/>
      <c r="D243" s="4"/>
      <c r="E243" s="12"/>
      <c r="G243" s="147" t="s">
        <v>322</v>
      </c>
      <c r="H243" s="159">
        <v>70.013999999999996</v>
      </c>
      <c r="I243" s="153">
        <v>70.31</v>
      </c>
      <c r="J243" s="153">
        <v>70.349999999999994</v>
      </c>
      <c r="K243" s="153">
        <v>70.31</v>
      </c>
      <c r="L243" s="153">
        <v>70.319999999999993</v>
      </c>
      <c r="M243" s="80">
        <f t="shared" si="6"/>
        <v>70.349999999999994</v>
      </c>
      <c r="N243" s="80">
        <f t="shared" si="7"/>
        <v>70.31</v>
      </c>
      <c r="O243" s="153">
        <v>21.17</v>
      </c>
      <c r="P243" s="153">
        <v>21.15</v>
      </c>
      <c r="Q243" s="153">
        <v>21.14</v>
      </c>
      <c r="R243" s="153">
        <v>21.12</v>
      </c>
      <c r="S243" s="4"/>
      <c r="U243" s="147" t="s">
        <v>322</v>
      </c>
      <c r="V243" s="11"/>
      <c r="W243" s="4"/>
      <c r="X243" s="12"/>
      <c r="Y243" s="14"/>
      <c r="Z243" s="4"/>
      <c r="AA243" s="13"/>
      <c r="AB243" s="11"/>
      <c r="AC243" s="4"/>
      <c r="AD243" s="12"/>
      <c r="AE243" s="13"/>
      <c r="AF243" s="14">
        <v>5.0288000000000004</v>
      </c>
      <c r="AG243" s="133"/>
      <c r="AI243" s="84"/>
      <c r="AL243" s="64">
        <v>4.1718800666666684</v>
      </c>
      <c r="AM243" s="56">
        <v>14.87999999999996</v>
      </c>
      <c r="AN243" s="56">
        <v>16.85999999999996</v>
      </c>
      <c r="AO243" s="62">
        <v>23.039999999999949</v>
      </c>
      <c r="AQ243" s="64">
        <v>4.0817073833333319</v>
      </c>
      <c r="AR243" s="56">
        <v>14.739999999999929</v>
      </c>
      <c r="AS243" s="56">
        <v>16.239999999999991</v>
      </c>
      <c r="AT243" s="62">
        <v>20.419999999999931</v>
      </c>
      <c r="AV243" s="64">
        <v>3.7270808999999998</v>
      </c>
      <c r="AW243" s="56">
        <v>14.299999999999979</v>
      </c>
      <c r="AX243" s="56">
        <v>15.80000000000004</v>
      </c>
      <c r="AY243" s="62">
        <v>20.699999999999989</v>
      </c>
      <c r="BA243" s="64">
        <v>3.178072283333333</v>
      </c>
      <c r="BB243" s="56">
        <v>17.35999999999995</v>
      </c>
      <c r="BC243" s="56">
        <v>19.95999999999993</v>
      </c>
      <c r="BD243" s="62">
        <v>32.379999999999953</v>
      </c>
      <c r="BF243" s="64">
        <v>2.9373204333333329</v>
      </c>
      <c r="BG243" s="56">
        <v>20.819999999999968</v>
      </c>
      <c r="BH243" s="56">
        <v>27.78</v>
      </c>
      <c r="BI243" s="62">
        <v>56.540000000000028</v>
      </c>
      <c r="BJ243" s="70"/>
      <c r="BK243" s="51"/>
    </row>
    <row r="244" spans="1:63" x14ac:dyDescent="0.4">
      <c r="A244" s="11" t="s">
        <v>323</v>
      </c>
      <c r="B244" s="4"/>
      <c r="C244" s="4"/>
      <c r="D244" s="4"/>
      <c r="E244" s="12"/>
      <c r="G244" s="147" t="s">
        <v>323</v>
      </c>
      <c r="H244" s="159">
        <v>69.956999999999994</v>
      </c>
      <c r="I244" s="153">
        <v>70.33</v>
      </c>
      <c r="J244" s="153">
        <v>70.34</v>
      </c>
      <c r="K244" s="153">
        <v>70.349999999999994</v>
      </c>
      <c r="L244" s="153">
        <v>70.349999999999994</v>
      </c>
      <c r="M244" s="80">
        <f t="shared" si="6"/>
        <v>70.349999999999994</v>
      </c>
      <c r="N244" s="80">
        <f t="shared" si="7"/>
        <v>70.33</v>
      </c>
      <c r="O244" s="153">
        <v>21.18</v>
      </c>
      <c r="P244" s="153">
        <v>21.17</v>
      </c>
      <c r="Q244" s="153">
        <v>21.14</v>
      </c>
      <c r="R244" s="153">
        <v>21.1</v>
      </c>
      <c r="S244" s="4"/>
      <c r="U244" s="147" t="s">
        <v>323</v>
      </c>
      <c r="V244" s="11"/>
      <c r="W244" s="4"/>
      <c r="X244" s="12"/>
      <c r="Y244" s="14"/>
      <c r="Z244" s="4"/>
      <c r="AA244" s="13"/>
      <c r="AB244" s="11"/>
      <c r="AC244" s="4"/>
      <c r="AD244" s="12"/>
      <c r="AE244" s="13"/>
      <c r="AF244" s="14">
        <v>5.0282999999999998</v>
      </c>
      <c r="AG244" s="133"/>
      <c r="AI244" s="84"/>
      <c r="AL244" s="64">
        <v>4.1720651000000002</v>
      </c>
      <c r="AM244" s="56">
        <v>14.24000000000003</v>
      </c>
      <c r="AN244" s="56">
        <v>16.16</v>
      </c>
      <c r="AO244" s="62">
        <v>22.240000000000041</v>
      </c>
      <c r="AQ244" s="64">
        <v>4.0790471333333338</v>
      </c>
      <c r="AR244" s="56">
        <v>13.400000000000031</v>
      </c>
      <c r="AS244" s="56">
        <v>14.780000000000021</v>
      </c>
      <c r="AT244" s="62">
        <v>18.760000000000069</v>
      </c>
      <c r="AV244" s="64">
        <v>3.7245949</v>
      </c>
      <c r="AW244" s="56">
        <v>13.03999999999998</v>
      </c>
      <c r="AX244" s="56">
        <v>14.41999999999997</v>
      </c>
      <c r="AY244" s="62">
        <v>19.059999999999992</v>
      </c>
      <c r="BA244" s="64">
        <v>3.183379</v>
      </c>
      <c r="BB244" s="56">
        <v>16.12</v>
      </c>
      <c r="BC244" s="56">
        <v>18.559999999999999</v>
      </c>
      <c r="BD244" s="62">
        <v>30.499999999999972</v>
      </c>
      <c r="BF244" s="64">
        <v>2.948335849999999</v>
      </c>
      <c r="BG244" s="56">
        <v>19.519999999999978</v>
      </c>
      <c r="BH244" s="56">
        <v>26.240000000000041</v>
      </c>
      <c r="BI244" s="62">
        <v>53.66</v>
      </c>
      <c r="BJ244" s="70"/>
      <c r="BK244" s="51"/>
    </row>
    <row r="245" spans="1:63" x14ac:dyDescent="0.4">
      <c r="A245" s="11" t="s">
        <v>324</v>
      </c>
      <c r="B245" s="4"/>
      <c r="C245" s="4"/>
      <c r="D245" s="4"/>
      <c r="E245" s="12"/>
      <c r="G245" s="147" t="s">
        <v>324</v>
      </c>
      <c r="H245" s="159">
        <v>69.977000000000004</v>
      </c>
      <c r="I245" s="153">
        <v>70.38</v>
      </c>
      <c r="J245" s="153">
        <v>70.31</v>
      </c>
      <c r="K245" s="153">
        <v>70.319999999999993</v>
      </c>
      <c r="L245" s="153">
        <v>70.319999999999993</v>
      </c>
      <c r="M245" s="80">
        <f t="shared" si="6"/>
        <v>70.38</v>
      </c>
      <c r="N245" s="80">
        <f t="shared" si="7"/>
        <v>70.31</v>
      </c>
      <c r="O245" s="153">
        <v>21.17</v>
      </c>
      <c r="P245" s="153">
        <v>21.16</v>
      </c>
      <c r="Q245" s="153">
        <v>21.13</v>
      </c>
      <c r="R245" s="153">
        <v>21.11</v>
      </c>
      <c r="S245" s="4"/>
      <c r="U245" s="147" t="s">
        <v>324</v>
      </c>
      <c r="V245" s="11"/>
      <c r="W245" s="4"/>
      <c r="X245" s="12"/>
      <c r="Y245" s="14"/>
      <c r="Z245" s="4"/>
      <c r="AA245" s="13"/>
      <c r="AB245" s="11"/>
      <c r="AC245" s="4"/>
      <c r="AD245" s="12"/>
      <c r="AE245" s="13"/>
      <c r="AF245" s="14">
        <v>5.0076000000000001</v>
      </c>
      <c r="AG245" s="133"/>
      <c r="AI245" s="84"/>
      <c r="AL245" s="64">
        <v>4.172179083333333</v>
      </c>
      <c r="AM245" s="56">
        <v>13.79999999999999</v>
      </c>
      <c r="AN245" s="56">
        <v>15.71999999999996</v>
      </c>
      <c r="AO245" s="62">
        <v>21.78000000000004</v>
      </c>
      <c r="AQ245" s="64">
        <v>4.080851449999999</v>
      </c>
      <c r="AR245" s="56">
        <v>13.26000000000001</v>
      </c>
      <c r="AS245" s="56">
        <v>14.63999999999999</v>
      </c>
      <c r="AT245" s="62">
        <v>18.579999999999949</v>
      </c>
      <c r="AV245" s="64">
        <v>3.7266772499999998</v>
      </c>
      <c r="AW245" s="56">
        <v>12.88</v>
      </c>
      <c r="AX245" s="56">
        <v>14.279999999999941</v>
      </c>
      <c r="AY245" s="62">
        <v>18.900000000000009</v>
      </c>
      <c r="BA245" s="64">
        <v>3.1831905833333329</v>
      </c>
      <c r="BB245" s="56">
        <v>15.860000000000079</v>
      </c>
      <c r="BC245" s="56">
        <v>18.320000000000029</v>
      </c>
      <c r="BD245" s="62">
        <v>30.300000000000079</v>
      </c>
      <c r="BF245" s="64">
        <v>2.9453537999999999</v>
      </c>
      <c r="BG245" s="56">
        <v>19.299999999999962</v>
      </c>
      <c r="BH245" s="56">
        <v>25.8</v>
      </c>
      <c r="BI245" s="62">
        <v>53.460000000000022</v>
      </c>
      <c r="BJ245" s="69"/>
      <c r="BK245" s="57"/>
    </row>
    <row r="246" spans="1:63" x14ac:dyDescent="0.4">
      <c r="A246" s="11" t="s">
        <v>325</v>
      </c>
      <c r="B246" s="4"/>
      <c r="C246" s="4"/>
      <c r="D246" s="4"/>
      <c r="E246" s="12"/>
      <c r="G246" s="147" t="s">
        <v>325</v>
      </c>
      <c r="H246" s="159">
        <v>70.042000000000002</v>
      </c>
      <c r="I246" s="153">
        <v>70.38</v>
      </c>
      <c r="J246" s="153">
        <v>70.349999999999994</v>
      </c>
      <c r="K246" s="153">
        <v>70.31</v>
      </c>
      <c r="L246" s="153">
        <v>70.319999999999993</v>
      </c>
      <c r="M246" s="80">
        <f t="shared" si="6"/>
        <v>70.38</v>
      </c>
      <c r="N246" s="80">
        <f t="shared" si="7"/>
        <v>70.31</v>
      </c>
      <c r="O246" s="153">
        <v>21.15</v>
      </c>
      <c r="P246" s="153">
        <v>21.13</v>
      </c>
      <c r="Q246" s="153">
        <v>21.16</v>
      </c>
      <c r="R246" s="153">
        <v>21.11</v>
      </c>
      <c r="S246" s="4"/>
      <c r="U246" s="147" t="s">
        <v>325</v>
      </c>
      <c r="V246" s="11"/>
      <c r="W246" s="4"/>
      <c r="X246" s="12"/>
      <c r="Y246" s="14"/>
      <c r="Z246" s="4"/>
      <c r="AA246" s="13"/>
      <c r="AB246" s="11"/>
      <c r="AC246" s="4"/>
      <c r="AD246" s="12"/>
      <c r="AE246" s="13"/>
      <c r="AF246" s="14">
        <v>5.0125000000000002</v>
      </c>
      <c r="AG246" s="133"/>
      <c r="AI246" s="84"/>
      <c r="AL246" s="64">
        <v>4.1719157666666673</v>
      </c>
      <c r="AM246" s="56">
        <v>13.840000000000069</v>
      </c>
      <c r="AN246" s="56">
        <v>15.760000000000041</v>
      </c>
      <c r="AO246" s="62">
        <v>21.8</v>
      </c>
      <c r="AQ246" s="64">
        <v>4.0821198999999986</v>
      </c>
      <c r="AR246" s="56">
        <v>13.480000000000031</v>
      </c>
      <c r="AS246" s="56">
        <v>14.880000000000139</v>
      </c>
      <c r="AT246" s="62">
        <v>18.880000000000049</v>
      </c>
      <c r="AV246" s="64">
        <v>3.72860725</v>
      </c>
      <c r="AW246" s="56">
        <v>13.100000000000019</v>
      </c>
      <c r="AX246" s="56">
        <v>14.499999999999959</v>
      </c>
      <c r="AY246" s="62">
        <v>19.160000000000021</v>
      </c>
      <c r="BA246" s="64">
        <v>3.182224216666667</v>
      </c>
      <c r="BB246" s="56">
        <v>16.27999999999998</v>
      </c>
      <c r="BC246" s="56">
        <v>18.75999999999998</v>
      </c>
      <c r="BD246" s="62">
        <v>30.960000000000051</v>
      </c>
      <c r="BF246" s="64">
        <v>2.9470659000000001</v>
      </c>
      <c r="BG246" s="56">
        <v>19.660000000000011</v>
      </c>
      <c r="BH246" s="56">
        <v>26.38000000000007</v>
      </c>
      <c r="BI246" s="62">
        <v>54.400000000000048</v>
      </c>
      <c r="BJ246" s="70"/>
      <c r="BK246" s="51"/>
    </row>
    <row r="247" spans="1:63" x14ac:dyDescent="0.4">
      <c r="A247" s="11" t="s">
        <v>326</v>
      </c>
      <c r="B247" s="4"/>
      <c r="C247" s="4"/>
      <c r="D247" s="4"/>
      <c r="E247" s="12"/>
      <c r="G247" s="147" t="s">
        <v>326</v>
      </c>
      <c r="H247" s="159">
        <v>70.072000000000003</v>
      </c>
      <c r="I247" s="153">
        <v>70.34</v>
      </c>
      <c r="J247" s="153">
        <v>70.34</v>
      </c>
      <c r="K247" s="153">
        <v>70.349999999999994</v>
      </c>
      <c r="L247" s="153">
        <v>70.319999999999993</v>
      </c>
      <c r="M247" s="80">
        <f t="shared" si="6"/>
        <v>70.349999999999994</v>
      </c>
      <c r="N247" s="80">
        <f t="shared" si="7"/>
        <v>70.319999999999993</v>
      </c>
      <c r="O247" s="153">
        <v>21.16</v>
      </c>
      <c r="P247" s="153">
        <v>21.14</v>
      </c>
      <c r="Q247" s="153">
        <v>21.15</v>
      </c>
      <c r="R247" s="153">
        <v>21.12</v>
      </c>
      <c r="S247" s="4"/>
      <c r="U247" s="147" t="s">
        <v>326</v>
      </c>
      <c r="V247" s="11"/>
      <c r="W247" s="4"/>
      <c r="X247" s="12"/>
      <c r="Y247" s="14"/>
      <c r="Z247" s="4"/>
      <c r="AA247" s="13"/>
      <c r="AB247" s="11"/>
      <c r="AC247" s="4"/>
      <c r="AD247" s="12"/>
      <c r="AE247" s="13"/>
      <c r="AF247" s="14">
        <v>5.0361000000000002</v>
      </c>
      <c r="AG247" s="133"/>
      <c r="AI247" s="84"/>
      <c r="AL247" s="64">
        <v>4.1716658500000001</v>
      </c>
      <c r="AM247" s="56">
        <v>14.179999999999991</v>
      </c>
      <c r="AN247" s="56">
        <v>16.099999999999959</v>
      </c>
      <c r="AO247" s="62">
        <v>22.139999999999919</v>
      </c>
      <c r="AQ247" s="64">
        <v>4.0799990833333322</v>
      </c>
      <c r="AR247" s="56">
        <v>13.400000000000031</v>
      </c>
      <c r="AS247" s="56">
        <v>14.799999999999971</v>
      </c>
      <c r="AT247" s="62">
        <v>18.820000000000011</v>
      </c>
      <c r="AV247" s="64">
        <v>3.725660200000001</v>
      </c>
      <c r="AW247" s="56">
        <v>12.979999999999951</v>
      </c>
      <c r="AX247" s="56">
        <v>14.39999999999992</v>
      </c>
      <c r="AY247" s="62">
        <v>19.039999999999949</v>
      </c>
      <c r="BA247" s="64">
        <v>3.1791915166666671</v>
      </c>
      <c r="BB247" s="56">
        <v>15.96000000000002</v>
      </c>
      <c r="BC247" s="56">
        <v>18.440000000000008</v>
      </c>
      <c r="BD247" s="62">
        <v>30.560000000000009</v>
      </c>
      <c r="BF247" s="64">
        <v>2.946663083333334</v>
      </c>
      <c r="BG247" s="56">
        <v>19.21999999999997</v>
      </c>
      <c r="BH247" s="56">
        <v>25.899999999999949</v>
      </c>
      <c r="BI247" s="62">
        <v>53.499999999999922</v>
      </c>
      <c r="BJ247" s="70"/>
      <c r="BK247" s="51"/>
    </row>
    <row r="248" spans="1:63" x14ac:dyDescent="0.4">
      <c r="A248" s="11" t="s">
        <v>327</v>
      </c>
      <c r="B248" s="4"/>
      <c r="C248" s="4"/>
      <c r="D248" s="4"/>
      <c r="E248" s="12"/>
      <c r="G248" s="147" t="s">
        <v>327</v>
      </c>
      <c r="H248" s="159">
        <v>70.049000000000007</v>
      </c>
      <c r="I248" s="153">
        <v>70.34</v>
      </c>
      <c r="J248" s="153">
        <v>70.36</v>
      </c>
      <c r="K248" s="153">
        <v>70.349999999999994</v>
      </c>
      <c r="L248" s="153">
        <v>70.36</v>
      </c>
      <c r="M248" s="80">
        <f t="shared" si="6"/>
        <v>70.36</v>
      </c>
      <c r="N248" s="80">
        <f t="shared" si="7"/>
        <v>70.34</v>
      </c>
      <c r="O248" s="153">
        <v>21.2</v>
      </c>
      <c r="P248" s="153">
        <v>21.16</v>
      </c>
      <c r="Q248" s="153">
        <v>21.15</v>
      </c>
      <c r="R248" s="153">
        <v>21.12</v>
      </c>
      <c r="S248" s="4"/>
      <c r="U248" s="147" t="s">
        <v>327</v>
      </c>
      <c r="V248" s="11"/>
      <c r="W248" s="4"/>
      <c r="X248" s="12"/>
      <c r="Y248" s="14"/>
      <c r="Z248" s="4"/>
      <c r="AA248" s="13"/>
      <c r="AB248" s="11"/>
      <c r="AC248" s="4"/>
      <c r="AD248" s="12"/>
      <c r="AE248" s="13"/>
      <c r="AF248" s="14">
        <v>5.0334000000000003</v>
      </c>
      <c r="AG248" s="133"/>
      <c r="AI248" s="84"/>
      <c r="AL248" s="64">
        <v>4.1715982166666663</v>
      </c>
      <c r="AM248" s="56">
        <v>13.8399999999999</v>
      </c>
      <c r="AN248" s="56">
        <v>15.73999999999991</v>
      </c>
      <c r="AO248" s="62">
        <v>21.8</v>
      </c>
      <c r="AQ248" s="64">
        <v>4.0827757</v>
      </c>
      <c r="AR248" s="56">
        <v>13.439999999999941</v>
      </c>
      <c r="AS248" s="56">
        <v>14.81999999999992</v>
      </c>
      <c r="AT248" s="62">
        <v>18.77999999999993</v>
      </c>
      <c r="AV248" s="64">
        <v>3.730195516666666</v>
      </c>
      <c r="AW248" s="56">
        <v>13.02000000000003</v>
      </c>
      <c r="AX248" s="56">
        <v>14.400000000000009</v>
      </c>
      <c r="AY248" s="62">
        <v>18.98</v>
      </c>
      <c r="BA248" s="64">
        <v>3.190816883333333</v>
      </c>
      <c r="BB248" s="56">
        <v>15.939999999999969</v>
      </c>
      <c r="BC248" s="56">
        <v>18.40000000000002</v>
      </c>
      <c r="BD248" s="62">
        <v>30.28000000000004</v>
      </c>
      <c r="BF248" s="64">
        <v>2.959998300000001</v>
      </c>
      <c r="BG248" s="56">
        <v>19.519999999999978</v>
      </c>
      <c r="BH248" s="56">
        <v>26.29999999999999</v>
      </c>
      <c r="BI248" s="62">
        <v>54.11999999999999</v>
      </c>
      <c r="BJ248" s="69"/>
      <c r="BK248" s="51"/>
    </row>
    <row r="249" spans="1:63" x14ac:dyDescent="0.4">
      <c r="A249" s="11" t="s">
        <v>328</v>
      </c>
      <c r="B249" s="4"/>
      <c r="C249" s="4"/>
      <c r="D249" s="4"/>
      <c r="E249" s="12"/>
      <c r="G249" s="147" t="s">
        <v>328</v>
      </c>
      <c r="H249" s="159">
        <v>70.031999999999996</v>
      </c>
      <c r="I249" s="153">
        <v>70.349999999999994</v>
      </c>
      <c r="J249" s="153">
        <v>70.33</v>
      </c>
      <c r="K249" s="153">
        <v>70.37</v>
      </c>
      <c r="L249" s="153">
        <v>70.36</v>
      </c>
      <c r="M249" s="80">
        <f t="shared" si="6"/>
        <v>70.37</v>
      </c>
      <c r="N249" s="80">
        <f t="shared" si="7"/>
        <v>70.33</v>
      </c>
      <c r="O249" s="153">
        <v>21.2</v>
      </c>
      <c r="P249" s="153">
        <v>21.17</v>
      </c>
      <c r="Q249" s="153">
        <v>21.14</v>
      </c>
      <c r="R249" s="153">
        <v>21.12</v>
      </c>
      <c r="S249" s="4"/>
      <c r="U249" s="147" t="s">
        <v>328</v>
      </c>
      <c r="V249" s="11"/>
      <c r="W249" s="4"/>
      <c r="X249" s="12"/>
      <c r="Y249" s="14"/>
      <c r="Z249" s="4"/>
      <c r="AA249" s="13"/>
      <c r="AB249" s="11"/>
      <c r="AC249" s="4"/>
      <c r="AD249" s="12"/>
      <c r="AE249" s="13"/>
      <c r="AF249" s="14">
        <v>5.0446999999999997</v>
      </c>
      <c r="AG249" s="133"/>
      <c r="AI249" s="84"/>
      <c r="AL249" s="64">
        <v>4.1714155000000002</v>
      </c>
      <c r="AM249" s="56">
        <v>13.66000000000014</v>
      </c>
      <c r="AN249" s="56">
        <v>15.55999999999997</v>
      </c>
      <c r="AO249" s="62">
        <v>21.640000000000011</v>
      </c>
      <c r="AQ249" s="64">
        <v>4.0831131166666674</v>
      </c>
      <c r="AR249" s="56">
        <v>13.459999999999891</v>
      </c>
      <c r="AS249" s="56">
        <v>14.839999999999881</v>
      </c>
      <c r="AT249" s="62">
        <v>18.839999999999971</v>
      </c>
      <c r="AV249" s="64">
        <v>3.7306297000000002</v>
      </c>
      <c r="AW249" s="56">
        <v>12.999999999999989</v>
      </c>
      <c r="AX249" s="56">
        <v>14.400000000000009</v>
      </c>
      <c r="AY249" s="62">
        <v>19.000000000000039</v>
      </c>
      <c r="BA249" s="64">
        <v>3.1896157166666659</v>
      </c>
      <c r="BB249" s="56">
        <v>15.96000000000002</v>
      </c>
      <c r="BC249" s="56">
        <v>18.40000000000002</v>
      </c>
      <c r="BD249" s="62">
        <v>30.26</v>
      </c>
      <c r="BF249" s="64">
        <v>2.9566403833333328</v>
      </c>
      <c r="BG249" s="56">
        <v>19.45999999999994</v>
      </c>
      <c r="BH249" s="56">
        <v>26.41999999999998</v>
      </c>
      <c r="BI249" s="62">
        <v>54.539999999999992</v>
      </c>
      <c r="BJ249" s="70"/>
      <c r="BK249" s="51"/>
    </row>
    <row r="250" spans="1:63" x14ac:dyDescent="0.4">
      <c r="A250" s="11" t="s">
        <v>329</v>
      </c>
      <c r="B250" s="4"/>
      <c r="C250" s="4"/>
      <c r="D250" s="4"/>
      <c r="E250" s="12"/>
      <c r="G250" s="147" t="s">
        <v>329</v>
      </c>
      <c r="H250" s="159">
        <v>70.033000000000001</v>
      </c>
      <c r="I250" s="153">
        <v>70.38</v>
      </c>
      <c r="J250" s="153">
        <v>70.36</v>
      </c>
      <c r="K250" s="153">
        <v>70.34</v>
      </c>
      <c r="L250" s="153">
        <v>70.349999999999994</v>
      </c>
      <c r="M250" s="80">
        <f t="shared" si="6"/>
        <v>70.38</v>
      </c>
      <c r="N250" s="80">
        <f t="shared" si="7"/>
        <v>70.34</v>
      </c>
      <c r="O250" s="153">
        <v>21.22</v>
      </c>
      <c r="P250" s="153">
        <v>21.08</v>
      </c>
      <c r="Q250" s="153">
        <v>21.14</v>
      </c>
      <c r="R250" s="153">
        <v>21.08</v>
      </c>
      <c r="S250" s="4"/>
      <c r="U250" s="147" t="s">
        <v>329</v>
      </c>
      <c r="V250" s="11"/>
      <c r="W250" s="4"/>
      <c r="X250" s="12"/>
      <c r="Y250" s="14"/>
      <c r="Z250" s="4"/>
      <c r="AA250" s="13"/>
      <c r="AB250" s="11"/>
      <c r="AC250" s="4"/>
      <c r="AD250" s="12"/>
      <c r="AE250" s="13"/>
      <c r="AF250" s="14">
        <v>5.0529999999999999</v>
      </c>
      <c r="AG250" s="133"/>
      <c r="AI250" s="84"/>
      <c r="AL250" s="64">
        <v>4.1715895666666656</v>
      </c>
      <c r="AM250" s="56">
        <v>13.959999999999971</v>
      </c>
      <c r="AN250" s="56">
        <v>15.859999999999991</v>
      </c>
      <c r="AO250" s="62">
        <v>21.94000000000003</v>
      </c>
      <c r="AQ250" s="64">
        <v>4.0820099499999998</v>
      </c>
      <c r="AR250" s="56">
        <v>13.61999999999988</v>
      </c>
      <c r="AS250" s="56">
        <v>14.99999999999986</v>
      </c>
      <c r="AT250" s="62">
        <v>18.979999999999912</v>
      </c>
      <c r="AV250" s="64">
        <v>3.7295764166666672</v>
      </c>
      <c r="AW250" s="56">
        <v>13.25999999999992</v>
      </c>
      <c r="AX250" s="56">
        <v>14.65999999999994</v>
      </c>
      <c r="AY250" s="62">
        <v>19.299999999999962</v>
      </c>
      <c r="BA250" s="64">
        <v>3.1916035833333329</v>
      </c>
      <c r="BB250" s="56">
        <v>16.38000000000002</v>
      </c>
      <c r="BC250" s="56">
        <v>18.800000000000061</v>
      </c>
      <c r="BD250" s="62">
        <v>30.64</v>
      </c>
      <c r="BF250" s="64">
        <v>2.956660583333333</v>
      </c>
      <c r="BG250" s="56">
        <v>19.81999999999999</v>
      </c>
      <c r="BH250" s="56">
        <v>26.839999999999971</v>
      </c>
      <c r="BI250" s="62">
        <v>54.779999999999959</v>
      </c>
      <c r="BJ250" s="70"/>
      <c r="BK250" s="51"/>
    </row>
    <row r="251" spans="1:63" x14ac:dyDescent="0.4">
      <c r="A251" s="11" t="s">
        <v>330</v>
      </c>
      <c r="B251" s="4"/>
      <c r="C251" s="4"/>
      <c r="D251" s="4"/>
      <c r="E251" s="12"/>
      <c r="G251" s="147" t="s">
        <v>330</v>
      </c>
      <c r="H251" s="159">
        <v>69.950999999999993</v>
      </c>
      <c r="I251" s="153">
        <v>70.37</v>
      </c>
      <c r="J251" s="153">
        <v>70.38</v>
      </c>
      <c r="K251" s="153">
        <v>70.349999999999994</v>
      </c>
      <c r="L251" s="153">
        <v>70.36</v>
      </c>
      <c r="M251" s="80">
        <f t="shared" si="6"/>
        <v>70.38</v>
      </c>
      <c r="N251" s="80">
        <f t="shared" si="7"/>
        <v>70.349999999999994</v>
      </c>
      <c r="O251" s="153">
        <v>21.16</v>
      </c>
      <c r="P251" s="153">
        <v>21.14</v>
      </c>
      <c r="Q251" s="153">
        <v>21.14</v>
      </c>
      <c r="R251" s="153">
        <v>21.09</v>
      </c>
      <c r="S251" s="4"/>
      <c r="U251" s="147" t="s">
        <v>330</v>
      </c>
      <c r="V251" s="11"/>
      <c r="W251" s="4"/>
      <c r="X251" s="12"/>
      <c r="Y251" s="14"/>
      <c r="Z251" s="4"/>
      <c r="AA251" s="13"/>
      <c r="AB251" s="11"/>
      <c r="AC251" s="4"/>
      <c r="AD251" s="12"/>
      <c r="AE251" s="13"/>
      <c r="AF251" s="14">
        <v>5.0050999999999997</v>
      </c>
      <c r="AG251" s="133"/>
      <c r="AI251" s="84"/>
      <c r="AL251" s="64">
        <v>4.1716411666666673</v>
      </c>
      <c r="AM251" s="56">
        <v>13.8399999999999</v>
      </c>
      <c r="AN251" s="56">
        <v>15.760000000000041</v>
      </c>
      <c r="AO251" s="62">
        <v>21.860000000000031</v>
      </c>
      <c r="AQ251" s="64">
        <v>4.0818160666666667</v>
      </c>
      <c r="AR251" s="56">
        <v>13.439999999999941</v>
      </c>
      <c r="AS251" s="56">
        <v>14.799999999999971</v>
      </c>
      <c r="AT251" s="62">
        <v>18.780000000000019</v>
      </c>
      <c r="AV251" s="64">
        <v>3.7296120333333329</v>
      </c>
      <c r="AW251" s="56">
        <v>13.019999999999939</v>
      </c>
      <c r="AX251" s="56">
        <v>14.379999999999971</v>
      </c>
      <c r="AY251" s="62">
        <v>18.99999999999995</v>
      </c>
      <c r="BA251" s="64">
        <v>3.1922936000000002</v>
      </c>
      <c r="BB251" s="56">
        <v>15.899999999999981</v>
      </c>
      <c r="BC251" s="56">
        <v>18.259999999999991</v>
      </c>
      <c r="BD251" s="62">
        <v>29.899999999999949</v>
      </c>
      <c r="BF251" s="64">
        <v>2.9524101333333328</v>
      </c>
      <c r="BG251" s="56">
        <v>19.420000000000041</v>
      </c>
      <c r="BH251" s="56">
        <v>26.28000000000004</v>
      </c>
      <c r="BI251" s="62">
        <v>54.239999999999966</v>
      </c>
      <c r="BJ251" s="70"/>
      <c r="BK251" s="51"/>
    </row>
    <row r="252" spans="1:63" x14ac:dyDescent="0.4">
      <c r="A252" s="11" t="s">
        <v>1434</v>
      </c>
      <c r="B252" s="4"/>
      <c r="C252" s="4"/>
      <c r="D252" s="4"/>
      <c r="E252" s="12"/>
      <c r="G252" s="147" t="s">
        <v>1384</v>
      </c>
      <c r="H252" s="159">
        <v>70.039000000000001</v>
      </c>
      <c r="I252" s="153">
        <v>70.319999999999993</v>
      </c>
      <c r="J252" s="153">
        <v>70.36</v>
      </c>
      <c r="K252" s="153">
        <v>70.38</v>
      </c>
      <c r="L252" s="153">
        <v>70.37</v>
      </c>
      <c r="M252" s="80">
        <f t="shared" si="6"/>
        <v>70.38</v>
      </c>
      <c r="N252" s="80">
        <f t="shared" si="7"/>
        <v>70.319999999999993</v>
      </c>
      <c r="O252" s="153">
        <v>21.16</v>
      </c>
      <c r="P252" s="153">
        <v>21.13</v>
      </c>
      <c r="Q252" s="153">
        <v>21.13</v>
      </c>
      <c r="R252" s="153">
        <v>21.09</v>
      </c>
      <c r="S252" s="4"/>
      <c r="U252" s="147" t="s">
        <v>1384</v>
      </c>
      <c r="V252" s="11"/>
      <c r="W252" s="4"/>
      <c r="X252" s="12"/>
      <c r="Y252" s="14"/>
      <c r="Z252" s="4"/>
      <c r="AA252" s="13"/>
      <c r="AB252" s="11"/>
      <c r="AC252" s="4"/>
      <c r="AD252" s="12"/>
      <c r="AE252" s="13"/>
      <c r="AF252" s="14">
        <v>4.9972000000000003</v>
      </c>
      <c r="AG252" s="133"/>
      <c r="AI252" s="84"/>
      <c r="AL252" s="64">
        <v>4.1716720333333326</v>
      </c>
      <c r="AM252" s="56">
        <v>14.619999999999861</v>
      </c>
      <c r="AN252" s="56">
        <v>16.61999999999999</v>
      </c>
      <c r="AO252" s="62">
        <v>22.759999999999891</v>
      </c>
      <c r="AQ252" s="64">
        <v>4.0831799999999987</v>
      </c>
      <c r="AR252" s="56">
        <v>14.63999999999999</v>
      </c>
      <c r="AS252" s="56">
        <v>16.119999999999909</v>
      </c>
      <c r="AT252" s="62">
        <v>20.339999999999939</v>
      </c>
      <c r="AV252" s="64">
        <v>3.729110416666666</v>
      </c>
      <c r="AW252" s="56">
        <v>14.360000000000021</v>
      </c>
      <c r="AX252" s="56">
        <v>15.880000000000029</v>
      </c>
      <c r="AY252" s="62">
        <v>20.800000000000018</v>
      </c>
      <c r="BA252" s="64">
        <v>3.1798030499999999</v>
      </c>
      <c r="BB252" s="56">
        <v>17.11999999999998</v>
      </c>
      <c r="BC252" s="56">
        <v>19.660000000000011</v>
      </c>
      <c r="BD252" s="62">
        <v>32.040000000000028</v>
      </c>
      <c r="BF252" s="64">
        <v>2.9360197166666668</v>
      </c>
      <c r="BG252" s="56">
        <v>20.54</v>
      </c>
      <c r="BH252" s="56">
        <v>27.24000000000002</v>
      </c>
      <c r="BI252" s="62">
        <v>55.819999999999943</v>
      </c>
      <c r="BJ252" s="69"/>
      <c r="BK252" s="51"/>
    </row>
    <row r="253" spans="1:63" x14ac:dyDescent="0.4">
      <c r="A253" s="11" t="s">
        <v>331</v>
      </c>
      <c r="B253" s="4"/>
      <c r="C253" s="4"/>
      <c r="D253" s="4"/>
      <c r="E253" s="12"/>
      <c r="G253" s="147" t="s">
        <v>331</v>
      </c>
      <c r="H253" s="159">
        <v>70.018000000000001</v>
      </c>
      <c r="I253" s="153">
        <v>70.319999999999993</v>
      </c>
      <c r="J253" s="153">
        <v>70.34</v>
      </c>
      <c r="K253" s="153">
        <v>70.349999999999994</v>
      </c>
      <c r="L253" s="153">
        <v>70.36</v>
      </c>
      <c r="M253" s="80">
        <f t="shared" si="6"/>
        <v>70.36</v>
      </c>
      <c r="N253" s="80">
        <f t="shared" si="7"/>
        <v>70.319999999999993</v>
      </c>
      <c r="O253" s="153">
        <v>21.17</v>
      </c>
      <c r="P253" s="153">
        <v>21.14</v>
      </c>
      <c r="Q253" s="153">
        <v>21.12</v>
      </c>
      <c r="R253" s="153">
        <v>21.08</v>
      </c>
      <c r="S253" s="4"/>
      <c r="U253" s="147" t="s">
        <v>331</v>
      </c>
      <c r="V253" s="11"/>
      <c r="W253" s="4"/>
      <c r="X253" s="12"/>
      <c r="Y253" s="14"/>
      <c r="Z253" s="4"/>
      <c r="AA253" s="13"/>
      <c r="AB253" s="11"/>
      <c r="AC253" s="4"/>
      <c r="AD253" s="12"/>
      <c r="AE253" s="13"/>
      <c r="AF253" s="14">
        <v>5.0269000000000004</v>
      </c>
      <c r="AG253" s="133"/>
      <c r="AI253" s="84"/>
      <c r="AL253" s="64">
        <v>4.1717449333333327</v>
      </c>
      <c r="AM253" s="56">
        <v>14.979999999999899</v>
      </c>
      <c r="AN253" s="56">
        <v>16.979999999999858</v>
      </c>
      <c r="AO253" s="62">
        <v>23.119999999999941</v>
      </c>
      <c r="AQ253" s="64">
        <v>4.0811640500000008</v>
      </c>
      <c r="AR253" s="56">
        <v>14.400000000000009</v>
      </c>
      <c r="AS253" s="56">
        <v>15.87999999999994</v>
      </c>
      <c r="AT253" s="62">
        <v>20.12</v>
      </c>
      <c r="AV253" s="64">
        <v>3.7268545999999998</v>
      </c>
      <c r="AW253" s="56">
        <v>14.1</v>
      </c>
      <c r="AX253" s="56">
        <v>15.60000000000006</v>
      </c>
      <c r="AY253" s="62">
        <v>20.500000000000011</v>
      </c>
      <c r="BA253" s="64">
        <v>3.175210233333333</v>
      </c>
      <c r="BB253" s="56">
        <v>16.899999999999959</v>
      </c>
      <c r="BC253" s="56">
        <v>19.47999999999999</v>
      </c>
      <c r="BD253" s="62">
        <v>31.939999999999991</v>
      </c>
      <c r="BF253" s="64">
        <v>2.9331543833333331</v>
      </c>
      <c r="BG253" s="56">
        <v>20.2</v>
      </c>
      <c r="BH253" s="56">
        <v>26.74000000000003</v>
      </c>
      <c r="BI253" s="62">
        <v>55.159999999999968</v>
      </c>
      <c r="BJ253" s="69"/>
      <c r="BK253" s="51"/>
    </row>
    <row r="254" spans="1:63" x14ac:dyDescent="0.4">
      <c r="A254" s="11" t="s">
        <v>332</v>
      </c>
      <c r="B254" s="4"/>
      <c r="C254" s="4"/>
      <c r="D254" s="4"/>
      <c r="E254" s="12"/>
      <c r="G254" s="147" t="s">
        <v>332</v>
      </c>
      <c r="H254" s="159">
        <v>70.018000000000001</v>
      </c>
      <c r="I254" s="153">
        <v>70.349999999999994</v>
      </c>
      <c r="J254" s="153">
        <v>70.36</v>
      </c>
      <c r="K254" s="153">
        <v>70.349999999999994</v>
      </c>
      <c r="L254" s="153">
        <v>70.34</v>
      </c>
      <c r="M254" s="80">
        <f t="shared" si="6"/>
        <v>70.36</v>
      </c>
      <c r="N254" s="80">
        <f t="shared" si="7"/>
        <v>70.34</v>
      </c>
      <c r="O254" s="153">
        <v>21.19</v>
      </c>
      <c r="P254" s="153">
        <v>21.16</v>
      </c>
      <c r="Q254" s="153">
        <v>21.13</v>
      </c>
      <c r="R254" s="153">
        <v>21.1</v>
      </c>
      <c r="S254" s="4"/>
      <c r="U254" s="147" t="s">
        <v>332</v>
      </c>
      <c r="V254" s="11"/>
      <c r="W254" s="4"/>
      <c r="X254" s="12"/>
      <c r="Y254" s="14"/>
      <c r="Z254" s="4"/>
      <c r="AA254" s="13"/>
      <c r="AB254" s="11"/>
      <c r="AC254" s="4"/>
      <c r="AD254" s="12"/>
      <c r="AE254" s="13"/>
      <c r="AF254" s="14">
        <v>5.0388999999999999</v>
      </c>
      <c r="AG254" s="133"/>
      <c r="AI254" s="84"/>
      <c r="AL254" s="64">
        <v>4.1716191</v>
      </c>
      <c r="AM254" s="56">
        <v>13.940000000000021</v>
      </c>
      <c r="AN254" s="56">
        <v>15.84000000000003</v>
      </c>
      <c r="AO254" s="62">
        <v>21.919999999999899</v>
      </c>
      <c r="AQ254" s="64">
        <v>4.0808105666666661</v>
      </c>
      <c r="AR254" s="56">
        <v>13.439999999999941</v>
      </c>
      <c r="AS254" s="56">
        <v>14.84000000000005</v>
      </c>
      <c r="AT254" s="62">
        <v>18.839999999999971</v>
      </c>
      <c r="AV254" s="64">
        <v>3.7261674999999999</v>
      </c>
      <c r="AW254" s="56">
        <v>13.100000000000019</v>
      </c>
      <c r="AX254" s="56">
        <v>14.52</v>
      </c>
      <c r="AY254" s="62">
        <v>19.160000000000021</v>
      </c>
      <c r="BA254" s="64">
        <v>3.184541133333334</v>
      </c>
      <c r="BB254" s="56">
        <v>16.340000000000021</v>
      </c>
      <c r="BC254" s="56">
        <v>18.839999999999971</v>
      </c>
      <c r="BD254" s="62">
        <v>30.91999999999997</v>
      </c>
      <c r="BF254" s="64">
        <v>2.955281016666667</v>
      </c>
      <c r="BG254" s="56">
        <v>19.600000000000058</v>
      </c>
      <c r="BH254" s="56">
        <v>26.300000000000079</v>
      </c>
      <c r="BI254" s="62">
        <v>53.40000000000007</v>
      </c>
      <c r="BJ254" s="70"/>
      <c r="BK254" s="51"/>
    </row>
    <row r="255" spans="1:63" x14ac:dyDescent="0.4">
      <c r="A255" s="11" t="s">
        <v>333</v>
      </c>
      <c r="B255" s="4"/>
      <c r="C255" s="4"/>
      <c r="D255" s="4"/>
      <c r="E255" s="12"/>
      <c r="G255" s="147" t="s">
        <v>333</v>
      </c>
      <c r="H255" s="159">
        <v>70.067999999999998</v>
      </c>
      <c r="I255" s="153">
        <v>70.34</v>
      </c>
      <c r="J255" s="153">
        <v>70.36</v>
      </c>
      <c r="K255" s="153">
        <v>70.3</v>
      </c>
      <c r="L255" s="153">
        <v>70.31</v>
      </c>
      <c r="M255" s="80">
        <f t="shared" si="6"/>
        <v>70.36</v>
      </c>
      <c r="N255" s="80">
        <f t="shared" si="7"/>
        <v>70.3</v>
      </c>
      <c r="O255" s="153">
        <v>21.2</v>
      </c>
      <c r="P255" s="153">
        <v>21.16</v>
      </c>
      <c r="Q255" s="153">
        <v>21.11</v>
      </c>
      <c r="R255" s="153">
        <v>21.1</v>
      </c>
      <c r="S255" s="4"/>
      <c r="U255" s="147" t="s">
        <v>333</v>
      </c>
      <c r="V255" s="11"/>
      <c r="W255" s="4"/>
      <c r="X255" s="12"/>
      <c r="Y255" s="14"/>
      <c r="Z255" s="4"/>
      <c r="AA255" s="13"/>
      <c r="AB255" s="11"/>
      <c r="AC255" s="4"/>
      <c r="AD255" s="12"/>
      <c r="AE255" s="13"/>
      <c r="AF255" s="14">
        <v>5.0392999999999999</v>
      </c>
      <c r="AG255" s="133"/>
      <c r="AI255" s="84"/>
      <c r="AL255" s="64">
        <v>4.1716197499999996</v>
      </c>
      <c r="AM255" s="56">
        <v>14.03999999999996</v>
      </c>
      <c r="AN255" s="56">
        <v>15.939999999999969</v>
      </c>
      <c r="AO255" s="62">
        <v>22.020000000000021</v>
      </c>
      <c r="AQ255" s="64">
        <v>4.081601766666668</v>
      </c>
      <c r="AR255" s="56">
        <v>13.640000000000009</v>
      </c>
      <c r="AS255" s="56">
        <v>15.039999999999941</v>
      </c>
      <c r="AT255" s="62">
        <v>19.059999999999899</v>
      </c>
      <c r="AV255" s="64">
        <v>3.7293808500000001</v>
      </c>
      <c r="AW255" s="56">
        <v>13.319999999999951</v>
      </c>
      <c r="AX255" s="56">
        <v>14.739999999999929</v>
      </c>
      <c r="AY255" s="62">
        <v>19.439999999999991</v>
      </c>
      <c r="BA255" s="64">
        <v>3.190797983333332</v>
      </c>
      <c r="BB255" s="56">
        <v>16.080000000000009</v>
      </c>
      <c r="BC255" s="56">
        <v>18.480000000000011</v>
      </c>
      <c r="BD255" s="62">
        <v>30.119999999999969</v>
      </c>
      <c r="BF255" s="64">
        <v>2.9394196666666672</v>
      </c>
      <c r="BG255" s="56">
        <v>19.419999999999948</v>
      </c>
      <c r="BH255" s="56">
        <v>25.579999999999981</v>
      </c>
      <c r="BI255" s="62">
        <v>52.740000000000009</v>
      </c>
      <c r="BJ255" s="70"/>
      <c r="BK255" s="51"/>
    </row>
    <row r="256" spans="1:63" x14ac:dyDescent="0.4">
      <c r="A256" s="11" t="s">
        <v>334</v>
      </c>
      <c r="B256" s="4"/>
      <c r="C256" s="4"/>
      <c r="D256" s="4"/>
      <c r="E256" s="12"/>
      <c r="G256" s="147" t="s">
        <v>334</v>
      </c>
      <c r="H256" s="159">
        <v>70.093000000000004</v>
      </c>
      <c r="I256" s="153">
        <v>70.36</v>
      </c>
      <c r="J256" s="153">
        <v>70.36</v>
      </c>
      <c r="K256" s="153">
        <v>70.38</v>
      </c>
      <c r="L256" s="153">
        <v>70.349999999999994</v>
      </c>
      <c r="M256" s="80">
        <f t="shared" si="6"/>
        <v>70.38</v>
      </c>
      <c r="N256" s="80">
        <f t="shared" si="7"/>
        <v>70.349999999999994</v>
      </c>
      <c r="O256" s="153">
        <v>21.18</v>
      </c>
      <c r="P256" s="153">
        <v>21.14</v>
      </c>
      <c r="Q256" s="153">
        <v>21.14</v>
      </c>
      <c r="R256" s="153">
        <v>21.11</v>
      </c>
      <c r="S256" s="4"/>
      <c r="U256" s="147" t="s">
        <v>334</v>
      </c>
      <c r="V256" s="11"/>
      <c r="W256" s="4"/>
      <c r="X256" s="12"/>
      <c r="Y256" s="14"/>
      <c r="Z256" s="4"/>
      <c r="AA256" s="13"/>
      <c r="AB256" s="11"/>
      <c r="AC256" s="4"/>
      <c r="AD256" s="12"/>
      <c r="AE256" s="13"/>
      <c r="AF256" s="14">
        <v>5.0274000000000001</v>
      </c>
      <c r="AG256" s="133"/>
      <c r="AI256" s="84"/>
      <c r="AL256" s="64">
        <v>4.1714828166666669</v>
      </c>
      <c r="AM256" s="56">
        <v>13.79999999999999</v>
      </c>
      <c r="AN256" s="56">
        <v>15.71999999999996</v>
      </c>
      <c r="AO256" s="62">
        <v>21.78000000000004</v>
      </c>
      <c r="AQ256" s="64">
        <v>4.081994533333333</v>
      </c>
      <c r="AR256" s="56">
        <v>13.479999999999849</v>
      </c>
      <c r="AS256" s="56">
        <v>14.86000000000001</v>
      </c>
      <c r="AT256" s="62">
        <v>18.87999999999996</v>
      </c>
      <c r="AV256" s="64">
        <v>3.7281867166666669</v>
      </c>
      <c r="AW256" s="56">
        <v>13.100000000000019</v>
      </c>
      <c r="AX256" s="56">
        <v>14.52</v>
      </c>
      <c r="AY256" s="62">
        <v>19.179999999999971</v>
      </c>
      <c r="BA256" s="64">
        <v>3.1901633333333339</v>
      </c>
      <c r="BB256" s="56">
        <v>16.38000000000002</v>
      </c>
      <c r="BC256" s="56">
        <v>18.780000000000019</v>
      </c>
      <c r="BD256" s="62">
        <v>30.65999999999995</v>
      </c>
      <c r="BF256" s="64">
        <v>2.9555083999999998</v>
      </c>
      <c r="BG256" s="56">
        <v>19.680000000000049</v>
      </c>
      <c r="BH256" s="56">
        <v>26.29999999999999</v>
      </c>
      <c r="BI256" s="62">
        <v>53.300000000000033</v>
      </c>
      <c r="BJ256" s="70"/>
      <c r="BK256" s="51"/>
    </row>
    <row r="257" spans="1:63" x14ac:dyDescent="0.4">
      <c r="A257" s="11" t="s">
        <v>335</v>
      </c>
      <c r="B257" s="4"/>
      <c r="C257" s="4"/>
      <c r="D257" s="4"/>
      <c r="E257" s="12"/>
      <c r="G257" s="147" t="s">
        <v>335</v>
      </c>
      <c r="H257" s="159">
        <v>70.06</v>
      </c>
      <c r="I257" s="153">
        <v>70.33</v>
      </c>
      <c r="J257" s="153">
        <v>70.31</v>
      </c>
      <c r="K257" s="153">
        <v>70.38</v>
      </c>
      <c r="L257" s="153">
        <v>70.34</v>
      </c>
      <c r="M257" s="80">
        <f t="shared" si="6"/>
        <v>70.38</v>
      </c>
      <c r="N257" s="80">
        <f t="shared" si="7"/>
        <v>70.31</v>
      </c>
      <c r="O257" s="153">
        <v>21.22</v>
      </c>
      <c r="P257" s="153">
        <v>21.17</v>
      </c>
      <c r="Q257" s="153">
        <v>21.16</v>
      </c>
      <c r="R257" s="153">
        <v>21.1</v>
      </c>
      <c r="S257" s="4"/>
      <c r="U257" s="147" t="s">
        <v>335</v>
      </c>
      <c r="V257" s="11"/>
      <c r="W257" s="4"/>
      <c r="X257" s="12"/>
      <c r="Y257" s="14"/>
      <c r="Z257" s="4"/>
      <c r="AA257" s="13"/>
      <c r="AB257" s="11"/>
      <c r="AC257" s="4"/>
      <c r="AD257" s="12"/>
      <c r="AE257" s="13"/>
      <c r="AF257" s="14">
        <v>5.0420999999999996</v>
      </c>
      <c r="AG257" s="133"/>
      <c r="AI257" s="84"/>
      <c r="AL257" s="64">
        <v>4.1712724166666666</v>
      </c>
      <c r="AM257" s="56">
        <v>14.160000000000039</v>
      </c>
      <c r="AN257" s="56">
        <v>16.099999999999959</v>
      </c>
      <c r="AO257" s="62">
        <v>22.19999999999995</v>
      </c>
      <c r="AQ257" s="64">
        <v>4.0814373166666673</v>
      </c>
      <c r="AR257" s="56">
        <v>13.72</v>
      </c>
      <c r="AS257" s="56">
        <v>15.120000000000109</v>
      </c>
      <c r="AT257" s="62">
        <v>19.18000000000006</v>
      </c>
      <c r="AV257" s="64">
        <v>3.7281032500000002</v>
      </c>
      <c r="AW257" s="56">
        <v>13.320000000000039</v>
      </c>
      <c r="AX257" s="56">
        <v>14.74000000000002</v>
      </c>
      <c r="AY257" s="62">
        <v>19.440000000000079</v>
      </c>
      <c r="BA257" s="64">
        <v>3.1875759499999998</v>
      </c>
      <c r="BB257" s="56">
        <v>16.740000000000069</v>
      </c>
      <c r="BC257" s="56">
        <v>18.920000000000051</v>
      </c>
      <c r="BD257" s="62">
        <v>30.860000000000021</v>
      </c>
      <c r="BF257" s="64">
        <v>2.951760483333334</v>
      </c>
      <c r="BG257" s="56">
        <v>19.80000000000004</v>
      </c>
      <c r="BH257" s="56">
        <v>26.360000000000031</v>
      </c>
      <c r="BI257" s="62">
        <v>53.500000000000007</v>
      </c>
      <c r="BJ257" s="70"/>
      <c r="BK257" s="51"/>
    </row>
    <row r="258" spans="1:63" x14ac:dyDescent="0.4">
      <c r="A258" s="11" t="s">
        <v>336</v>
      </c>
      <c r="B258" s="4"/>
      <c r="C258" s="4"/>
      <c r="D258" s="4"/>
      <c r="E258" s="12"/>
      <c r="G258" s="147" t="s">
        <v>336</v>
      </c>
      <c r="H258" s="159">
        <v>70.043999999999997</v>
      </c>
      <c r="I258" s="153">
        <v>70.33</v>
      </c>
      <c r="J258" s="153">
        <v>70.34</v>
      </c>
      <c r="K258" s="153">
        <v>70.33</v>
      </c>
      <c r="L258" s="153">
        <v>70.34</v>
      </c>
      <c r="M258" s="80">
        <f t="shared" si="6"/>
        <v>70.34</v>
      </c>
      <c r="N258" s="80">
        <f t="shared" si="7"/>
        <v>70.33</v>
      </c>
      <c r="O258" s="153">
        <v>21.18</v>
      </c>
      <c r="P258" s="153">
        <v>21.16</v>
      </c>
      <c r="Q258" s="153">
        <v>21.13</v>
      </c>
      <c r="R258" s="153">
        <v>21.11</v>
      </c>
      <c r="S258" s="4"/>
      <c r="U258" s="147" t="s">
        <v>336</v>
      </c>
      <c r="V258" s="11"/>
      <c r="W258" s="4"/>
      <c r="X258" s="12"/>
      <c r="Y258" s="14"/>
      <c r="Z258" s="4"/>
      <c r="AA258" s="13"/>
      <c r="AB258" s="11"/>
      <c r="AC258" s="4"/>
      <c r="AD258" s="12"/>
      <c r="AE258" s="13"/>
      <c r="AF258" s="14">
        <v>5.0414000000000003</v>
      </c>
      <c r="AG258" s="133"/>
      <c r="AI258" s="84"/>
      <c r="AL258" s="64">
        <v>4.171378466666666</v>
      </c>
      <c r="AM258" s="56">
        <v>14.13999999999991</v>
      </c>
      <c r="AN258" s="56">
        <v>16.039999999999921</v>
      </c>
      <c r="AO258" s="62">
        <v>22.139999999999919</v>
      </c>
      <c r="AQ258" s="64">
        <v>4.0814753499999998</v>
      </c>
      <c r="AR258" s="56">
        <v>13.54000000000006</v>
      </c>
      <c r="AS258" s="56">
        <v>14.94</v>
      </c>
      <c r="AT258" s="62">
        <v>18.940000000000001</v>
      </c>
      <c r="AV258" s="64">
        <v>3.7288231333333339</v>
      </c>
      <c r="AW258" s="56">
        <v>13.11999999999998</v>
      </c>
      <c r="AX258" s="56">
        <v>14.499999999999959</v>
      </c>
      <c r="AY258" s="62">
        <v>19.139999999999979</v>
      </c>
      <c r="BA258" s="64">
        <v>3.1906320166666671</v>
      </c>
      <c r="BB258" s="56">
        <v>16.100000000000051</v>
      </c>
      <c r="BC258" s="56">
        <v>18.540000000000049</v>
      </c>
      <c r="BD258" s="62">
        <v>30.339999999999989</v>
      </c>
      <c r="BF258" s="64">
        <v>2.9592877833333331</v>
      </c>
      <c r="BG258" s="56">
        <v>19.47999999999999</v>
      </c>
      <c r="BH258" s="56">
        <v>26.28000000000004</v>
      </c>
      <c r="BI258" s="62">
        <v>53.77999999999998</v>
      </c>
      <c r="BJ258" s="69"/>
      <c r="BK258" s="51"/>
    </row>
    <row r="259" spans="1:63" x14ac:dyDescent="0.4">
      <c r="A259" s="11" t="s">
        <v>337</v>
      </c>
      <c r="B259" s="4"/>
      <c r="C259" s="4"/>
      <c r="D259" s="4"/>
      <c r="E259" s="12"/>
      <c r="G259" s="147" t="s">
        <v>337</v>
      </c>
      <c r="H259" s="159">
        <v>70.042000000000002</v>
      </c>
      <c r="I259" s="153">
        <v>70.36</v>
      </c>
      <c r="J259" s="153">
        <v>70.39</v>
      </c>
      <c r="K259" s="153">
        <v>70.34</v>
      </c>
      <c r="L259" s="153">
        <v>70.349999999999994</v>
      </c>
      <c r="M259" s="80">
        <f t="shared" si="6"/>
        <v>70.39</v>
      </c>
      <c r="N259" s="80">
        <f t="shared" si="7"/>
        <v>70.34</v>
      </c>
      <c r="O259" s="153">
        <v>21.19</v>
      </c>
      <c r="P259" s="153">
        <v>21.16</v>
      </c>
      <c r="Q259" s="153">
        <v>21.12</v>
      </c>
      <c r="R259" s="153">
        <v>21.1</v>
      </c>
      <c r="S259" s="4"/>
      <c r="U259" s="147" t="s">
        <v>337</v>
      </c>
      <c r="V259" s="11"/>
      <c r="W259" s="4"/>
      <c r="X259" s="12"/>
      <c r="Y259" s="14"/>
      <c r="Z259" s="4"/>
      <c r="AA259" s="13"/>
      <c r="AB259" s="11"/>
      <c r="AC259" s="4"/>
      <c r="AD259" s="12"/>
      <c r="AE259" s="13"/>
      <c r="AF259" s="14">
        <v>5.0317999999999996</v>
      </c>
      <c r="AG259" s="133"/>
      <c r="AI259" s="84"/>
      <c r="AL259" s="64">
        <v>4.1716008333333336</v>
      </c>
      <c r="AM259" s="56">
        <v>14.25999999999998</v>
      </c>
      <c r="AN259" s="56">
        <v>16.17999999999995</v>
      </c>
      <c r="AO259" s="62">
        <v>22.279999999999941</v>
      </c>
      <c r="AQ259" s="64">
        <v>4.0807151333333334</v>
      </c>
      <c r="AR259" s="56">
        <v>13.56000000000002</v>
      </c>
      <c r="AS259" s="56">
        <v>14.94</v>
      </c>
      <c r="AT259" s="62">
        <v>18.940000000000001</v>
      </c>
      <c r="AV259" s="64">
        <v>3.7282414333333338</v>
      </c>
      <c r="AW259" s="56">
        <v>13.14000000000002</v>
      </c>
      <c r="AX259" s="56">
        <v>14.52</v>
      </c>
      <c r="AY259" s="62">
        <v>19.160000000000021</v>
      </c>
      <c r="BA259" s="64">
        <v>3.1899042</v>
      </c>
      <c r="BB259" s="56">
        <v>16.04000000000001</v>
      </c>
      <c r="BC259" s="56">
        <v>18.440000000000008</v>
      </c>
      <c r="BD259" s="62">
        <v>30.18000000000001</v>
      </c>
      <c r="BF259" s="64">
        <v>2.9547072833333332</v>
      </c>
      <c r="BG259" s="56">
        <v>19.36</v>
      </c>
      <c r="BH259" s="56">
        <v>26.259999999999991</v>
      </c>
      <c r="BI259" s="62">
        <v>53.980000000000047</v>
      </c>
      <c r="BJ259" s="69"/>
      <c r="BK259" s="51"/>
    </row>
    <row r="260" spans="1:63" x14ac:dyDescent="0.4">
      <c r="A260" s="11" t="s">
        <v>338</v>
      </c>
      <c r="B260" s="4"/>
      <c r="C260" s="4"/>
      <c r="D260" s="4"/>
      <c r="E260" s="12"/>
      <c r="G260" s="147" t="s">
        <v>338</v>
      </c>
      <c r="H260" s="159">
        <v>70.078999999999994</v>
      </c>
      <c r="I260" s="153">
        <v>70.37</v>
      </c>
      <c r="J260" s="153">
        <v>70.34</v>
      </c>
      <c r="K260" s="153">
        <v>70.36</v>
      </c>
      <c r="L260" s="153">
        <v>70.349999999999994</v>
      </c>
      <c r="M260" s="80">
        <f t="shared" si="6"/>
        <v>70.37</v>
      </c>
      <c r="N260" s="80">
        <f t="shared" si="7"/>
        <v>70.34</v>
      </c>
      <c r="O260" s="153">
        <v>21.16</v>
      </c>
      <c r="P260" s="153">
        <v>21.14</v>
      </c>
      <c r="Q260" s="153">
        <v>21.16</v>
      </c>
      <c r="R260" s="153">
        <v>21.11</v>
      </c>
      <c r="S260" s="4"/>
      <c r="U260" s="147" t="s">
        <v>338</v>
      </c>
      <c r="V260" s="11"/>
      <c r="W260" s="4"/>
      <c r="X260" s="12"/>
      <c r="Y260" s="14"/>
      <c r="Z260" s="4"/>
      <c r="AA260" s="13"/>
      <c r="AB260" s="11"/>
      <c r="AC260" s="4"/>
      <c r="AD260" s="12"/>
      <c r="AE260" s="13"/>
      <c r="AF260" s="14">
        <v>5.0307000000000004</v>
      </c>
      <c r="AG260" s="133"/>
      <c r="AI260" s="84"/>
      <c r="AL260" s="64">
        <v>4.1715793833333326</v>
      </c>
      <c r="AM260" s="56">
        <v>13.959999999999971</v>
      </c>
      <c r="AN260" s="56">
        <v>15.87999999999994</v>
      </c>
      <c r="AO260" s="62">
        <v>21.979999999999929</v>
      </c>
      <c r="AQ260" s="64">
        <v>4.0829053500000017</v>
      </c>
      <c r="AR260" s="56">
        <v>13.600000000000099</v>
      </c>
      <c r="AS260" s="56">
        <v>14.98000000000008</v>
      </c>
      <c r="AT260" s="62">
        <v>19.000000000000039</v>
      </c>
      <c r="AV260" s="64">
        <v>3.7303242666666669</v>
      </c>
      <c r="AW260" s="56">
        <v>13.15999999999997</v>
      </c>
      <c r="AX260" s="56">
        <v>14.539999999999949</v>
      </c>
      <c r="AY260" s="62">
        <v>19.179999999999971</v>
      </c>
      <c r="BA260" s="64">
        <v>3.1900943499999999</v>
      </c>
      <c r="BB260" s="56">
        <v>16.339999999999929</v>
      </c>
      <c r="BC260" s="56">
        <v>18.780000000000019</v>
      </c>
      <c r="BD260" s="62">
        <v>30.719999999999992</v>
      </c>
      <c r="BF260" s="64">
        <v>2.958685233333334</v>
      </c>
      <c r="BG260" s="56">
        <v>19.579999999999931</v>
      </c>
      <c r="BH260" s="56">
        <v>26.399999999999931</v>
      </c>
      <c r="BI260" s="62">
        <v>53.960000000000008</v>
      </c>
      <c r="BJ260" s="69"/>
      <c r="BK260" s="51"/>
    </row>
    <row r="261" spans="1:63" x14ac:dyDescent="0.4">
      <c r="A261" s="11" t="s">
        <v>339</v>
      </c>
      <c r="B261" s="4"/>
      <c r="C261" s="4"/>
      <c r="D261" s="4"/>
      <c r="E261" s="12"/>
      <c r="G261" s="147" t="s">
        <v>339</v>
      </c>
      <c r="H261" s="159">
        <v>69.983000000000004</v>
      </c>
      <c r="I261" s="153">
        <v>70.349999999999994</v>
      </c>
      <c r="J261" s="153">
        <v>70.33</v>
      </c>
      <c r="K261" s="153">
        <v>70.319999999999993</v>
      </c>
      <c r="L261" s="153">
        <v>70.34</v>
      </c>
      <c r="M261" s="80">
        <f t="shared" si="6"/>
        <v>70.349999999999994</v>
      </c>
      <c r="N261" s="80">
        <f t="shared" si="7"/>
        <v>70.319999999999993</v>
      </c>
      <c r="O261" s="153">
        <v>21.18</v>
      </c>
      <c r="P261" s="153">
        <v>21.15</v>
      </c>
      <c r="Q261" s="153">
        <v>21.15</v>
      </c>
      <c r="R261" s="153">
        <v>21.11</v>
      </c>
      <c r="S261" s="4"/>
      <c r="U261" s="147" t="s">
        <v>339</v>
      </c>
      <c r="V261" s="11"/>
      <c r="W261" s="4"/>
      <c r="X261" s="12"/>
      <c r="Y261" s="14"/>
      <c r="Z261" s="4"/>
      <c r="AA261" s="13"/>
      <c r="AB261" s="11"/>
      <c r="AC261" s="4"/>
      <c r="AD261" s="12"/>
      <c r="AE261" s="13"/>
      <c r="AF261" s="14">
        <v>5.0117000000000003</v>
      </c>
      <c r="AG261" s="133"/>
      <c r="AI261" s="84"/>
      <c r="AL261" s="64">
        <v>4.1713687999999998</v>
      </c>
      <c r="AM261" s="56">
        <v>14.03999999999996</v>
      </c>
      <c r="AN261" s="56">
        <v>15.97999999999988</v>
      </c>
      <c r="AO261" s="62">
        <v>22.100000000000009</v>
      </c>
      <c r="AQ261" s="64">
        <v>4.081970366666666</v>
      </c>
      <c r="AR261" s="56">
        <v>13.59999999999992</v>
      </c>
      <c r="AS261" s="56">
        <v>14.979999999999899</v>
      </c>
      <c r="AT261" s="62">
        <v>18.99999999999995</v>
      </c>
      <c r="AV261" s="64">
        <v>3.7293668833333329</v>
      </c>
      <c r="AW261" s="56">
        <v>13.18000000000001</v>
      </c>
      <c r="AX261" s="56">
        <v>14.56</v>
      </c>
      <c r="AY261" s="62">
        <v>19.200000000000021</v>
      </c>
      <c r="BA261" s="64">
        <v>3.1898238000000001</v>
      </c>
      <c r="BB261" s="56">
        <v>16.27999999999998</v>
      </c>
      <c r="BC261" s="56">
        <v>18.74000000000002</v>
      </c>
      <c r="BD261" s="62">
        <v>30.64</v>
      </c>
      <c r="BF261" s="64">
        <v>2.9613701166666662</v>
      </c>
      <c r="BG261" s="56">
        <v>19.620000000000019</v>
      </c>
      <c r="BH261" s="56">
        <v>26.40000000000002</v>
      </c>
      <c r="BI261" s="62">
        <v>53.820000000000071</v>
      </c>
      <c r="BJ261" s="70"/>
      <c r="BK261" s="51"/>
    </row>
    <row r="262" spans="1:63" x14ac:dyDescent="0.4">
      <c r="A262" s="11" t="s">
        <v>340</v>
      </c>
      <c r="B262" s="4"/>
      <c r="C262" s="4"/>
      <c r="D262" s="4"/>
      <c r="E262" s="12"/>
      <c r="G262" s="147" t="s">
        <v>340</v>
      </c>
      <c r="H262" s="159">
        <v>70.019000000000005</v>
      </c>
      <c r="I262" s="153">
        <v>70.27</v>
      </c>
      <c r="J262" s="153">
        <v>70.33</v>
      </c>
      <c r="K262" s="153">
        <v>70.349999999999994</v>
      </c>
      <c r="L262" s="153">
        <v>70.34</v>
      </c>
      <c r="M262" s="80">
        <f t="shared" ref="M262:M325" si="8">MAX(I262:L262)</f>
        <v>70.349999999999994</v>
      </c>
      <c r="N262" s="80">
        <f t="shared" ref="N262:N325" si="9">MIN(I262:L262)</f>
        <v>70.27</v>
      </c>
      <c r="O262" s="153">
        <v>21.16</v>
      </c>
      <c r="P262" s="153">
        <v>21.14</v>
      </c>
      <c r="Q262" s="153">
        <v>21.14</v>
      </c>
      <c r="R262" s="153">
        <v>21.12</v>
      </c>
      <c r="S262" s="4"/>
      <c r="U262" s="147" t="s">
        <v>340</v>
      </c>
      <c r="V262" s="11"/>
      <c r="W262" s="4"/>
      <c r="X262" s="12"/>
      <c r="Y262" s="14"/>
      <c r="Z262" s="4"/>
      <c r="AA262" s="13"/>
      <c r="AB262" s="11"/>
      <c r="AC262" s="4"/>
      <c r="AD262" s="12"/>
      <c r="AE262" s="13"/>
      <c r="AF262" s="14">
        <v>4.9966999999999997</v>
      </c>
      <c r="AG262" s="133"/>
      <c r="AI262" s="84"/>
      <c r="AL262" s="64">
        <v>4.1717420499999998</v>
      </c>
      <c r="AM262" s="56">
        <v>13.959999999999971</v>
      </c>
      <c r="AN262" s="56">
        <v>15.87999999999994</v>
      </c>
      <c r="AO262" s="62">
        <v>21.95999999999998</v>
      </c>
      <c r="AQ262" s="64">
        <v>4.082510816666665</v>
      </c>
      <c r="AR262" s="56">
        <v>13.57999999999997</v>
      </c>
      <c r="AS262" s="56">
        <v>15.000000000000041</v>
      </c>
      <c r="AT262" s="62">
        <v>19.06000000000008</v>
      </c>
      <c r="AV262" s="64">
        <v>3.7272595666666661</v>
      </c>
      <c r="AW262" s="56">
        <v>13.26000000000001</v>
      </c>
      <c r="AX262" s="56">
        <v>14.65999999999994</v>
      </c>
      <c r="AY262" s="62">
        <v>19.36</v>
      </c>
      <c r="BA262" s="64">
        <v>3.1821398333333328</v>
      </c>
      <c r="BB262" s="56">
        <v>16.600000000000041</v>
      </c>
      <c r="BC262" s="56">
        <v>19.120000000000029</v>
      </c>
      <c r="BD262" s="62">
        <v>31.380000000000049</v>
      </c>
      <c r="BF262" s="64">
        <v>2.957869366666666</v>
      </c>
      <c r="BG262" s="56">
        <v>19.639999999999969</v>
      </c>
      <c r="BH262" s="56">
        <v>26.22</v>
      </c>
      <c r="BI262" s="62">
        <v>53.000000000000028</v>
      </c>
      <c r="BJ262" s="70"/>
      <c r="BK262" s="51"/>
    </row>
    <row r="263" spans="1:63" x14ac:dyDescent="0.4">
      <c r="A263" s="11" t="s">
        <v>341</v>
      </c>
      <c r="B263" s="4"/>
      <c r="C263" s="4"/>
      <c r="D263" s="4"/>
      <c r="E263" s="12"/>
      <c r="G263" s="147" t="s">
        <v>341</v>
      </c>
      <c r="H263" s="159">
        <v>69.938000000000002</v>
      </c>
      <c r="I263" s="153">
        <v>70.319999999999993</v>
      </c>
      <c r="J263" s="153">
        <v>70.31</v>
      </c>
      <c r="K263" s="153">
        <v>70.37</v>
      </c>
      <c r="L263" s="153">
        <v>70.349999999999994</v>
      </c>
      <c r="M263" s="80">
        <f t="shared" si="8"/>
        <v>70.37</v>
      </c>
      <c r="N263" s="80">
        <f t="shared" si="9"/>
        <v>70.31</v>
      </c>
      <c r="O263" s="153">
        <v>21.19</v>
      </c>
      <c r="P263" s="153">
        <v>21.16</v>
      </c>
      <c r="Q263" s="153">
        <v>21.14</v>
      </c>
      <c r="R263" s="153">
        <v>21.09</v>
      </c>
      <c r="S263" s="4"/>
      <c r="U263" s="147" t="s">
        <v>341</v>
      </c>
      <c r="V263" s="11"/>
      <c r="W263" s="4"/>
      <c r="X263" s="12"/>
      <c r="Y263" s="14"/>
      <c r="Z263" s="4"/>
      <c r="AA263" s="13"/>
      <c r="AB263" s="11"/>
      <c r="AC263" s="4"/>
      <c r="AD263" s="12"/>
      <c r="AE263" s="35"/>
      <c r="AF263" s="14">
        <v>5.0189000000000004</v>
      </c>
      <c r="AG263" s="133"/>
      <c r="AI263" s="84"/>
      <c r="AL263" s="64">
        <v>4.1737175333333338</v>
      </c>
      <c r="AM263" s="56">
        <v>14.280000000000109</v>
      </c>
      <c r="AN263" s="56">
        <v>16.260000000000119</v>
      </c>
      <c r="AO263" s="62">
        <v>22.300000000000079</v>
      </c>
      <c r="AQ263" s="64">
        <v>4.0820275833333328</v>
      </c>
      <c r="AR263" s="56">
        <v>14.1</v>
      </c>
      <c r="AS263" s="56">
        <v>15.579999999999931</v>
      </c>
      <c r="AT263" s="62">
        <v>19.61999999999993</v>
      </c>
      <c r="AV263" s="64">
        <v>3.7285656999999999</v>
      </c>
      <c r="AW263" s="56">
        <v>13.58000000000006</v>
      </c>
      <c r="AX263" s="56">
        <v>15.100000000000071</v>
      </c>
      <c r="AY263" s="62">
        <v>19.840000000000039</v>
      </c>
      <c r="BA263" s="64">
        <v>3.179306733333334</v>
      </c>
      <c r="BB263" s="56">
        <v>16.520000000000049</v>
      </c>
      <c r="BC263" s="56">
        <v>19.019999999999989</v>
      </c>
      <c r="BD263" s="62">
        <v>31.12000000000004</v>
      </c>
      <c r="BF263" s="64">
        <v>2.912941916666667</v>
      </c>
      <c r="BG263" s="56">
        <v>21.079999999999991</v>
      </c>
      <c r="BH263" s="56">
        <v>28.519999999999971</v>
      </c>
      <c r="BI263" s="62">
        <v>60.94</v>
      </c>
      <c r="BJ263" s="70"/>
      <c r="BK263" s="51"/>
    </row>
    <row r="264" spans="1:63" x14ac:dyDescent="0.4">
      <c r="A264" s="11" t="s">
        <v>342</v>
      </c>
      <c r="B264" s="4"/>
      <c r="C264" s="4"/>
      <c r="D264" s="4"/>
      <c r="E264" s="12"/>
      <c r="G264" s="147" t="s">
        <v>342</v>
      </c>
      <c r="H264" s="159">
        <v>69.924999999999997</v>
      </c>
      <c r="I264" s="153">
        <v>70.349999999999994</v>
      </c>
      <c r="J264" s="153">
        <v>70.34</v>
      </c>
      <c r="K264" s="153">
        <v>70.34</v>
      </c>
      <c r="L264" s="153">
        <v>70.349999999999994</v>
      </c>
      <c r="M264" s="80">
        <f t="shared" si="8"/>
        <v>70.349999999999994</v>
      </c>
      <c r="N264" s="80">
        <f t="shared" si="9"/>
        <v>70.34</v>
      </c>
      <c r="O264" s="153">
        <v>21.17</v>
      </c>
      <c r="P264" s="153">
        <v>21.13</v>
      </c>
      <c r="Q264" s="153">
        <v>21.15</v>
      </c>
      <c r="R264" s="153">
        <v>21.1</v>
      </c>
      <c r="S264" s="4"/>
      <c r="U264" s="147" t="s">
        <v>342</v>
      </c>
      <c r="V264" s="11"/>
      <c r="W264" s="4"/>
      <c r="X264" s="12"/>
      <c r="Y264" s="14"/>
      <c r="Z264" s="4"/>
      <c r="AA264" s="13"/>
      <c r="AB264" s="11"/>
      <c r="AC264" s="4"/>
      <c r="AD264" s="12"/>
      <c r="AE264" s="13"/>
      <c r="AF264" s="14">
        <v>5.0125999999999999</v>
      </c>
      <c r="AG264" s="133"/>
      <c r="AI264" s="84"/>
      <c r="AL264" s="64">
        <v>4.1737071833333337</v>
      </c>
      <c r="AM264" s="56">
        <v>13.44000000000012</v>
      </c>
      <c r="AN264" s="56">
        <v>15.34000000000013</v>
      </c>
      <c r="AO264" s="62">
        <v>21.279999999999969</v>
      </c>
      <c r="AQ264" s="64">
        <v>4.0815587666666673</v>
      </c>
      <c r="AR264" s="56">
        <v>12.899999999999959</v>
      </c>
      <c r="AS264" s="56">
        <v>14.279999999999941</v>
      </c>
      <c r="AT264" s="62">
        <v>18.079999999999959</v>
      </c>
      <c r="AV264" s="64">
        <v>3.7285441499999998</v>
      </c>
      <c r="AW264" s="56">
        <v>12.48000000000005</v>
      </c>
      <c r="AX264" s="56">
        <v>13.88000000000007</v>
      </c>
      <c r="AY264" s="62">
        <v>18.360000000000021</v>
      </c>
      <c r="BA264" s="64">
        <v>3.1868807833333328</v>
      </c>
      <c r="BB264" s="56">
        <v>15.20000000000001</v>
      </c>
      <c r="BC264" s="56">
        <v>17.57999999999997</v>
      </c>
      <c r="BD264" s="62">
        <v>29.180000000000032</v>
      </c>
      <c r="BF264" s="64">
        <v>2.9221411000000002</v>
      </c>
      <c r="BG264" s="56">
        <v>19.71999999999996</v>
      </c>
      <c r="BH264" s="56">
        <v>27.02</v>
      </c>
      <c r="BI264" s="62">
        <v>58.199999999999989</v>
      </c>
      <c r="BJ264" s="69"/>
      <c r="BK264" s="51"/>
    </row>
    <row r="265" spans="1:63" x14ac:dyDescent="0.4">
      <c r="A265" s="11" t="s">
        <v>343</v>
      </c>
      <c r="B265" s="4"/>
      <c r="C265" s="4"/>
      <c r="D265" s="4"/>
      <c r="E265" s="12"/>
      <c r="G265" s="147" t="s">
        <v>343</v>
      </c>
      <c r="H265" s="159">
        <v>70.081999999999994</v>
      </c>
      <c r="I265" s="153">
        <v>70.34</v>
      </c>
      <c r="J265" s="153">
        <v>70.349999999999994</v>
      </c>
      <c r="K265" s="153">
        <v>70.36</v>
      </c>
      <c r="L265" s="153">
        <v>70.34</v>
      </c>
      <c r="M265" s="80">
        <f t="shared" si="8"/>
        <v>70.36</v>
      </c>
      <c r="N265" s="80">
        <f t="shared" si="9"/>
        <v>70.34</v>
      </c>
      <c r="O265" s="153">
        <v>21.16</v>
      </c>
      <c r="P265" s="153">
        <v>21.14</v>
      </c>
      <c r="Q265" s="153">
        <v>21.13</v>
      </c>
      <c r="R265" s="153">
        <v>21.11</v>
      </c>
      <c r="S265" s="4"/>
      <c r="U265" s="147" t="s">
        <v>343</v>
      </c>
      <c r="V265" s="11"/>
      <c r="W265" s="4"/>
      <c r="X265" s="12"/>
      <c r="Y265" s="14"/>
      <c r="Z265" s="4"/>
      <c r="AA265" s="13"/>
      <c r="AB265" s="11"/>
      <c r="AC265" s="4"/>
      <c r="AD265" s="12"/>
      <c r="AE265" s="13"/>
      <c r="AF265" s="14">
        <v>5.0063000000000004</v>
      </c>
      <c r="AG265" s="133"/>
      <c r="AI265" s="84"/>
      <c r="AL265" s="64">
        <v>4.1736022999999998</v>
      </c>
      <c r="AM265" s="56">
        <v>13.899999999999929</v>
      </c>
      <c r="AN265" s="56">
        <v>15.799999999999949</v>
      </c>
      <c r="AO265" s="62">
        <v>21.759999999999909</v>
      </c>
      <c r="AQ265" s="64">
        <v>4.0815684000000001</v>
      </c>
      <c r="AR265" s="56">
        <v>13.199999999999971</v>
      </c>
      <c r="AS265" s="56">
        <v>14.5999999999999</v>
      </c>
      <c r="AT265" s="62">
        <v>18.459999999999969</v>
      </c>
      <c r="AV265" s="64">
        <v>3.727460583333333</v>
      </c>
      <c r="AW265" s="56">
        <v>12.819999999999959</v>
      </c>
      <c r="AX265" s="56">
        <v>14.21999999999999</v>
      </c>
      <c r="AY265" s="62">
        <v>18.75999999999998</v>
      </c>
      <c r="BA265" s="64">
        <v>3.1846353999999999</v>
      </c>
      <c r="BB265" s="56">
        <v>15.859999999999991</v>
      </c>
      <c r="BC265" s="56">
        <v>18.299999999999979</v>
      </c>
      <c r="BD265" s="62">
        <v>30.139999999999919</v>
      </c>
      <c r="BF265" s="64">
        <v>2.9313209833333338</v>
      </c>
      <c r="BG265" s="56">
        <v>20.440000000000062</v>
      </c>
      <c r="BH265" s="56">
        <v>27.82</v>
      </c>
      <c r="BI265" s="62">
        <v>58.5</v>
      </c>
      <c r="BJ265" s="70"/>
      <c r="BK265" s="51"/>
    </row>
    <row r="266" spans="1:63" x14ac:dyDescent="0.4">
      <c r="A266" s="11" t="s">
        <v>344</v>
      </c>
      <c r="B266" s="4"/>
      <c r="C266" s="4"/>
      <c r="D266" s="4"/>
      <c r="E266" s="12"/>
      <c r="G266" s="147" t="s">
        <v>344</v>
      </c>
      <c r="H266" s="159">
        <v>70.147999999999996</v>
      </c>
      <c r="I266" s="153">
        <v>70.36</v>
      </c>
      <c r="J266" s="153">
        <v>70.34</v>
      </c>
      <c r="K266" s="153">
        <v>70.319999999999993</v>
      </c>
      <c r="L266" s="153">
        <v>70.319999999999993</v>
      </c>
      <c r="M266" s="80">
        <f t="shared" si="8"/>
        <v>70.36</v>
      </c>
      <c r="N266" s="80">
        <f t="shared" si="9"/>
        <v>70.319999999999993</v>
      </c>
      <c r="O266" s="153">
        <v>21.17</v>
      </c>
      <c r="P266" s="153">
        <v>21.16</v>
      </c>
      <c r="Q266" s="153">
        <v>21.12</v>
      </c>
      <c r="R266" s="153">
        <v>21.11</v>
      </c>
      <c r="S266" s="4"/>
      <c r="U266" s="147" t="s">
        <v>344</v>
      </c>
      <c r="V266" s="11"/>
      <c r="W266" s="4"/>
      <c r="X266" s="12"/>
      <c r="Y266" s="14"/>
      <c r="Z266" s="4"/>
      <c r="AA266" s="13"/>
      <c r="AB266" s="11"/>
      <c r="AC266" s="4"/>
      <c r="AD266" s="12"/>
      <c r="AE266" s="13"/>
      <c r="AF266" s="14">
        <v>5.0197000000000003</v>
      </c>
      <c r="AG266" s="133"/>
      <c r="AI266" s="84"/>
      <c r="AL266" s="64">
        <v>4.1735497333333331</v>
      </c>
      <c r="AM266" s="56">
        <v>14.65999999999994</v>
      </c>
      <c r="AN266" s="56">
        <v>16.680000000000032</v>
      </c>
      <c r="AO266" s="62">
        <v>22.65999999999995</v>
      </c>
      <c r="AQ266" s="64">
        <v>4.0820176500000001</v>
      </c>
      <c r="AR266" s="56">
        <v>14.219999999999899</v>
      </c>
      <c r="AS266" s="56">
        <v>15.71999999999996</v>
      </c>
      <c r="AT266" s="62">
        <v>19.779999999999909</v>
      </c>
      <c r="AV266" s="64">
        <v>3.7288968333333341</v>
      </c>
      <c r="AW266" s="56">
        <v>13.37999999999999</v>
      </c>
      <c r="AX266" s="56">
        <v>14.86000000000001</v>
      </c>
      <c r="AY266" s="62">
        <v>19.519999999999978</v>
      </c>
      <c r="BA266" s="64">
        <v>3.1849183499999998</v>
      </c>
      <c r="BB266" s="56">
        <v>16.05999999999996</v>
      </c>
      <c r="BC266" s="56">
        <v>18.540000000000049</v>
      </c>
      <c r="BD266" s="62">
        <v>30.45999999999998</v>
      </c>
      <c r="BF266" s="64">
        <v>2.9329588000000002</v>
      </c>
      <c r="BG266" s="56">
        <v>20.080000000000009</v>
      </c>
      <c r="BH266" s="56">
        <v>28.020000000000071</v>
      </c>
      <c r="BI266" s="62">
        <v>59.120000000000061</v>
      </c>
      <c r="BJ266" s="69"/>
      <c r="BK266" s="51"/>
    </row>
    <row r="267" spans="1:63" x14ac:dyDescent="0.4">
      <c r="A267" s="11" t="s">
        <v>345</v>
      </c>
      <c r="B267" s="4"/>
      <c r="C267" s="4"/>
      <c r="D267" s="4"/>
      <c r="E267" s="12"/>
      <c r="G267" s="147" t="s">
        <v>345</v>
      </c>
      <c r="H267" s="159">
        <v>70.058000000000007</v>
      </c>
      <c r="I267" s="153">
        <v>70.33</v>
      </c>
      <c r="J267" s="153">
        <v>70.37</v>
      </c>
      <c r="K267" s="153">
        <v>70.36</v>
      </c>
      <c r="L267" s="153">
        <v>70.38</v>
      </c>
      <c r="M267" s="80">
        <f t="shared" si="8"/>
        <v>70.38</v>
      </c>
      <c r="N267" s="80">
        <f t="shared" si="9"/>
        <v>70.33</v>
      </c>
      <c r="O267" s="153">
        <v>21.2</v>
      </c>
      <c r="P267" s="153">
        <v>21.17</v>
      </c>
      <c r="Q267" s="153">
        <v>21.14</v>
      </c>
      <c r="R267" s="153">
        <v>21.09</v>
      </c>
      <c r="S267" s="4"/>
      <c r="U267" s="147" t="s">
        <v>345</v>
      </c>
      <c r="V267" s="11"/>
      <c r="W267" s="4"/>
      <c r="X267" s="12"/>
      <c r="Y267" s="14"/>
      <c r="Z267" s="4"/>
      <c r="AA267" s="13"/>
      <c r="AB267" s="11"/>
      <c r="AC267" s="4"/>
      <c r="AD267" s="12"/>
      <c r="AE267" s="13"/>
      <c r="AF267" s="14">
        <v>5.0122</v>
      </c>
      <c r="AG267" s="133"/>
      <c r="AI267" s="84"/>
      <c r="AL267" s="64">
        <v>4.17408205</v>
      </c>
      <c r="AM267" s="56">
        <v>14.119999999999949</v>
      </c>
      <c r="AN267" s="56">
        <v>16.099999999999959</v>
      </c>
      <c r="AO267" s="62">
        <v>22.060000000000102</v>
      </c>
      <c r="AQ267" s="64">
        <v>4.0826911833333339</v>
      </c>
      <c r="AR267" s="56">
        <v>13.899999999999929</v>
      </c>
      <c r="AS267" s="56">
        <v>15.39999999999999</v>
      </c>
      <c r="AT267" s="62">
        <v>19.420000000000041</v>
      </c>
      <c r="AV267" s="64">
        <v>3.7308325999999998</v>
      </c>
      <c r="AW267" s="56">
        <v>13.419999999999989</v>
      </c>
      <c r="AX267" s="56">
        <v>14.9</v>
      </c>
      <c r="AY267" s="62">
        <v>19.559999999999981</v>
      </c>
      <c r="BA267" s="64">
        <v>3.1917286333333341</v>
      </c>
      <c r="BB267" s="56">
        <v>15.980000000000061</v>
      </c>
      <c r="BC267" s="56">
        <v>18.40000000000002</v>
      </c>
      <c r="BD267" s="62">
        <v>30.080000000000059</v>
      </c>
      <c r="BF267" s="64">
        <v>2.931496866666667</v>
      </c>
      <c r="BG267" s="56">
        <v>20.659999999999989</v>
      </c>
      <c r="BH267" s="56">
        <v>28.100000000000058</v>
      </c>
      <c r="BI267" s="62">
        <v>59.220000000000013</v>
      </c>
      <c r="BJ267" s="70"/>
      <c r="BK267" s="51"/>
    </row>
    <row r="268" spans="1:63" x14ac:dyDescent="0.4">
      <c r="A268" s="11" t="s">
        <v>346</v>
      </c>
      <c r="B268" s="4"/>
      <c r="C268" s="4"/>
      <c r="D268" s="4"/>
      <c r="E268" s="12"/>
      <c r="G268" s="147" t="s">
        <v>346</v>
      </c>
      <c r="H268" s="159">
        <v>70.111999999999995</v>
      </c>
      <c r="I268" s="153">
        <v>70.39</v>
      </c>
      <c r="J268" s="153">
        <v>70.34</v>
      </c>
      <c r="K268" s="153">
        <v>70.349999999999994</v>
      </c>
      <c r="L268" s="153">
        <v>70.349999999999994</v>
      </c>
      <c r="M268" s="80">
        <f t="shared" si="8"/>
        <v>70.39</v>
      </c>
      <c r="N268" s="80">
        <f t="shared" si="9"/>
        <v>70.34</v>
      </c>
      <c r="O268" s="153">
        <v>21.19</v>
      </c>
      <c r="P268" s="153">
        <v>21.17</v>
      </c>
      <c r="Q268" s="153">
        <v>21.14</v>
      </c>
      <c r="R268" s="153">
        <v>21.12</v>
      </c>
      <c r="S268" s="4"/>
      <c r="U268" s="147" t="s">
        <v>346</v>
      </c>
      <c r="V268" s="11"/>
      <c r="W268" s="4"/>
      <c r="X268" s="12"/>
      <c r="Y268" s="14"/>
      <c r="Z268" s="4"/>
      <c r="AA268" s="13"/>
      <c r="AB268" s="11"/>
      <c r="AC268" s="4"/>
      <c r="AD268" s="12"/>
      <c r="AE268" s="13"/>
      <c r="AF268" s="14">
        <v>5.0111999999999997</v>
      </c>
      <c r="AG268" s="133"/>
      <c r="AI268" s="84"/>
      <c r="AL268" s="64">
        <v>4.173667233333334</v>
      </c>
      <c r="AM268" s="56">
        <v>14.440000000000101</v>
      </c>
      <c r="AN268" s="56">
        <v>16.39999999999997</v>
      </c>
      <c r="AO268" s="62">
        <v>22.320000000000029</v>
      </c>
      <c r="AQ268" s="64">
        <v>4.0815621666666662</v>
      </c>
      <c r="AR268" s="56">
        <v>13.78000000000004</v>
      </c>
      <c r="AS268" s="56">
        <v>15.240000000000011</v>
      </c>
      <c r="AT268" s="62">
        <v>19.25999999999997</v>
      </c>
      <c r="AV268" s="64">
        <v>3.7288263833333342</v>
      </c>
      <c r="AW268" s="56">
        <v>13.019999999999939</v>
      </c>
      <c r="AX268" s="56">
        <v>14.45999999999996</v>
      </c>
      <c r="AY268" s="62">
        <v>19.059999999999992</v>
      </c>
      <c r="BA268" s="64">
        <v>3.186950466666667</v>
      </c>
      <c r="BB268" s="56">
        <v>16.12</v>
      </c>
      <c r="BC268" s="56">
        <v>18.579999999999949</v>
      </c>
      <c r="BD268" s="62">
        <v>30.43999999999993</v>
      </c>
      <c r="BF268" s="64">
        <v>2.9322468833333328</v>
      </c>
      <c r="BG268" s="56">
        <v>20.940000000000051</v>
      </c>
      <c r="BH268" s="56">
        <v>28.66</v>
      </c>
      <c r="BI268" s="62">
        <v>60.139999999999993</v>
      </c>
      <c r="BJ268" s="69"/>
      <c r="BK268" s="51"/>
    </row>
    <row r="269" spans="1:63" x14ac:dyDescent="0.4">
      <c r="A269" s="11" t="s">
        <v>347</v>
      </c>
      <c r="B269" s="4"/>
      <c r="C269" s="4"/>
      <c r="D269" s="4"/>
      <c r="E269" s="12"/>
      <c r="G269" s="147" t="s">
        <v>347</v>
      </c>
      <c r="H269" s="159">
        <v>70.061999999999998</v>
      </c>
      <c r="I269" s="153">
        <v>70.36</v>
      </c>
      <c r="J269" s="153">
        <v>70.38</v>
      </c>
      <c r="K269" s="153">
        <v>70.34</v>
      </c>
      <c r="L269" s="153">
        <v>70.34</v>
      </c>
      <c r="M269" s="80">
        <f t="shared" si="8"/>
        <v>70.38</v>
      </c>
      <c r="N269" s="80">
        <f t="shared" si="9"/>
        <v>70.34</v>
      </c>
      <c r="O269" s="153">
        <v>21.16</v>
      </c>
      <c r="P269" s="153">
        <v>21.14</v>
      </c>
      <c r="Q269" s="153">
        <v>21.13</v>
      </c>
      <c r="R269" s="153">
        <v>21.12</v>
      </c>
      <c r="S269" s="4"/>
      <c r="U269" s="147" t="s">
        <v>347</v>
      </c>
      <c r="V269" s="11"/>
      <c r="W269" s="4"/>
      <c r="X269" s="12"/>
      <c r="Y269" s="14"/>
      <c r="Z269" s="4"/>
      <c r="AA269" s="13"/>
      <c r="AB269" s="11"/>
      <c r="AC269" s="4"/>
      <c r="AD269" s="12"/>
      <c r="AE269" s="13"/>
      <c r="AF269" s="14">
        <v>5.0084</v>
      </c>
      <c r="AG269" s="133"/>
      <c r="AI269" s="84"/>
      <c r="AL269" s="64">
        <v>4.1738390499999998</v>
      </c>
      <c r="AM269" s="56">
        <v>13.959999999999971</v>
      </c>
      <c r="AN269" s="56">
        <v>15.939999999999969</v>
      </c>
      <c r="AO269" s="62">
        <v>21.759999999999909</v>
      </c>
      <c r="AQ269" s="64">
        <v>4.0826731500000006</v>
      </c>
      <c r="AR269" s="56">
        <v>13.700000000000051</v>
      </c>
      <c r="AS269" s="56">
        <v>15.16000000000002</v>
      </c>
      <c r="AT269" s="62">
        <v>19.179999999999971</v>
      </c>
      <c r="AV269" s="64">
        <v>3.7302001333333328</v>
      </c>
      <c r="AW269" s="56">
        <v>13.080000000000069</v>
      </c>
      <c r="AX269" s="56">
        <v>14.52</v>
      </c>
      <c r="AY269" s="62">
        <v>19.140000000000072</v>
      </c>
      <c r="BA269" s="64">
        <v>3.1880815166666658</v>
      </c>
      <c r="BB269" s="56">
        <v>15.87999999999994</v>
      </c>
      <c r="BC269" s="56">
        <v>18.31999999999994</v>
      </c>
      <c r="BD269" s="62">
        <v>30.07999999999997</v>
      </c>
      <c r="BF269" s="64">
        <v>2.9267801666666662</v>
      </c>
      <c r="BG269" s="56">
        <v>20.479999999999961</v>
      </c>
      <c r="BH269" s="56">
        <v>28.120000000000012</v>
      </c>
      <c r="BI269" s="62">
        <v>59.799999999999983</v>
      </c>
      <c r="BJ269" s="70"/>
      <c r="BK269" s="51"/>
    </row>
    <row r="270" spans="1:63" x14ac:dyDescent="0.4">
      <c r="A270" s="11" t="s">
        <v>348</v>
      </c>
      <c r="B270" s="4"/>
      <c r="C270" s="4"/>
      <c r="D270" s="4"/>
      <c r="E270" s="12"/>
      <c r="G270" s="147" t="s">
        <v>348</v>
      </c>
      <c r="H270" s="159">
        <v>70.054000000000002</v>
      </c>
      <c r="I270" s="153">
        <v>70.430000000000007</v>
      </c>
      <c r="J270" s="153">
        <v>70.349999999999994</v>
      </c>
      <c r="K270" s="153">
        <v>70.38</v>
      </c>
      <c r="L270" s="153">
        <v>70.349999999999994</v>
      </c>
      <c r="M270" s="80">
        <f t="shared" si="8"/>
        <v>70.430000000000007</v>
      </c>
      <c r="N270" s="80">
        <f t="shared" si="9"/>
        <v>70.349999999999994</v>
      </c>
      <c r="O270" s="153">
        <v>21.2</v>
      </c>
      <c r="P270" s="153">
        <v>21.17</v>
      </c>
      <c r="Q270" s="153">
        <v>21.16</v>
      </c>
      <c r="R270" s="153">
        <v>21.15</v>
      </c>
      <c r="S270" s="4"/>
      <c r="U270" s="147" t="s">
        <v>348</v>
      </c>
      <c r="V270" s="11"/>
      <c r="W270" s="4"/>
      <c r="X270" s="12"/>
      <c r="Y270" s="14"/>
      <c r="Z270" s="4"/>
      <c r="AA270" s="13"/>
      <c r="AB270" s="11"/>
      <c r="AC270" s="4"/>
      <c r="AD270" s="12"/>
      <c r="AE270" s="13"/>
      <c r="AF270" s="14">
        <v>5.0046999999999997</v>
      </c>
      <c r="AG270" s="133"/>
      <c r="AI270" s="84"/>
      <c r="AL270" s="64">
        <v>4.1737259166666663</v>
      </c>
      <c r="AM270" s="56">
        <v>14.36000000000011</v>
      </c>
      <c r="AN270" s="56">
        <v>16.36000000000006</v>
      </c>
      <c r="AO270" s="62">
        <v>22.440000000000101</v>
      </c>
      <c r="AQ270" s="64">
        <v>4.0824519499999994</v>
      </c>
      <c r="AR270" s="56">
        <v>14.13999999999991</v>
      </c>
      <c r="AS270" s="56">
        <v>15.63999999999997</v>
      </c>
      <c r="AT270" s="62">
        <v>19.759999999999959</v>
      </c>
      <c r="AV270" s="64">
        <v>3.7306304166666671</v>
      </c>
      <c r="AW270" s="56">
        <v>13.640000000000009</v>
      </c>
      <c r="AX270" s="56">
        <v>15.140000000000059</v>
      </c>
      <c r="AY270" s="62">
        <v>19.859999999999989</v>
      </c>
      <c r="BA270" s="64">
        <v>3.1893998166666671</v>
      </c>
      <c r="BB270" s="56">
        <v>16.760000000000019</v>
      </c>
      <c r="BC270" s="56">
        <v>19.280000000000008</v>
      </c>
      <c r="BD270" s="62">
        <v>31.320000000000011</v>
      </c>
      <c r="BF270" s="64">
        <v>2.9296776833333329</v>
      </c>
      <c r="BG270" s="56">
        <v>21.499999999999989</v>
      </c>
      <c r="BH270" s="56">
        <v>29.159999999999989</v>
      </c>
      <c r="BI270" s="62">
        <v>60.879999999999953</v>
      </c>
      <c r="BJ270" s="70"/>
      <c r="BK270" s="51"/>
    </row>
    <row r="271" spans="1:63" x14ac:dyDescent="0.4">
      <c r="A271" s="11" t="s">
        <v>349</v>
      </c>
      <c r="B271" s="4"/>
      <c r="C271" s="4"/>
      <c r="D271" s="4"/>
      <c r="E271" s="12"/>
      <c r="G271" s="147" t="s">
        <v>349</v>
      </c>
      <c r="H271" s="159">
        <v>70.076999999999998</v>
      </c>
      <c r="I271" s="153">
        <v>70.37</v>
      </c>
      <c r="J271" s="153">
        <v>70.37</v>
      </c>
      <c r="K271" s="153">
        <v>70.36</v>
      </c>
      <c r="L271" s="153">
        <v>70.34</v>
      </c>
      <c r="M271" s="80">
        <f t="shared" si="8"/>
        <v>70.37</v>
      </c>
      <c r="N271" s="80">
        <f t="shared" si="9"/>
        <v>70.34</v>
      </c>
      <c r="O271" s="153">
        <v>21.16</v>
      </c>
      <c r="P271" s="153">
        <v>21.14</v>
      </c>
      <c r="Q271" s="153">
        <v>21.14</v>
      </c>
      <c r="R271" s="153">
        <v>21.12</v>
      </c>
      <c r="S271" s="4"/>
      <c r="U271" s="147" t="s">
        <v>349</v>
      </c>
      <c r="V271" s="11"/>
      <c r="W271" s="4"/>
      <c r="X271" s="12"/>
      <c r="Y271" s="14"/>
      <c r="Z271" s="4"/>
      <c r="AA271" s="13"/>
      <c r="AB271" s="11"/>
      <c r="AC271" s="4"/>
      <c r="AD271" s="12"/>
      <c r="AE271" s="13"/>
      <c r="AF271" s="14">
        <v>5.0107999999999997</v>
      </c>
      <c r="AG271" s="133"/>
      <c r="AI271" s="84"/>
      <c r="AL271" s="64">
        <v>4.1730613833333337</v>
      </c>
      <c r="AM271" s="56">
        <v>14.02000000000001</v>
      </c>
      <c r="AN271" s="56">
        <v>16.019999999999971</v>
      </c>
      <c r="AO271" s="62">
        <v>21.99999999999989</v>
      </c>
      <c r="AQ271" s="64">
        <v>4.0838852999999986</v>
      </c>
      <c r="AR271" s="56">
        <v>14.1</v>
      </c>
      <c r="AS271" s="56">
        <v>15.60000000000006</v>
      </c>
      <c r="AT271" s="62">
        <v>19.70000000000001</v>
      </c>
      <c r="AV271" s="64">
        <v>3.7313905833333338</v>
      </c>
      <c r="AW271" s="56">
        <v>13.56000000000002</v>
      </c>
      <c r="AX271" s="56">
        <v>15.059999999999979</v>
      </c>
      <c r="AY271" s="62">
        <v>19.78</v>
      </c>
      <c r="BA271" s="64">
        <v>3.1885028833333329</v>
      </c>
      <c r="BB271" s="56">
        <v>16.420000000000009</v>
      </c>
      <c r="BC271" s="56">
        <v>18.940000000000001</v>
      </c>
      <c r="BD271" s="62">
        <v>30.960000000000051</v>
      </c>
      <c r="BF271" s="64">
        <v>2.93425045</v>
      </c>
      <c r="BG271" s="56">
        <v>21.11999999999998</v>
      </c>
      <c r="BH271" s="56">
        <v>28.77999999999998</v>
      </c>
      <c r="BI271" s="62">
        <v>60.239999999999938</v>
      </c>
      <c r="BJ271" s="70"/>
      <c r="BK271" s="51"/>
    </row>
    <row r="272" spans="1:63" x14ac:dyDescent="0.4">
      <c r="A272" s="11" t="s">
        <v>350</v>
      </c>
      <c r="B272" s="4"/>
      <c r="C272" s="4"/>
      <c r="D272" s="4"/>
      <c r="E272" s="12"/>
      <c r="G272" s="147" t="s">
        <v>350</v>
      </c>
      <c r="H272" s="159">
        <v>70.084999999999994</v>
      </c>
      <c r="I272" s="153">
        <v>70.34</v>
      </c>
      <c r="J272" s="153">
        <v>70.349999999999994</v>
      </c>
      <c r="K272" s="153">
        <v>70.33</v>
      </c>
      <c r="L272" s="153">
        <v>70.34</v>
      </c>
      <c r="M272" s="80">
        <f t="shared" si="8"/>
        <v>70.349999999999994</v>
      </c>
      <c r="N272" s="80">
        <f t="shared" si="9"/>
        <v>70.33</v>
      </c>
      <c r="O272" s="153">
        <v>21.22</v>
      </c>
      <c r="P272" s="153">
        <v>21.18</v>
      </c>
      <c r="Q272" s="153">
        <v>21.14</v>
      </c>
      <c r="R272" s="153">
        <v>21.13</v>
      </c>
      <c r="S272" s="4"/>
      <c r="U272" s="147" t="s">
        <v>350</v>
      </c>
      <c r="V272" s="11"/>
      <c r="W272" s="4"/>
      <c r="X272" s="12"/>
      <c r="Y272" s="14"/>
      <c r="Z272" s="4"/>
      <c r="AA272" s="13"/>
      <c r="AB272" s="11"/>
      <c r="AC272" s="4"/>
      <c r="AD272" s="12"/>
      <c r="AE272" s="13"/>
      <c r="AF272" s="14">
        <v>5.0124000000000004</v>
      </c>
      <c r="AG272" s="133"/>
      <c r="AI272" s="84"/>
      <c r="AL272" s="64">
        <v>4.1731322999999998</v>
      </c>
      <c r="AM272" s="56">
        <v>14.519999999999911</v>
      </c>
      <c r="AN272" s="56">
        <v>16.520000000000049</v>
      </c>
      <c r="AO272" s="62">
        <v>22.43999999999993</v>
      </c>
      <c r="AQ272" s="64">
        <v>4.0812370333333332</v>
      </c>
      <c r="AR272" s="56">
        <v>13.899999999999929</v>
      </c>
      <c r="AS272" s="56">
        <v>15.359999999999911</v>
      </c>
      <c r="AT272" s="62">
        <v>19.379999999999949</v>
      </c>
      <c r="AV272" s="64">
        <v>3.7285437166666662</v>
      </c>
      <c r="AW272" s="56">
        <v>13.37999999999999</v>
      </c>
      <c r="AX272" s="56">
        <v>14.86000000000001</v>
      </c>
      <c r="AY272" s="62">
        <v>19.54000000000002</v>
      </c>
      <c r="BA272" s="64">
        <v>3.186576716666667</v>
      </c>
      <c r="BB272" s="56">
        <v>16.600000000000041</v>
      </c>
      <c r="BC272" s="56">
        <v>19.139999999999979</v>
      </c>
      <c r="BD272" s="62">
        <v>31.200000000000031</v>
      </c>
      <c r="BF272" s="64">
        <v>2.930327549999999</v>
      </c>
      <c r="BG272" s="56">
        <v>21.159999999999979</v>
      </c>
      <c r="BH272" s="56">
        <v>29</v>
      </c>
      <c r="BI272" s="62">
        <v>60.820000000000007</v>
      </c>
      <c r="BJ272" s="70"/>
      <c r="BK272" s="51"/>
    </row>
    <row r="273" spans="1:63" x14ac:dyDescent="0.4">
      <c r="A273" s="11" t="s">
        <v>351</v>
      </c>
      <c r="B273" s="4"/>
      <c r="C273" s="4"/>
      <c r="D273" s="4"/>
      <c r="E273" s="12"/>
      <c r="G273" s="147" t="s">
        <v>351</v>
      </c>
      <c r="H273" s="159">
        <v>70.224000000000004</v>
      </c>
      <c r="I273" s="153">
        <v>70.37</v>
      </c>
      <c r="J273" s="153">
        <v>70.36</v>
      </c>
      <c r="K273" s="153">
        <v>70.349999999999994</v>
      </c>
      <c r="L273" s="153">
        <v>70.34</v>
      </c>
      <c r="M273" s="80">
        <f t="shared" si="8"/>
        <v>70.37</v>
      </c>
      <c r="N273" s="80">
        <f t="shared" si="9"/>
        <v>70.34</v>
      </c>
      <c r="O273" s="153">
        <v>21.17</v>
      </c>
      <c r="P273" s="153">
        <v>21.15</v>
      </c>
      <c r="Q273" s="153">
        <v>21.13</v>
      </c>
      <c r="R273" s="153">
        <v>21.09</v>
      </c>
      <c r="S273" s="4"/>
      <c r="U273" s="147" t="s">
        <v>351</v>
      </c>
      <c r="V273" s="11"/>
      <c r="W273" s="4"/>
      <c r="X273" s="12"/>
      <c r="Y273" s="14"/>
      <c r="Z273" s="4"/>
      <c r="AA273" s="13"/>
      <c r="AB273" s="11"/>
      <c r="AC273" s="4"/>
      <c r="AD273" s="12"/>
      <c r="AE273" s="13"/>
      <c r="AF273" s="14">
        <v>5.0252999999999997</v>
      </c>
      <c r="AG273" s="133"/>
      <c r="AI273" s="84"/>
      <c r="AL273" s="64">
        <v>4.1732320666666656</v>
      </c>
      <c r="AM273" s="56">
        <v>14.56</v>
      </c>
      <c r="AN273" s="56">
        <v>16.54</v>
      </c>
      <c r="AO273" s="62">
        <v>22.480000000000011</v>
      </c>
      <c r="AQ273" s="64">
        <v>4.0809993500000017</v>
      </c>
      <c r="AR273" s="56">
        <v>13.96000000000015</v>
      </c>
      <c r="AS273" s="56">
        <v>15.460000000000029</v>
      </c>
      <c r="AT273" s="62">
        <v>19.480000000000079</v>
      </c>
      <c r="AV273" s="64">
        <v>3.7283341166666659</v>
      </c>
      <c r="AW273" s="56">
        <v>13.22000000000001</v>
      </c>
      <c r="AX273" s="56">
        <v>14.680000000000071</v>
      </c>
      <c r="AY273" s="62">
        <v>19.30000000000005</v>
      </c>
      <c r="BA273" s="64">
        <v>3.1866247666666672</v>
      </c>
      <c r="BB273" s="56">
        <v>16.060000000000048</v>
      </c>
      <c r="BC273" s="56">
        <v>18.480000000000011</v>
      </c>
      <c r="BD273" s="62">
        <v>30.28000000000004</v>
      </c>
      <c r="BF273" s="64">
        <v>2.930423516666667</v>
      </c>
      <c r="BG273" s="56">
        <v>20.639999999999951</v>
      </c>
      <c r="BH273" s="56">
        <v>28.099999999999969</v>
      </c>
      <c r="BI273" s="62">
        <v>59.09999999999993</v>
      </c>
      <c r="BJ273" s="70"/>
      <c r="BK273" s="51"/>
    </row>
    <row r="274" spans="1:63" x14ac:dyDescent="0.4">
      <c r="A274" s="11" t="s">
        <v>352</v>
      </c>
      <c r="B274" s="4"/>
      <c r="C274" s="4"/>
      <c r="D274" s="4"/>
      <c r="E274" s="12"/>
      <c r="G274" s="147" t="s">
        <v>352</v>
      </c>
      <c r="H274" s="159">
        <v>70.072000000000003</v>
      </c>
      <c r="I274" s="153">
        <v>70.349999999999994</v>
      </c>
      <c r="J274" s="153">
        <v>70.319999999999993</v>
      </c>
      <c r="K274" s="153">
        <v>70.33</v>
      </c>
      <c r="L274" s="153">
        <v>70.36</v>
      </c>
      <c r="M274" s="80">
        <f t="shared" si="8"/>
        <v>70.36</v>
      </c>
      <c r="N274" s="80">
        <f t="shared" si="9"/>
        <v>70.319999999999993</v>
      </c>
      <c r="O274" s="153">
        <v>21.18</v>
      </c>
      <c r="P274" s="153">
        <v>21.16</v>
      </c>
      <c r="Q274" s="153">
        <v>21.13</v>
      </c>
      <c r="R274" s="153">
        <v>21.09</v>
      </c>
      <c r="S274" s="4"/>
      <c r="U274" s="147" t="s">
        <v>352</v>
      </c>
      <c r="V274" s="11"/>
      <c r="W274" s="4"/>
      <c r="X274" s="12"/>
      <c r="Y274" s="14"/>
      <c r="Z274" s="4"/>
      <c r="AA274" s="13"/>
      <c r="AB274" s="11"/>
      <c r="AC274" s="4"/>
      <c r="AD274" s="12"/>
      <c r="AE274" s="13"/>
      <c r="AF274" s="14">
        <v>5.0092999999999996</v>
      </c>
      <c r="AG274" s="133"/>
      <c r="AI274" s="84"/>
      <c r="AL274" s="64">
        <v>4.1734967666666671</v>
      </c>
      <c r="AM274" s="56">
        <v>14.179999999999991</v>
      </c>
      <c r="AN274" s="56">
        <v>16.14000000000004</v>
      </c>
      <c r="AO274" s="62">
        <v>22.059999999999921</v>
      </c>
      <c r="AQ274" s="64">
        <v>4.0811134833333336</v>
      </c>
      <c r="AR274" s="56">
        <v>13.679999999999909</v>
      </c>
      <c r="AS274" s="56">
        <v>15.140000000000059</v>
      </c>
      <c r="AT274" s="62">
        <v>19.120000000000029</v>
      </c>
      <c r="AV274" s="64">
        <v>3.7293307666666662</v>
      </c>
      <c r="AW274" s="56">
        <v>13.100000000000019</v>
      </c>
      <c r="AX274" s="56">
        <v>14.56</v>
      </c>
      <c r="AY274" s="62">
        <v>19.179999999999971</v>
      </c>
      <c r="BA274" s="64">
        <v>3.1906460333333331</v>
      </c>
      <c r="BB274" s="56">
        <v>15.74</v>
      </c>
      <c r="BC274" s="56">
        <v>18.100000000000001</v>
      </c>
      <c r="BD274" s="62">
        <v>29.659999999999979</v>
      </c>
      <c r="BF274" s="64">
        <v>2.9256367166666659</v>
      </c>
      <c r="BG274" s="56">
        <v>20.29999999999994</v>
      </c>
      <c r="BH274" s="56">
        <v>27.799999999999962</v>
      </c>
      <c r="BI274" s="62">
        <v>59.039999999999978</v>
      </c>
      <c r="BJ274" s="70"/>
      <c r="BK274" s="51"/>
    </row>
    <row r="275" spans="1:63" x14ac:dyDescent="0.4">
      <c r="A275" s="11" t="s">
        <v>353</v>
      </c>
      <c r="B275" s="4"/>
      <c r="C275" s="4"/>
      <c r="D275" s="4"/>
      <c r="E275" s="12"/>
      <c r="G275" s="147" t="s">
        <v>353</v>
      </c>
      <c r="H275" s="159">
        <v>70.08</v>
      </c>
      <c r="I275" s="153">
        <v>70.38</v>
      </c>
      <c r="J275" s="153">
        <v>70.349999999999994</v>
      </c>
      <c r="K275" s="153">
        <v>70.36</v>
      </c>
      <c r="L275" s="153">
        <v>70.349999999999994</v>
      </c>
      <c r="M275" s="80">
        <f t="shared" si="8"/>
        <v>70.38</v>
      </c>
      <c r="N275" s="80">
        <f t="shared" si="9"/>
        <v>70.349999999999994</v>
      </c>
      <c r="O275" s="153">
        <v>21.19</v>
      </c>
      <c r="P275" s="153">
        <v>21.17</v>
      </c>
      <c r="Q275" s="153">
        <v>21.12</v>
      </c>
      <c r="R275" s="153">
        <v>21.11</v>
      </c>
      <c r="S275" s="4"/>
      <c r="U275" s="147" t="s">
        <v>353</v>
      </c>
      <c r="V275" s="11"/>
      <c r="W275" s="4"/>
      <c r="X275" s="12"/>
      <c r="Y275" s="14"/>
      <c r="Z275" s="4"/>
      <c r="AA275" s="13"/>
      <c r="AB275" s="11"/>
      <c r="AC275" s="4"/>
      <c r="AD275" s="12"/>
      <c r="AE275" s="13"/>
      <c r="AF275" s="14">
        <v>5.0102000000000002</v>
      </c>
      <c r="AG275" s="133"/>
      <c r="AI275" s="84"/>
      <c r="AL275" s="64">
        <v>4.1731073666666667</v>
      </c>
      <c r="AM275" s="56">
        <v>14.160000000000039</v>
      </c>
      <c r="AN275" s="56">
        <v>16.14000000000004</v>
      </c>
      <c r="AO275" s="62">
        <v>21.95999999999998</v>
      </c>
      <c r="AQ275" s="64">
        <v>4.081690899999999</v>
      </c>
      <c r="AR275" s="56">
        <v>13.69999999999987</v>
      </c>
      <c r="AS275" s="56">
        <v>15.16000000000002</v>
      </c>
      <c r="AT275" s="62">
        <v>19.159999999999929</v>
      </c>
      <c r="AV275" s="64">
        <v>3.7290036166666658</v>
      </c>
      <c r="AW275" s="56">
        <v>13.03999999999998</v>
      </c>
      <c r="AX275" s="56">
        <v>14.48</v>
      </c>
      <c r="AY275" s="62">
        <v>19.079999999999941</v>
      </c>
      <c r="BA275" s="64">
        <v>3.1861666</v>
      </c>
      <c r="BB275" s="56">
        <v>15.96000000000002</v>
      </c>
      <c r="BC275" s="56">
        <v>18.40000000000002</v>
      </c>
      <c r="BD275" s="62">
        <v>30.239999999999959</v>
      </c>
      <c r="BF275" s="64">
        <v>2.9323106499999998</v>
      </c>
      <c r="BG275" s="56">
        <v>20.520000000000049</v>
      </c>
      <c r="BH275" s="56">
        <v>28.120000000000012</v>
      </c>
      <c r="BI275" s="62">
        <v>59.379999999999988</v>
      </c>
      <c r="BJ275" s="70"/>
      <c r="BK275" s="51"/>
    </row>
    <row r="276" spans="1:63" x14ac:dyDescent="0.4">
      <c r="A276" s="11" t="s">
        <v>354</v>
      </c>
      <c r="B276" s="4"/>
      <c r="C276" s="4"/>
      <c r="D276" s="4"/>
      <c r="E276" s="12"/>
      <c r="G276" s="147" t="s">
        <v>354</v>
      </c>
      <c r="H276" s="159">
        <v>70.066999999999993</v>
      </c>
      <c r="I276" s="153">
        <v>70.33</v>
      </c>
      <c r="J276" s="153">
        <v>70.36</v>
      </c>
      <c r="K276" s="153">
        <v>70.34</v>
      </c>
      <c r="L276" s="153">
        <v>70.36</v>
      </c>
      <c r="M276" s="80">
        <f t="shared" si="8"/>
        <v>70.36</v>
      </c>
      <c r="N276" s="80">
        <f t="shared" si="9"/>
        <v>70.33</v>
      </c>
      <c r="O276" s="153">
        <v>21.17</v>
      </c>
      <c r="P276" s="153">
        <v>21.16</v>
      </c>
      <c r="Q276" s="153">
        <v>21.13</v>
      </c>
      <c r="R276" s="153">
        <v>21.12</v>
      </c>
      <c r="S276" s="4"/>
      <c r="U276" s="147" t="s">
        <v>354</v>
      </c>
      <c r="V276" s="11"/>
      <c r="W276" s="4"/>
      <c r="X276" s="12"/>
      <c r="Y276" s="14"/>
      <c r="Z276" s="4"/>
      <c r="AA276" s="13"/>
      <c r="AB276" s="11"/>
      <c r="AC276" s="4"/>
      <c r="AD276" s="12"/>
      <c r="AE276" s="13"/>
      <c r="AF276" s="14">
        <v>5.0065</v>
      </c>
      <c r="AG276" s="133"/>
      <c r="AI276" s="84"/>
      <c r="AL276" s="64">
        <v>4.1731376833333327</v>
      </c>
      <c r="AM276" s="56">
        <v>14.299999999999891</v>
      </c>
      <c r="AN276" s="56">
        <v>16.300000000000029</v>
      </c>
      <c r="AO276" s="62">
        <v>22.240000000000041</v>
      </c>
      <c r="AQ276" s="64">
        <v>4.0826200166666666</v>
      </c>
      <c r="AR276" s="56">
        <v>14.02000000000001</v>
      </c>
      <c r="AS276" s="56">
        <v>15.520000000000071</v>
      </c>
      <c r="AT276" s="62">
        <v>19.58000000000002</v>
      </c>
      <c r="AV276" s="64">
        <v>3.73077375</v>
      </c>
      <c r="AW276" s="56">
        <v>13.49999999999998</v>
      </c>
      <c r="AX276" s="56">
        <v>14.99999999999995</v>
      </c>
      <c r="AY276" s="62">
        <v>19.679999999999961</v>
      </c>
      <c r="BA276" s="64">
        <v>3.190203233333333</v>
      </c>
      <c r="BB276" s="56">
        <v>16.400000000000059</v>
      </c>
      <c r="BC276" s="56">
        <v>18.880000000000049</v>
      </c>
      <c r="BD276" s="62">
        <v>30.799999999999979</v>
      </c>
      <c r="BF276" s="64">
        <v>2.9346236999999999</v>
      </c>
      <c r="BG276" s="56">
        <v>21.01999999999995</v>
      </c>
      <c r="BH276" s="56">
        <v>28.62</v>
      </c>
      <c r="BI276" s="62">
        <v>59.68</v>
      </c>
      <c r="BJ276" s="70"/>
      <c r="BK276" s="51"/>
    </row>
    <row r="277" spans="1:63" x14ac:dyDescent="0.4">
      <c r="A277" s="11" t="s">
        <v>355</v>
      </c>
      <c r="B277" s="4"/>
      <c r="C277" s="4"/>
      <c r="D277" s="4"/>
      <c r="E277" s="12"/>
      <c r="G277" s="147" t="s">
        <v>355</v>
      </c>
      <c r="H277" s="159">
        <v>70.116</v>
      </c>
      <c r="I277" s="153">
        <v>70.39</v>
      </c>
      <c r="J277" s="153">
        <v>70.38</v>
      </c>
      <c r="K277" s="153">
        <v>70.349999999999994</v>
      </c>
      <c r="L277" s="153">
        <v>70.37</v>
      </c>
      <c r="M277" s="80">
        <f t="shared" si="8"/>
        <v>70.39</v>
      </c>
      <c r="N277" s="80">
        <f t="shared" si="9"/>
        <v>70.349999999999994</v>
      </c>
      <c r="O277" s="153">
        <v>21.19</v>
      </c>
      <c r="P277" s="153">
        <v>21.18</v>
      </c>
      <c r="Q277" s="153">
        <v>21.16</v>
      </c>
      <c r="R277" s="153">
        <v>21.13</v>
      </c>
      <c r="S277" s="4"/>
      <c r="U277" s="147" t="s">
        <v>355</v>
      </c>
      <c r="V277" s="11"/>
      <c r="W277" s="4"/>
      <c r="X277" s="12"/>
      <c r="Y277" s="14"/>
      <c r="Z277" s="4"/>
      <c r="AA277" s="13"/>
      <c r="AB277" s="11"/>
      <c r="AC277" s="4"/>
      <c r="AD277" s="12"/>
      <c r="AE277" s="13"/>
      <c r="AF277" s="14">
        <v>5.0113000000000003</v>
      </c>
      <c r="AG277" s="133"/>
      <c r="AI277" s="84"/>
      <c r="AL277" s="64">
        <v>4.1734676500000001</v>
      </c>
      <c r="AM277" s="56">
        <v>14.08000000000005</v>
      </c>
      <c r="AN277" s="56">
        <v>16.059999999999871</v>
      </c>
      <c r="AO277" s="62">
        <v>21.899999999999942</v>
      </c>
      <c r="AQ277" s="64">
        <v>4.0823861333333333</v>
      </c>
      <c r="AR277" s="56">
        <v>13.659999999999959</v>
      </c>
      <c r="AS277" s="56">
        <v>15.09999999999998</v>
      </c>
      <c r="AT277" s="62">
        <v>19.139999999999979</v>
      </c>
      <c r="AV277" s="64">
        <v>3.7297914333333329</v>
      </c>
      <c r="AW277" s="56">
        <v>12.98000000000004</v>
      </c>
      <c r="AX277" s="56">
        <v>14.42000000000005</v>
      </c>
      <c r="AY277" s="62">
        <v>19.000000000000039</v>
      </c>
      <c r="BA277" s="64">
        <v>3.186610716666666</v>
      </c>
      <c r="BB277" s="56">
        <v>15.920000000000019</v>
      </c>
      <c r="BC277" s="56">
        <v>18.339999999999979</v>
      </c>
      <c r="BD277" s="62">
        <v>30.18000000000001</v>
      </c>
      <c r="BF277" s="64">
        <v>2.929484833333333</v>
      </c>
      <c r="BG277" s="56">
        <v>20.54</v>
      </c>
      <c r="BH277" s="56">
        <v>28.099999999999969</v>
      </c>
      <c r="BI277" s="62">
        <v>59.619999999999962</v>
      </c>
      <c r="BJ277" s="70"/>
      <c r="BK277" s="51"/>
    </row>
    <row r="278" spans="1:63" x14ac:dyDescent="0.4">
      <c r="A278" s="11" t="s">
        <v>356</v>
      </c>
      <c r="B278" s="4"/>
      <c r="C278" s="4"/>
      <c r="D278" s="4"/>
      <c r="E278" s="12"/>
      <c r="G278" s="147" t="s">
        <v>356</v>
      </c>
      <c r="H278" s="159">
        <v>70.067999999999998</v>
      </c>
      <c r="I278" s="153">
        <v>70.36</v>
      </c>
      <c r="J278" s="153">
        <v>70.349999999999994</v>
      </c>
      <c r="K278" s="153">
        <v>70.349999999999994</v>
      </c>
      <c r="L278" s="153">
        <v>70.37</v>
      </c>
      <c r="M278" s="80">
        <f t="shared" si="8"/>
        <v>70.37</v>
      </c>
      <c r="N278" s="80">
        <f t="shared" si="9"/>
        <v>70.349999999999994</v>
      </c>
      <c r="O278" s="153">
        <v>21.2</v>
      </c>
      <c r="P278" s="153">
        <v>21.18</v>
      </c>
      <c r="Q278" s="153">
        <v>21.14</v>
      </c>
      <c r="R278" s="153">
        <v>21.12</v>
      </c>
      <c r="S278" s="4"/>
      <c r="U278" s="147" t="s">
        <v>356</v>
      </c>
      <c r="V278" s="11"/>
      <c r="W278" s="4"/>
      <c r="X278" s="12"/>
      <c r="Y278" s="14"/>
      <c r="Z278" s="4"/>
      <c r="AA278" s="13"/>
      <c r="AB278" s="11"/>
      <c r="AC278" s="4"/>
      <c r="AD278" s="12"/>
      <c r="AE278" s="13"/>
      <c r="AF278" s="14">
        <v>5.0121000000000002</v>
      </c>
      <c r="AG278" s="133"/>
      <c r="AI278" s="84"/>
      <c r="AL278" s="64">
        <v>4.1735189333333329</v>
      </c>
      <c r="AM278" s="56">
        <v>14.279999999999941</v>
      </c>
      <c r="AN278" s="56">
        <v>16.279999999999891</v>
      </c>
      <c r="AO278" s="62">
        <v>22.079999999999881</v>
      </c>
      <c r="AQ278" s="64">
        <v>4.0813960666666684</v>
      </c>
      <c r="AR278" s="56">
        <v>13.76000000000008</v>
      </c>
      <c r="AS278" s="56">
        <v>15.220000000000059</v>
      </c>
      <c r="AT278" s="62">
        <v>19.240000000000101</v>
      </c>
      <c r="AV278" s="64">
        <v>3.7287737166666668</v>
      </c>
      <c r="AW278" s="56">
        <v>12.979999999999951</v>
      </c>
      <c r="AX278" s="56">
        <v>14.41999999999997</v>
      </c>
      <c r="AY278" s="62">
        <v>18.98</v>
      </c>
      <c r="BA278" s="64">
        <v>3.1868137833333341</v>
      </c>
      <c r="BB278" s="56">
        <v>15.81999999999999</v>
      </c>
      <c r="BC278" s="56">
        <v>18.259999999999991</v>
      </c>
      <c r="BD278" s="62">
        <v>30.06000000000002</v>
      </c>
      <c r="BF278" s="64">
        <v>2.9316372500000001</v>
      </c>
      <c r="BG278" s="56">
        <v>20.460000000000012</v>
      </c>
      <c r="BH278" s="56">
        <v>28.000000000000021</v>
      </c>
      <c r="BI278" s="62">
        <v>59.339999999999989</v>
      </c>
      <c r="BJ278" s="70"/>
      <c r="BK278" s="51"/>
    </row>
    <row r="279" spans="1:63" x14ac:dyDescent="0.4">
      <c r="A279" s="11" t="s">
        <v>357</v>
      </c>
      <c r="B279" s="4"/>
      <c r="C279" s="4"/>
      <c r="D279" s="4"/>
      <c r="E279" s="12"/>
      <c r="G279" s="147" t="s">
        <v>357</v>
      </c>
      <c r="H279" s="159">
        <v>70.051000000000002</v>
      </c>
      <c r="I279" s="153">
        <v>70.36</v>
      </c>
      <c r="J279" s="153">
        <v>70.349999999999994</v>
      </c>
      <c r="K279" s="153">
        <v>70.36</v>
      </c>
      <c r="L279" s="153">
        <v>70.34</v>
      </c>
      <c r="M279" s="80">
        <f t="shared" si="8"/>
        <v>70.36</v>
      </c>
      <c r="N279" s="80">
        <f t="shared" si="9"/>
        <v>70.34</v>
      </c>
      <c r="O279" s="153">
        <v>21.18</v>
      </c>
      <c r="P279" s="153">
        <v>21.15</v>
      </c>
      <c r="Q279" s="153">
        <v>21.14</v>
      </c>
      <c r="R279" s="153">
        <v>21.12</v>
      </c>
      <c r="S279" s="4"/>
      <c r="U279" s="147" t="s">
        <v>357</v>
      </c>
      <c r="V279" s="11"/>
      <c r="W279" s="4"/>
      <c r="X279" s="12"/>
      <c r="Y279" s="14"/>
      <c r="Z279" s="4"/>
      <c r="AA279" s="13"/>
      <c r="AB279" s="11"/>
      <c r="AC279" s="4"/>
      <c r="AD279" s="12"/>
      <c r="AE279" s="13"/>
      <c r="AF279" s="14">
        <v>5.0056000000000003</v>
      </c>
      <c r="AG279" s="133"/>
      <c r="AI279" s="84"/>
      <c r="AL279" s="64">
        <v>4.1739011500000007</v>
      </c>
      <c r="AM279" s="56">
        <v>14.86000000000001</v>
      </c>
      <c r="AN279" s="56">
        <v>16.899999999999871</v>
      </c>
      <c r="AO279" s="62">
        <v>22.979999999999912</v>
      </c>
      <c r="AQ279" s="64">
        <v>4.0817817666666674</v>
      </c>
      <c r="AR279" s="56">
        <v>14.1</v>
      </c>
      <c r="AS279" s="56">
        <v>15.62000000000001</v>
      </c>
      <c r="AT279" s="62">
        <v>19.740000000000091</v>
      </c>
      <c r="AV279" s="64">
        <v>3.729343266666667</v>
      </c>
      <c r="AW279" s="56">
        <v>13.480000000000031</v>
      </c>
      <c r="AX279" s="56">
        <v>14.97999999999999</v>
      </c>
      <c r="AY279" s="62">
        <v>19.660000000000011</v>
      </c>
      <c r="BA279" s="64">
        <v>3.1877610500000002</v>
      </c>
      <c r="BB279" s="56">
        <v>16.239999999999991</v>
      </c>
      <c r="BC279" s="56">
        <v>18.72000000000007</v>
      </c>
      <c r="BD279" s="62">
        <v>30.6</v>
      </c>
      <c r="BF279" s="64">
        <v>2.9307979999999998</v>
      </c>
      <c r="BG279" s="56">
        <v>20.840000000000011</v>
      </c>
      <c r="BH279" s="56">
        <v>28.340000000000028</v>
      </c>
      <c r="BI279" s="62">
        <v>59.659999999999947</v>
      </c>
      <c r="BJ279" s="69"/>
      <c r="BK279" s="51"/>
    </row>
    <row r="280" spans="1:63" x14ac:dyDescent="0.4">
      <c r="A280" s="11" t="s">
        <v>358</v>
      </c>
      <c r="B280" s="4"/>
      <c r="C280" s="4"/>
      <c r="D280" s="4"/>
      <c r="E280" s="12"/>
      <c r="G280" s="147" t="s">
        <v>358</v>
      </c>
      <c r="H280" s="159">
        <v>70.114999999999995</v>
      </c>
      <c r="I280" s="153">
        <v>70.31</v>
      </c>
      <c r="J280" s="153">
        <v>70.34</v>
      </c>
      <c r="K280" s="153">
        <v>70.319999999999993</v>
      </c>
      <c r="L280" s="153">
        <v>70.34</v>
      </c>
      <c r="M280" s="80">
        <f t="shared" si="8"/>
        <v>70.34</v>
      </c>
      <c r="N280" s="80">
        <f t="shared" si="9"/>
        <v>70.31</v>
      </c>
      <c r="O280" s="153">
        <v>21.19</v>
      </c>
      <c r="P280" s="153">
        <v>21.18</v>
      </c>
      <c r="Q280" s="153">
        <v>21.14</v>
      </c>
      <c r="R280" s="153">
        <v>21.12</v>
      </c>
      <c r="S280" s="4"/>
      <c r="U280" s="147" t="s">
        <v>358</v>
      </c>
      <c r="V280" s="11"/>
      <c r="W280" s="4"/>
      <c r="X280" s="12"/>
      <c r="Y280" s="14"/>
      <c r="Z280" s="4"/>
      <c r="AA280" s="13"/>
      <c r="AB280" s="11"/>
      <c r="AC280" s="4"/>
      <c r="AD280" s="12"/>
      <c r="AE280" s="13"/>
      <c r="AF280" s="14">
        <v>5.0194999999999999</v>
      </c>
      <c r="AG280" s="133"/>
      <c r="AI280" s="84"/>
      <c r="AL280" s="64">
        <v>4.1743005000000002</v>
      </c>
      <c r="AM280" s="56">
        <v>14.299999999999891</v>
      </c>
      <c r="AN280" s="56">
        <v>16.279999999999891</v>
      </c>
      <c r="AO280" s="62">
        <v>22.259999999999991</v>
      </c>
      <c r="AQ280" s="64">
        <v>4.082007616666667</v>
      </c>
      <c r="AR280" s="56">
        <v>13.759999999999909</v>
      </c>
      <c r="AS280" s="56">
        <v>15.21999999999988</v>
      </c>
      <c r="AT280" s="62">
        <v>19.25999999999997</v>
      </c>
      <c r="AV280" s="64">
        <v>3.7293361333333328</v>
      </c>
      <c r="AW280" s="56">
        <v>13.100000000000019</v>
      </c>
      <c r="AX280" s="56">
        <v>14.52</v>
      </c>
      <c r="AY280" s="62">
        <v>19.120000000000029</v>
      </c>
      <c r="BA280" s="64">
        <v>3.1868266666666671</v>
      </c>
      <c r="BB280" s="56">
        <v>16.100000000000051</v>
      </c>
      <c r="BC280" s="56">
        <v>18.580000000000041</v>
      </c>
      <c r="BD280" s="62">
        <v>30.45999999999998</v>
      </c>
      <c r="BF280" s="64">
        <v>2.9346502166666659</v>
      </c>
      <c r="BG280" s="56">
        <v>20.659999999999989</v>
      </c>
      <c r="BH280" s="56">
        <v>28.179999999999961</v>
      </c>
      <c r="BI280" s="62">
        <v>59.13999999999993</v>
      </c>
      <c r="BJ280" s="70"/>
      <c r="BK280" s="51"/>
    </row>
    <row r="281" spans="1:63" x14ac:dyDescent="0.4">
      <c r="A281" s="11" t="s">
        <v>359</v>
      </c>
      <c r="B281" s="4"/>
      <c r="C281" s="4"/>
      <c r="D281" s="4"/>
      <c r="E281" s="12"/>
      <c r="G281" s="147" t="s">
        <v>359</v>
      </c>
      <c r="H281" s="159">
        <v>70.004999999999995</v>
      </c>
      <c r="I281" s="153">
        <v>70.349999999999994</v>
      </c>
      <c r="J281" s="153">
        <v>70.400000000000006</v>
      </c>
      <c r="K281" s="153">
        <v>70.319999999999993</v>
      </c>
      <c r="L281" s="153">
        <v>70.349999999999994</v>
      </c>
      <c r="M281" s="80">
        <f t="shared" si="8"/>
        <v>70.400000000000006</v>
      </c>
      <c r="N281" s="80">
        <f t="shared" si="9"/>
        <v>70.319999999999993</v>
      </c>
      <c r="O281" s="153">
        <v>21.16</v>
      </c>
      <c r="P281" s="153">
        <v>21.15</v>
      </c>
      <c r="Q281" s="153">
        <v>21.13</v>
      </c>
      <c r="R281" s="153">
        <v>21.11</v>
      </c>
      <c r="S281" s="4"/>
      <c r="U281" s="147" t="s">
        <v>359</v>
      </c>
      <c r="V281" s="11"/>
      <c r="W281" s="4"/>
      <c r="X281" s="12"/>
      <c r="Y281" s="14"/>
      <c r="Z281" s="4"/>
      <c r="AA281" s="13"/>
      <c r="AB281" s="11"/>
      <c r="AC281" s="4"/>
      <c r="AD281" s="12"/>
      <c r="AE281" s="13"/>
      <c r="AF281" s="14">
        <v>5.0143000000000004</v>
      </c>
      <c r="AG281" s="133"/>
      <c r="AI281" s="84"/>
      <c r="AL281" s="64">
        <v>4.1739422833333339</v>
      </c>
      <c r="AM281" s="56">
        <v>14.719999999999979</v>
      </c>
      <c r="AN281" s="56">
        <v>16.739999999999888</v>
      </c>
      <c r="AO281" s="62">
        <v>22.759999999999891</v>
      </c>
      <c r="AQ281" s="64">
        <v>4.0823124500000016</v>
      </c>
      <c r="AR281" s="56">
        <v>13.940000000000021</v>
      </c>
      <c r="AS281" s="56">
        <v>15.41999999999994</v>
      </c>
      <c r="AT281" s="62">
        <v>19.47999999999999</v>
      </c>
      <c r="AV281" s="64">
        <v>3.7307367166666658</v>
      </c>
      <c r="AW281" s="56">
        <v>13.57999999999997</v>
      </c>
      <c r="AX281" s="56">
        <v>15.07999999999994</v>
      </c>
      <c r="AY281" s="62">
        <v>19.78</v>
      </c>
      <c r="BA281" s="64">
        <v>3.1915338333333341</v>
      </c>
      <c r="BB281" s="56">
        <v>16.54</v>
      </c>
      <c r="BC281" s="56">
        <v>19.000000000000039</v>
      </c>
      <c r="BD281" s="62">
        <v>30.840000000000071</v>
      </c>
      <c r="BF281" s="64">
        <v>2.9295721833333341</v>
      </c>
      <c r="BG281" s="56">
        <v>21.160000000000071</v>
      </c>
      <c r="BH281" s="56">
        <v>28.699999999999989</v>
      </c>
      <c r="BI281" s="62">
        <v>59.940000000000012</v>
      </c>
      <c r="BJ281" s="70"/>
      <c r="BK281" s="51"/>
    </row>
    <row r="282" spans="1:63" x14ac:dyDescent="0.4">
      <c r="A282" s="11" t="s">
        <v>360</v>
      </c>
      <c r="B282" s="4"/>
      <c r="C282" s="4"/>
      <c r="D282" s="4"/>
      <c r="E282" s="12"/>
      <c r="G282" s="147" t="s">
        <v>360</v>
      </c>
      <c r="H282" s="159">
        <v>70.061000000000007</v>
      </c>
      <c r="I282" s="153">
        <v>70.3</v>
      </c>
      <c r="J282" s="153">
        <v>70.41</v>
      </c>
      <c r="K282" s="153">
        <v>70.41</v>
      </c>
      <c r="L282" s="153">
        <v>70.38</v>
      </c>
      <c r="M282" s="80">
        <f t="shared" si="8"/>
        <v>70.41</v>
      </c>
      <c r="N282" s="80">
        <f t="shared" si="9"/>
        <v>70.3</v>
      </c>
      <c r="O282" s="153">
        <v>21.2</v>
      </c>
      <c r="P282" s="153">
        <v>21.18</v>
      </c>
      <c r="Q282" s="153">
        <v>21.13</v>
      </c>
      <c r="R282" s="153">
        <v>21.12</v>
      </c>
      <c r="S282" s="4"/>
      <c r="U282" s="147" t="s">
        <v>360</v>
      </c>
      <c r="V282" s="11"/>
      <c r="W282" s="4"/>
      <c r="X282" s="12"/>
      <c r="Y282" s="14"/>
      <c r="Z282" s="4"/>
      <c r="AA282" s="13"/>
      <c r="AB282" s="11"/>
      <c r="AC282" s="4"/>
      <c r="AD282" s="12"/>
      <c r="AE282" s="13"/>
      <c r="AF282" s="14">
        <v>5.0056000000000003</v>
      </c>
      <c r="AG282" s="133"/>
      <c r="AI282" s="84"/>
      <c r="AL282" s="64">
        <v>4.1739289666666668</v>
      </c>
      <c r="AM282" s="56">
        <v>14.94</v>
      </c>
      <c r="AN282" s="56">
        <v>16.959999999999908</v>
      </c>
      <c r="AO282" s="62">
        <v>23.059999999999899</v>
      </c>
      <c r="AQ282" s="64">
        <v>4.0830762500000004</v>
      </c>
      <c r="AR282" s="56">
        <v>14.35999999999993</v>
      </c>
      <c r="AS282" s="56">
        <v>15.859999999999991</v>
      </c>
      <c r="AT282" s="62">
        <v>19.979999999999979</v>
      </c>
      <c r="AV282" s="64">
        <v>3.7303316999999998</v>
      </c>
      <c r="AW282" s="56">
        <v>13.940000000000021</v>
      </c>
      <c r="AX282" s="56">
        <v>15.460000000000029</v>
      </c>
      <c r="AY282" s="62">
        <v>20.219999999999949</v>
      </c>
      <c r="BA282" s="64">
        <v>3.1891574500000002</v>
      </c>
      <c r="BB282" s="56">
        <v>16.899999999999959</v>
      </c>
      <c r="BC282" s="56">
        <v>19.399999999999999</v>
      </c>
      <c r="BD282" s="62">
        <v>31.459999999999951</v>
      </c>
      <c r="BF282" s="64">
        <v>2.9359151500000009</v>
      </c>
      <c r="BG282" s="56">
        <v>21.640000000000011</v>
      </c>
      <c r="BH282" s="56">
        <v>29.499999999999989</v>
      </c>
      <c r="BI282" s="62">
        <v>61.019999999999982</v>
      </c>
      <c r="BJ282" s="70"/>
      <c r="BK282" s="51"/>
    </row>
    <row r="283" spans="1:63" x14ac:dyDescent="0.4">
      <c r="A283" s="11" t="s">
        <v>361</v>
      </c>
      <c r="B283" s="4"/>
      <c r="C283" s="4"/>
      <c r="D283" s="4"/>
      <c r="E283" s="12"/>
      <c r="G283" s="147" t="s">
        <v>361</v>
      </c>
      <c r="H283" s="159">
        <v>70.049000000000007</v>
      </c>
      <c r="I283" s="153">
        <v>70.39</v>
      </c>
      <c r="J283" s="153">
        <v>70.319999999999993</v>
      </c>
      <c r="K283" s="153">
        <v>70.33</v>
      </c>
      <c r="L283" s="153">
        <v>70.37</v>
      </c>
      <c r="M283" s="80">
        <f t="shared" si="8"/>
        <v>70.39</v>
      </c>
      <c r="N283" s="80">
        <f t="shared" si="9"/>
        <v>70.319999999999993</v>
      </c>
      <c r="O283" s="153">
        <v>21.19</v>
      </c>
      <c r="P283" s="153">
        <v>21.18</v>
      </c>
      <c r="Q283" s="153">
        <v>21.12</v>
      </c>
      <c r="R283" s="153">
        <v>21.11</v>
      </c>
      <c r="S283" s="4"/>
      <c r="U283" s="147" t="s">
        <v>361</v>
      </c>
      <c r="V283" s="11"/>
      <c r="W283" s="4"/>
      <c r="X283" s="12"/>
      <c r="Y283" s="14"/>
      <c r="Z283" s="4"/>
      <c r="AA283" s="13"/>
      <c r="AB283" s="11"/>
      <c r="AC283" s="4"/>
      <c r="AD283" s="12"/>
      <c r="AE283" s="13"/>
      <c r="AF283" s="14">
        <v>5.0021000000000004</v>
      </c>
      <c r="AG283" s="133"/>
      <c r="AI283" s="84"/>
      <c r="AL283" s="64">
        <v>4.1737959333333334</v>
      </c>
      <c r="AM283" s="56">
        <v>14.33999999999997</v>
      </c>
      <c r="AN283" s="56">
        <v>16.300000000000029</v>
      </c>
      <c r="AO283" s="62">
        <v>22.220000000000081</v>
      </c>
      <c r="AQ283" s="64">
        <v>4.081394816666668</v>
      </c>
      <c r="AR283" s="56">
        <v>13.90000000000011</v>
      </c>
      <c r="AS283" s="56">
        <v>15.38000000000004</v>
      </c>
      <c r="AT283" s="62">
        <v>19.420000000000041</v>
      </c>
      <c r="AV283" s="64">
        <v>3.7288640499999999</v>
      </c>
      <c r="AW283" s="56">
        <v>13.199999999999971</v>
      </c>
      <c r="AX283" s="56">
        <v>14.67999999999998</v>
      </c>
      <c r="AY283" s="62">
        <v>19.299999999999962</v>
      </c>
      <c r="BA283" s="64">
        <v>3.186257883333333</v>
      </c>
      <c r="BB283" s="56">
        <v>16.680000000000032</v>
      </c>
      <c r="BC283" s="56">
        <v>19.200000000000021</v>
      </c>
      <c r="BD283" s="62">
        <v>31.24000000000002</v>
      </c>
      <c r="BF283" s="64">
        <v>2.9326976</v>
      </c>
      <c r="BG283" s="56">
        <v>21.260000000000009</v>
      </c>
      <c r="BH283" s="56">
        <v>28.840000000000021</v>
      </c>
      <c r="BI283" s="62">
        <v>59.980000000000011</v>
      </c>
      <c r="BJ283" s="70"/>
      <c r="BK283" s="51"/>
    </row>
    <row r="284" spans="1:63" x14ac:dyDescent="0.4">
      <c r="A284" s="11" t="s">
        <v>362</v>
      </c>
      <c r="B284" s="4"/>
      <c r="C284" s="4"/>
      <c r="D284" s="4"/>
      <c r="E284" s="12"/>
      <c r="G284" s="147" t="s">
        <v>362</v>
      </c>
      <c r="H284" s="159">
        <v>70.072999999999993</v>
      </c>
      <c r="I284" s="153">
        <v>70.349999999999994</v>
      </c>
      <c r="J284" s="153">
        <v>70.33</v>
      </c>
      <c r="K284" s="153">
        <v>70.33</v>
      </c>
      <c r="L284" s="153">
        <v>70.36</v>
      </c>
      <c r="M284" s="80">
        <f t="shared" si="8"/>
        <v>70.36</v>
      </c>
      <c r="N284" s="80">
        <f t="shared" si="9"/>
        <v>70.33</v>
      </c>
      <c r="O284" s="153">
        <v>21.18</v>
      </c>
      <c r="P284" s="153">
        <v>21.17</v>
      </c>
      <c r="Q284" s="153">
        <v>21.14</v>
      </c>
      <c r="R284" s="153">
        <v>21.1</v>
      </c>
      <c r="S284" s="4"/>
      <c r="U284" s="147" t="s">
        <v>362</v>
      </c>
      <c r="V284" s="11"/>
      <c r="W284" s="4"/>
      <c r="X284" s="12"/>
      <c r="Y284" s="14"/>
      <c r="Z284" s="4"/>
      <c r="AA284" s="13"/>
      <c r="AB284" s="11"/>
      <c r="AC284" s="4"/>
      <c r="AD284" s="12"/>
      <c r="AE284" s="13"/>
      <c r="AF284" s="14">
        <v>5.0152999999999999</v>
      </c>
      <c r="AG284" s="133"/>
      <c r="AI284" s="84"/>
      <c r="AL284" s="64">
        <v>4.1738774666666671</v>
      </c>
      <c r="AM284" s="56">
        <v>14.119999999999949</v>
      </c>
      <c r="AN284" s="56">
        <v>16.080000000000009</v>
      </c>
      <c r="AO284" s="62">
        <v>21.95999999999998</v>
      </c>
      <c r="AQ284" s="64">
        <v>4.0816965666666656</v>
      </c>
      <c r="AR284" s="56">
        <v>13.8399999999999</v>
      </c>
      <c r="AS284" s="56">
        <v>15.32</v>
      </c>
      <c r="AT284" s="62">
        <v>19.339999999999961</v>
      </c>
      <c r="AV284" s="64">
        <v>3.7288106000000001</v>
      </c>
      <c r="AW284" s="56">
        <v>13.160000000000061</v>
      </c>
      <c r="AX284" s="56">
        <v>14.620000000000029</v>
      </c>
      <c r="AY284" s="62">
        <v>19.280000000000008</v>
      </c>
      <c r="BA284" s="64">
        <v>3.1843890666666672</v>
      </c>
      <c r="BB284" s="56">
        <v>16.17999999999995</v>
      </c>
      <c r="BC284" s="56">
        <v>18.679999999999989</v>
      </c>
      <c r="BD284" s="62">
        <v>30.69999999999995</v>
      </c>
      <c r="BF284" s="64">
        <v>2.9320363166666672</v>
      </c>
      <c r="BG284" s="56">
        <v>20.760000000000019</v>
      </c>
      <c r="BH284" s="56">
        <v>28.31999999999999</v>
      </c>
      <c r="BI284" s="62">
        <v>59.520000000000017</v>
      </c>
      <c r="BJ284" s="70"/>
      <c r="BK284" s="51"/>
    </row>
    <row r="285" spans="1:63" x14ac:dyDescent="0.4">
      <c r="A285" s="11" t="s">
        <v>363</v>
      </c>
      <c r="B285" s="4"/>
      <c r="C285" s="4"/>
      <c r="D285" s="4"/>
      <c r="E285" s="12"/>
      <c r="G285" s="147" t="s">
        <v>363</v>
      </c>
      <c r="H285" s="159">
        <v>70.052000000000007</v>
      </c>
      <c r="I285" s="153">
        <v>70.36</v>
      </c>
      <c r="J285" s="153">
        <v>70.349999999999994</v>
      </c>
      <c r="K285" s="153">
        <v>70.319999999999993</v>
      </c>
      <c r="L285" s="153">
        <v>70.34</v>
      </c>
      <c r="M285" s="80">
        <f t="shared" si="8"/>
        <v>70.36</v>
      </c>
      <c r="N285" s="80">
        <f t="shared" si="9"/>
        <v>70.319999999999993</v>
      </c>
      <c r="O285" s="153">
        <v>21.17</v>
      </c>
      <c r="P285" s="153">
        <v>21.15</v>
      </c>
      <c r="Q285" s="153">
        <v>21.14</v>
      </c>
      <c r="R285" s="153">
        <v>21.1</v>
      </c>
      <c r="S285" s="4"/>
      <c r="U285" s="147" t="s">
        <v>363</v>
      </c>
      <c r="V285" s="11"/>
      <c r="W285" s="4"/>
      <c r="X285" s="12"/>
      <c r="Y285" s="14"/>
      <c r="Z285" s="4"/>
      <c r="AA285" s="13"/>
      <c r="AB285" s="11"/>
      <c r="AC285" s="4"/>
      <c r="AD285" s="12"/>
      <c r="AE285" s="13"/>
      <c r="AF285" s="14">
        <v>5.0092999999999996</v>
      </c>
      <c r="AG285" s="133"/>
      <c r="AI285" s="84"/>
      <c r="AL285" s="64">
        <v>4.1736009666666662</v>
      </c>
      <c r="AM285" s="56">
        <v>13.8399999999999</v>
      </c>
      <c r="AN285" s="56">
        <v>15.78</v>
      </c>
      <c r="AO285" s="62">
        <v>21.739999999999959</v>
      </c>
      <c r="AQ285" s="64">
        <v>4.0831127666666678</v>
      </c>
      <c r="AR285" s="56">
        <v>13.679999999999909</v>
      </c>
      <c r="AS285" s="56">
        <v>15.13999999999989</v>
      </c>
      <c r="AT285" s="62">
        <v>19.079999999999941</v>
      </c>
      <c r="AV285" s="64">
        <v>3.7307347000000002</v>
      </c>
      <c r="AW285" s="56">
        <v>12.979999999999951</v>
      </c>
      <c r="AX285" s="56">
        <v>14.400000000000009</v>
      </c>
      <c r="AY285" s="62">
        <v>18.98</v>
      </c>
      <c r="BA285" s="64">
        <v>3.1893398833333331</v>
      </c>
      <c r="BB285" s="56">
        <v>15.62000000000001</v>
      </c>
      <c r="BC285" s="56">
        <v>18.039999999999971</v>
      </c>
      <c r="BD285" s="62">
        <v>29.760000000000009</v>
      </c>
      <c r="BF285" s="64">
        <v>2.932490333333333</v>
      </c>
      <c r="BG285" s="56">
        <v>20.16</v>
      </c>
      <c r="BH285" s="56">
        <v>27.899999999999991</v>
      </c>
      <c r="BI285" s="62">
        <v>59.520000000000017</v>
      </c>
      <c r="BJ285" s="69"/>
      <c r="BK285" s="51"/>
    </row>
    <row r="286" spans="1:63" x14ac:dyDescent="0.4">
      <c r="A286" s="11" t="s">
        <v>364</v>
      </c>
      <c r="B286" s="4"/>
      <c r="C286" s="4"/>
      <c r="D286" s="4"/>
      <c r="E286" s="12"/>
      <c r="G286" s="147" t="s">
        <v>364</v>
      </c>
      <c r="H286" s="159">
        <v>70.046000000000006</v>
      </c>
      <c r="I286" s="153">
        <v>70.37</v>
      </c>
      <c r="J286" s="153">
        <v>70.319999999999993</v>
      </c>
      <c r="K286" s="153">
        <v>70.319999999999993</v>
      </c>
      <c r="L286" s="153">
        <v>70.33</v>
      </c>
      <c r="M286" s="80">
        <f t="shared" si="8"/>
        <v>70.37</v>
      </c>
      <c r="N286" s="80">
        <f t="shared" si="9"/>
        <v>70.319999999999993</v>
      </c>
      <c r="O286" s="153">
        <v>21.19</v>
      </c>
      <c r="P286" s="153">
        <v>21.18</v>
      </c>
      <c r="Q286" s="153">
        <v>21.13</v>
      </c>
      <c r="R286" s="153">
        <v>21.09</v>
      </c>
      <c r="S286" s="4"/>
      <c r="U286" s="147" t="s">
        <v>364</v>
      </c>
      <c r="V286" s="11"/>
      <c r="W286" s="4"/>
      <c r="X286" s="12"/>
      <c r="Y286" s="14"/>
      <c r="Z286" s="4"/>
      <c r="AA286" s="13"/>
      <c r="AB286" s="11"/>
      <c r="AC286" s="4"/>
      <c r="AD286" s="12"/>
      <c r="AE286" s="13"/>
      <c r="AF286" s="14">
        <v>5.0072999999999999</v>
      </c>
      <c r="AG286" s="133"/>
      <c r="AI286" s="84"/>
      <c r="AL286" s="64">
        <v>4.1734953166666671</v>
      </c>
      <c r="AM286" s="56">
        <v>13.899999999999929</v>
      </c>
      <c r="AN286" s="56">
        <v>15.859999999999991</v>
      </c>
      <c r="AO286" s="62">
        <v>21.759999999999909</v>
      </c>
      <c r="AQ286" s="64">
        <v>4.0826913500000011</v>
      </c>
      <c r="AR286" s="56">
        <v>13.76000000000008</v>
      </c>
      <c r="AS286" s="56">
        <v>15.220000000000059</v>
      </c>
      <c r="AT286" s="62">
        <v>19.25999999999997</v>
      </c>
      <c r="AV286" s="64">
        <v>3.7304044666666671</v>
      </c>
      <c r="AW286" s="56">
        <v>13.060000000000031</v>
      </c>
      <c r="AX286" s="56">
        <v>14.52</v>
      </c>
      <c r="AY286" s="62">
        <v>19.140000000000072</v>
      </c>
      <c r="BA286" s="64">
        <v>3.188598816666667</v>
      </c>
      <c r="BB286" s="56">
        <v>16.199999999999989</v>
      </c>
      <c r="BC286" s="56">
        <v>18.65999999999994</v>
      </c>
      <c r="BD286" s="62">
        <v>30.559999999999921</v>
      </c>
      <c r="BF286" s="64">
        <v>2.9308882000000001</v>
      </c>
      <c r="BG286" s="56">
        <v>20.760000000000019</v>
      </c>
      <c r="BH286" s="56">
        <v>28.320000000000078</v>
      </c>
      <c r="BI286" s="62">
        <v>59.720000000000077</v>
      </c>
      <c r="BJ286" s="70"/>
      <c r="BK286" s="51"/>
    </row>
    <row r="287" spans="1:63" x14ac:dyDescent="0.4">
      <c r="A287" s="11" t="s">
        <v>365</v>
      </c>
      <c r="B287" s="4"/>
      <c r="C287" s="4"/>
      <c r="D287" s="4"/>
      <c r="E287" s="12"/>
      <c r="G287" s="147" t="s">
        <v>365</v>
      </c>
      <c r="H287" s="159">
        <v>70.171000000000006</v>
      </c>
      <c r="I287" s="153">
        <v>70.37</v>
      </c>
      <c r="J287" s="153">
        <v>70.36</v>
      </c>
      <c r="K287" s="153">
        <v>70.37</v>
      </c>
      <c r="L287" s="153">
        <v>70.349999999999994</v>
      </c>
      <c r="M287" s="80">
        <f t="shared" si="8"/>
        <v>70.37</v>
      </c>
      <c r="N287" s="80">
        <f t="shared" si="9"/>
        <v>70.349999999999994</v>
      </c>
      <c r="O287" s="153">
        <v>21.19</v>
      </c>
      <c r="P287" s="153">
        <v>21.17</v>
      </c>
      <c r="Q287" s="153">
        <v>21.15</v>
      </c>
      <c r="R287" s="153">
        <v>21.13</v>
      </c>
      <c r="S287" s="4"/>
      <c r="U287" s="147" t="s">
        <v>365</v>
      </c>
      <c r="V287" s="11"/>
      <c r="W287" s="4"/>
      <c r="X287" s="12"/>
      <c r="Y287" s="14"/>
      <c r="Z287" s="4"/>
      <c r="AA287" s="13"/>
      <c r="AB287" s="11"/>
      <c r="AC287" s="4"/>
      <c r="AD287" s="12"/>
      <c r="AE287" s="13"/>
      <c r="AF287" s="14">
        <v>5.0225999999999997</v>
      </c>
      <c r="AG287" s="133"/>
      <c r="AI287" s="84"/>
      <c r="AL287" s="64">
        <v>4.1737009</v>
      </c>
      <c r="AM287" s="56">
        <v>14.179999999999991</v>
      </c>
      <c r="AN287" s="56">
        <v>16.16</v>
      </c>
      <c r="AO287" s="62">
        <v>21.920000000000069</v>
      </c>
      <c r="AQ287" s="64">
        <v>4.0825960333333331</v>
      </c>
      <c r="AR287" s="56">
        <v>13.920000000000069</v>
      </c>
      <c r="AS287" s="56">
        <v>15.39999999999999</v>
      </c>
      <c r="AT287" s="62">
        <v>19.440000000000079</v>
      </c>
      <c r="AV287" s="64">
        <v>3.7300083833333328</v>
      </c>
      <c r="AW287" s="56">
        <v>13.060000000000031</v>
      </c>
      <c r="AX287" s="56">
        <v>14.52</v>
      </c>
      <c r="AY287" s="62">
        <v>19.140000000000072</v>
      </c>
      <c r="BA287" s="64">
        <v>3.1874677500000002</v>
      </c>
      <c r="BB287" s="56">
        <v>16.099999999999959</v>
      </c>
      <c r="BC287" s="56">
        <v>18.579999999999949</v>
      </c>
      <c r="BD287" s="62">
        <v>30.45999999999998</v>
      </c>
      <c r="BF287" s="64">
        <v>2.92948275</v>
      </c>
      <c r="BG287" s="56">
        <v>20.639999999999951</v>
      </c>
      <c r="BH287" s="56">
        <v>28.399999999999981</v>
      </c>
      <c r="BI287" s="62">
        <v>60.360000000000007</v>
      </c>
      <c r="BJ287" s="70"/>
      <c r="BK287" s="51"/>
    </row>
    <row r="288" spans="1:63" x14ac:dyDescent="0.4">
      <c r="A288" s="11" t="s">
        <v>366</v>
      </c>
      <c r="B288" s="4"/>
      <c r="C288" s="4"/>
      <c r="D288" s="4"/>
      <c r="E288" s="12"/>
      <c r="G288" s="147" t="s">
        <v>366</v>
      </c>
      <c r="H288" s="159">
        <v>70.081999999999994</v>
      </c>
      <c r="I288" s="153">
        <v>70.349999999999994</v>
      </c>
      <c r="J288" s="153">
        <v>70.31</v>
      </c>
      <c r="K288" s="153">
        <v>70.319999999999993</v>
      </c>
      <c r="L288" s="153">
        <v>70.349999999999994</v>
      </c>
      <c r="M288" s="80">
        <f t="shared" si="8"/>
        <v>70.349999999999994</v>
      </c>
      <c r="N288" s="80">
        <f t="shared" si="9"/>
        <v>70.31</v>
      </c>
      <c r="O288" s="153">
        <v>21.19</v>
      </c>
      <c r="P288" s="153">
        <v>21.16</v>
      </c>
      <c r="Q288" s="153">
        <v>21.13</v>
      </c>
      <c r="R288" s="153">
        <v>21.11</v>
      </c>
      <c r="S288" s="4"/>
      <c r="U288" s="147" t="s">
        <v>366</v>
      </c>
      <c r="V288" s="11"/>
      <c r="W288" s="4"/>
      <c r="X288" s="12"/>
      <c r="Y288" s="14"/>
      <c r="Z288" s="4"/>
      <c r="AA288" s="13"/>
      <c r="AB288" s="11"/>
      <c r="AC288" s="4"/>
      <c r="AD288" s="12"/>
      <c r="AE288" s="13"/>
      <c r="AF288" s="14">
        <v>5.0102000000000002</v>
      </c>
      <c r="AG288" s="133"/>
      <c r="AI288" s="84"/>
      <c r="AL288" s="64">
        <v>4.1737718166666671</v>
      </c>
      <c r="AM288" s="56">
        <v>13.679999999999909</v>
      </c>
      <c r="AN288" s="56">
        <v>15.63999999999997</v>
      </c>
      <c r="AO288" s="62">
        <v>21.499999999999989</v>
      </c>
      <c r="AQ288" s="64">
        <v>4.0833898999999994</v>
      </c>
      <c r="AR288" s="56">
        <v>13.439999999999941</v>
      </c>
      <c r="AS288" s="56">
        <v>14.87999999999996</v>
      </c>
      <c r="AT288" s="62">
        <v>18.86000000000001</v>
      </c>
      <c r="AV288" s="64">
        <v>3.7316710666666668</v>
      </c>
      <c r="AW288" s="56">
        <v>12.93999999999995</v>
      </c>
      <c r="AX288" s="56">
        <v>14.39999999999992</v>
      </c>
      <c r="AY288" s="62">
        <v>18.99999999999995</v>
      </c>
      <c r="BA288" s="64">
        <v>3.1931454499999998</v>
      </c>
      <c r="BB288" s="56">
        <v>15.7</v>
      </c>
      <c r="BC288" s="56">
        <v>18.100000000000001</v>
      </c>
      <c r="BD288" s="62">
        <v>29.72000000000001</v>
      </c>
      <c r="BF288" s="64">
        <v>2.928412433333333</v>
      </c>
      <c r="BG288" s="56">
        <v>20.27999999999999</v>
      </c>
      <c r="BH288" s="56">
        <v>27.740000000000009</v>
      </c>
      <c r="BI288" s="62">
        <v>59.239999999999959</v>
      </c>
      <c r="BJ288" s="70"/>
      <c r="BK288" s="51"/>
    </row>
    <row r="289" spans="1:63" x14ac:dyDescent="0.4">
      <c r="A289" s="11" t="s">
        <v>367</v>
      </c>
      <c r="B289" s="4"/>
      <c r="C289" s="4"/>
      <c r="D289" s="4"/>
      <c r="E289" s="12"/>
      <c r="G289" s="147" t="s">
        <v>367</v>
      </c>
      <c r="H289" s="159">
        <v>70.082999999999998</v>
      </c>
      <c r="I289" s="153">
        <v>70.33</v>
      </c>
      <c r="J289" s="153">
        <v>70.33</v>
      </c>
      <c r="K289" s="153">
        <v>70.290000000000006</v>
      </c>
      <c r="L289" s="153">
        <v>70.34</v>
      </c>
      <c r="M289" s="80">
        <f t="shared" si="8"/>
        <v>70.34</v>
      </c>
      <c r="N289" s="80">
        <f t="shared" si="9"/>
        <v>70.290000000000006</v>
      </c>
      <c r="O289" s="153">
        <v>21.19</v>
      </c>
      <c r="P289" s="153">
        <v>21.16</v>
      </c>
      <c r="Q289" s="153">
        <v>21.14</v>
      </c>
      <c r="R289" s="153">
        <v>21.12</v>
      </c>
      <c r="S289" s="4"/>
      <c r="U289" s="147" t="s">
        <v>367</v>
      </c>
      <c r="V289" s="11"/>
      <c r="W289" s="4"/>
      <c r="X289" s="12"/>
      <c r="Y289" s="14"/>
      <c r="Z289" s="4"/>
      <c r="AA289" s="13"/>
      <c r="AB289" s="11"/>
      <c r="AC289" s="4"/>
      <c r="AD289" s="12"/>
      <c r="AE289" s="13"/>
      <c r="AF289" s="14">
        <v>5.0143000000000004</v>
      </c>
      <c r="AG289" s="133"/>
      <c r="AI289" s="84"/>
      <c r="AL289" s="64">
        <v>4.1736787</v>
      </c>
      <c r="AM289" s="56">
        <v>14.120000000000131</v>
      </c>
      <c r="AN289" s="56">
        <v>16.099999999999959</v>
      </c>
      <c r="AO289" s="62">
        <v>21.879999999999988</v>
      </c>
      <c r="AQ289" s="64">
        <v>4.0840426833333332</v>
      </c>
      <c r="AR289" s="56">
        <v>14.07999999999987</v>
      </c>
      <c r="AS289" s="56">
        <v>15.539999999999839</v>
      </c>
      <c r="AT289" s="62">
        <v>19.599999999999881</v>
      </c>
      <c r="AV289" s="64">
        <v>3.732388233333332</v>
      </c>
      <c r="AW289" s="56">
        <v>13.44000000000003</v>
      </c>
      <c r="AX289" s="56">
        <v>14.920000000000041</v>
      </c>
      <c r="AY289" s="62">
        <v>19.56000000000007</v>
      </c>
      <c r="BA289" s="64">
        <v>3.192328933333334</v>
      </c>
      <c r="BB289" s="56">
        <v>16.100000000000051</v>
      </c>
      <c r="BC289" s="56">
        <v>18.52</v>
      </c>
      <c r="BD289" s="62">
        <v>30.26</v>
      </c>
      <c r="BF289" s="64">
        <v>2.9352620833333338</v>
      </c>
      <c r="BG289" s="56">
        <v>20.500000000000011</v>
      </c>
      <c r="BH289" s="56">
        <v>27.980000000000071</v>
      </c>
      <c r="BI289" s="62">
        <v>58.980000000000032</v>
      </c>
      <c r="BJ289" s="70"/>
      <c r="BK289" s="51"/>
    </row>
    <row r="290" spans="1:63" ht="18" thickBot="1" x14ac:dyDescent="0.45">
      <c r="A290" s="11" t="s">
        <v>368</v>
      </c>
      <c r="B290" s="4"/>
      <c r="C290" s="4"/>
      <c r="D290" s="4"/>
      <c r="E290" s="12"/>
      <c r="G290" s="147" t="s">
        <v>368</v>
      </c>
      <c r="H290" s="159">
        <v>69.966999999999999</v>
      </c>
      <c r="I290" s="153">
        <v>70.319999999999993</v>
      </c>
      <c r="J290" s="153">
        <v>70.39</v>
      </c>
      <c r="K290" s="153">
        <v>70.37</v>
      </c>
      <c r="L290" s="153">
        <v>70.349999999999994</v>
      </c>
      <c r="M290" s="80">
        <f>MAX(I290:L290)</f>
        <v>70.39</v>
      </c>
      <c r="N290" s="80">
        <f>MIN(I290:L290)</f>
        <v>70.319999999999993</v>
      </c>
      <c r="O290" s="153">
        <v>21.14</v>
      </c>
      <c r="P290" s="153">
        <v>21.1</v>
      </c>
      <c r="Q290" s="153">
        <v>21.11</v>
      </c>
      <c r="R290" s="153">
        <v>21.08</v>
      </c>
      <c r="S290" s="4"/>
      <c r="U290" s="147" t="s">
        <v>368</v>
      </c>
      <c r="V290" s="11"/>
      <c r="W290" s="4"/>
      <c r="X290" s="12"/>
      <c r="Y290" s="14"/>
      <c r="Z290" s="4"/>
      <c r="AA290" s="13"/>
      <c r="AB290" s="11"/>
      <c r="AC290" s="4"/>
      <c r="AD290" s="12"/>
      <c r="AE290" s="13"/>
      <c r="AF290" s="14">
        <v>4.9968000000000004</v>
      </c>
      <c r="AG290" s="133"/>
      <c r="AI290" s="84"/>
      <c r="AL290" s="64">
        <v>4.1737775666666668</v>
      </c>
      <c r="AM290" s="56">
        <v>14.32000000000002</v>
      </c>
      <c r="AN290" s="56">
        <v>16.339999999999929</v>
      </c>
      <c r="AO290" s="62">
        <v>22.40000000000002</v>
      </c>
      <c r="AQ290" s="64">
        <v>4.0834911500000004</v>
      </c>
      <c r="AR290" s="56">
        <v>14.179999999999991</v>
      </c>
      <c r="AS290" s="56">
        <v>15.680000000000049</v>
      </c>
      <c r="AT290" s="62">
        <v>19.78</v>
      </c>
      <c r="AV290" s="64">
        <v>3.731749633333334</v>
      </c>
      <c r="AW290" s="56">
        <v>13.47999999999994</v>
      </c>
      <c r="AX290" s="56">
        <v>14.99999999999995</v>
      </c>
      <c r="AY290" s="62">
        <v>19.699999999999921</v>
      </c>
      <c r="BA290" s="64">
        <v>3.1921043166666672</v>
      </c>
      <c r="BB290" s="56">
        <v>15.96000000000002</v>
      </c>
      <c r="BC290" s="56">
        <v>18.380000000000059</v>
      </c>
      <c r="BD290" s="62">
        <v>30.080000000000059</v>
      </c>
      <c r="BF290" s="64">
        <v>2.931935283333333</v>
      </c>
      <c r="BG290" s="56">
        <v>20.639999999999951</v>
      </c>
      <c r="BH290" s="56">
        <v>28.05999999999997</v>
      </c>
      <c r="BI290" s="62">
        <v>59.19999999999996</v>
      </c>
      <c r="BJ290" s="70"/>
      <c r="BK290" s="51"/>
    </row>
    <row r="291" spans="1:63" ht="18" thickTop="1" x14ac:dyDescent="0.4">
      <c r="A291" s="11" t="s">
        <v>369</v>
      </c>
      <c r="B291" s="4"/>
      <c r="C291" s="4"/>
      <c r="D291" s="4"/>
      <c r="E291" s="12"/>
      <c r="G291" s="147" t="s">
        <v>369</v>
      </c>
      <c r="H291" s="159">
        <v>70.069000000000003</v>
      </c>
      <c r="I291" s="162">
        <v>70.290000000000006</v>
      </c>
      <c r="J291" s="153">
        <v>70.290000000000006</v>
      </c>
      <c r="K291" s="153">
        <v>70.28</v>
      </c>
      <c r="L291" s="153">
        <v>70.38</v>
      </c>
      <c r="M291" s="80">
        <f t="shared" si="8"/>
        <v>70.38</v>
      </c>
      <c r="N291" s="80">
        <f t="shared" si="9"/>
        <v>70.28</v>
      </c>
      <c r="O291" s="153">
        <v>21.17</v>
      </c>
      <c r="P291" s="153">
        <v>21.09</v>
      </c>
      <c r="Q291" s="153">
        <v>21.13</v>
      </c>
      <c r="R291" s="153">
        <v>21.02</v>
      </c>
      <c r="S291" s="4"/>
      <c r="U291" s="147" t="s">
        <v>369</v>
      </c>
      <c r="V291" s="11"/>
      <c r="W291" s="4"/>
      <c r="X291" s="12"/>
      <c r="Y291" s="14"/>
      <c r="Z291" s="4"/>
      <c r="AA291" s="13"/>
      <c r="AB291" s="11"/>
      <c r="AC291" s="4"/>
      <c r="AD291" s="12"/>
      <c r="AE291" s="13"/>
      <c r="AF291" s="14">
        <v>5.0145</v>
      </c>
      <c r="AG291" s="133"/>
      <c r="AI291" s="84"/>
      <c r="AL291" s="64">
        <v>4.173643216666667</v>
      </c>
      <c r="AM291" s="56">
        <v>14.56</v>
      </c>
      <c r="AN291" s="56">
        <v>16.519999999999872</v>
      </c>
      <c r="AO291" s="62">
        <v>22.519999999999921</v>
      </c>
      <c r="AQ291" s="64">
        <v>4.0816271000000004</v>
      </c>
      <c r="AR291" s="56">
        <v>13.999999999999879</v>
      </c>
      <c r="AS291" s="56">
        <v>15.479999999999981</v>
      </c>
      <c r="AT291" s="62">
        <v>19.479999999999901</v>
      </c>
      <c r="AV291" s="64">
        <v>3.7270278499999998</v>
      </c>
      <c r="AW291" s="56">
        <v>13.480000000000031</v>
      </c>
      <c r="AX291" s="56">
        <v>14.97999999999999</v>
      </c>
      <c r="AY291" s="62">
        <v>19.680000000000049</v>
      </c>
      <c r="BA291" s="64">
        <v>3.1772149999999999</v>
      </c>
      <c r="BB291" s="56">
        <v>15.980000000000061</v>
      </c>
      <c r="BC291" s="56">
        <v>18.460000000000051</v>
      </c>
      <c r="BD291" s="62">
        <v>30.480000000000022</v>
      </c>
      <c r="BF291" s="64">
        <v>2.9181187500000001</v>
      </c>
      <c r="BG291" s="56">
        <v>20.460000000000012</v>
      </c>
      <c r="BH291" s="56">
        <v>27.639999999999979</v>
      </c>
      <c r="BI291" s="62">
        <v>59.159999999999968</v>
      </c>
      <c r="BJ291" s="70"/>
      <c r="BK291" s="51"/>
    </row>
    <row r="292" spans="1:63" x14ac:dyDescent="0.4">
      <c r="A292" s="11" t="s">
        <v>370</v>
      </c>
      <c r="B292" s="4"/>
      <c r="C292" s="4"/>
      <c r="D292" s="4"/>
      <c r="E292" s="12"/>
      <c r="G292" s="147" t="s">
        <v>370</v>
      </c>
      <c r="H292" s="159">
        <v>70.042000000000002</v>
      </c>
      <c r="I292" s="153">
        <v>70.349999999999994</v>
      </c>
      <c r="J292" s="153">
        <v>70.36</v>
      </c>
      <c r="K292" s="153">
        <v>70.27</v>
      </c>
      <c r="L292" s="153">
        <v>70.400000000000006</v>
      </c>
      <c r="M292" s="80">
        <f t="shared" si="8"/>
        <v>70.400000000000006</v>
      </c>
      <c r="N292" s="80">
        <f t="shared" si="9"/>
        <v>70.27</v>
      </c>
      <c r="O292" s="153">
        <v>21.1</v>
      </c>
      <c r="P292" s="153">
        <v>21.03</v>
      </c>
      <c r="Q292" s="153">
        <v>21.15</v>
      </c>
      <c r="R292" s="153">
        <v>21.05</v>
      </c>
      <c r="S292" s="4"/>
      <c r="U292" s="147" t="s">
        <v>370</v>
      </c>
      <c r="V292" s="11"/>
      <c r="W292" s="4"/>
      <c r="X292" s="12"/>
      <c r="Y292" s="14"/>
      <c r="Z292" s="4"/>
      <c r="AA292" s="13"/>
      <c r="AB292" s="11"/>
      <c r="AC292" s="4"/>
      <c r="AD292" s="12"/>
      <c r="AE292" s="13"/>
      <c r="AF292" s="14">
        <v>5.0058999999999996</v>
      </c>
      <c r="AG292" s="133"/>
      <c r="AI292" s="84"/>
      <c r="AL292" s="64">
        <v>4.1733225166666674</v>
      </c>
      <c r="AM292" s="56">
        <v>14.179999999999991</v>
      </c>
      <c r="AN292" s="56">
        <v>16.16</v>
      </c>
      <c r="AO292" s="62">
        <v>22.140000000000089</v>
      </c>
      <c r="AQ292" s="64">
        <v>4.0820863833333334</v>
      </c>
      <c r="AR292" s="56">
        <v>13.91999999999989</v>
      </c>
      <c r="AS292" s="56">
        <v>15.37999999999986</v>
      </c>
      <c r="AT292" s="62">
        <v>19.45999999999994</v>
      </c>
      <c r="AV292" s="64">
        <v>3.7297855000000002</v>
      </c>
      <c r="AW292" s="56">
        <v>13.36000000000004</v>
      </c>
      <c r="AX292" s="56">
        <v>14.820000000000009</v>
      </c>
      <c r="AY292" s="62">
        <v>19.520000000000071</v>
      </c>
      <c r="BA292" s="64">
        <v>3.1892124833333328</v>
      </c>
      <c r="BB292" s="56">
        <v>16.02000000000006</v>
      </c>
      <c r="BC292" s="56">
        <v>18.480000000000011</v>
      </c>
      <c r="BD292" s="62">
        <v>30.22</v>
      </c>
      <c r="BF292" s="64">
        <v>2.9286074333333332</v>
      </c>
      <c r="BG292" s="56">
        <v>20.759999999999931</v>
      </c>
      <c r="BH292" s="56">
        <v>28.479999999999968</v>
      </c>
      <c r="BI292" s="62">
        <v>60.339999999999968</v>
      </c>
      <c r="BJ292" s="69"/>
      <c r="BK292" s="51"/>
    </row>
    <row r="293" spans="1:63" ht="17.25" customHeight="1" thickBot="1" x14ac:dyDescent="0.45">
      <c r="A293" s="16" t="s">
        <v>371</v>
      </c>
      <c r="B293" s="17"/>
      <c r="C293" s="17"/>
      <c r="D293" s="17"/>
      <c r="E293" s="18"/>
      <c r="G293" s="147" t="s">
        <v>371</v>
      </c>
      <c r="H293" s="159">
        <v>70.078999999999994</v>
      </c>
      <c r="I293" s="153">
        <v>70.38</v>
      </c>
      <c r="J293" s="153">
        <v>70.3</v>
      </c>
      <c r="K293" s="153">
        <v>70.290000000000006</v>
      </c>
      <c r="L293" s="153">
        <v>70.290000000000006</v>
      </c>
      <c r="M293" s="80">
        <f t="shared" si="8"/>
        <v>70.38</v>
      </c>
      <c r="N293" s="80">
        <f t="shared" si="9"/>
        <v>70.290000000000006</v>
      </c>
      <c r="O293" s="153">
        <v>21.2</v>
      </c>
      <c r="P293" s="153">
        <v>21.16</v>
      </c>
      <c r="Q293" s="153">
        <v>21.13</v>
      </c>
      <c r="R293" s="153">
        <v>21.09</v>
      </c>
      <c r="S293" s="4"/>
      <c r="U293" s="147" t="s">
        <v>371</v>
      </c>
      <c r="V293" s="16"/>
      <c r="W293" s="17"/>
      <c r="X293" s="18"/>
      <c r="Y293" s="29"/>
      <c r="Z293" s="17"/>
      <c r="AA293" s="30"/>
      <c r="AB293" s="16"/>
      <c r="AC293" s="17"/>
      <c r="AD293" s="18"/>
      <c r="AE293" s="13"/>
      <c r="AF293" s="14">
        <v>5.0110000000000001</v>
      </c>
      <c r="AG293" s="133"/>
      <c r="AI293" s="84"/>
      <c r="AL293" s="64">
        <v>4.1735093166666664</v>
      </c>
      <c r="AM293" s="56">
        <v>14.519999999999911</v>
      </c>
      <c r="AN293" s="56">
        <v>16.499999999999911</v>
      </c>
      <c r="AO293" s="62">
        <v>22.320000000000029</v>
      </c>
      <c r="AQ293" s="64">
        <v>4.0809013500000004</v>
      </c>
      <c r="AR293" s="56">
        <v>13.979999999999929</v>
      </c>
      <c r="AS293" s="56">
        <v>15.460000000000029</v>
      </c>
      <c r="AT293" s="62">
        <v>19.47999999999999</v>
      </c>
      <c r="AV293" s="64">
        <v>3.7280795000000002</v>
      </c>
      <c r="AW293" s="56">
        <v>13.35999999999995</v>
      </c>
      <c r="AX293" s="56">
        <v>14.820000000000009</v>
      </c>
      <c r="AY293" s="62">
        <v>19.439999999999991</v>
      </c>
      <c r="BA293" s="64">
        <v>3.1845609833333328</v>
      </c>
      <c r="BB293" s="56">
        <v>16.300000000000029</v>
      </c>
      <c r="BC293" s="56">
        <v>18.780000000000019</v>
      </c>
      <c r="BD293" s="62">
        <v>30.68</v>
      </c>
      <c r="BF293" s="64">
        <v>2.9279613000000002</v>
      </c>
      <c r="BG293" s="56">
        <v>20.859999999999971</v>
      </c>
      <c r="BH293" s="56">
        <v>28.519999999999971</v>
      </c>
      <c r="BI293" s="62">
        <v>59.919999999999973</v>
      </c>
      <c r="BJ293" s="70"/>
      <c r="BK293" s="51"/>
    </row>
    <row r="294" spans="1:63" x14ac:dyDescent="0.4">
      <c r="A294" s="19" t="s">
        <v>372</v>
      </c>
      <c r="B294" s="4"/>
      <c r="C294" s="4"/>
      <c r="D294" s="4"/>
      <c r="E294" s="12"/>
      <c r="G294" s="147" t="s">
        <v>372</v>
      </c>
      <c r="H294" s="159">
        <v>70.034000000000006</v>
      </c>
      <c r="I294" s="153">
        <v>70.31</v>
      </c>
      <c r="J294" s="153">
        <v>70.34</v>
      </c>
      <c r="K294" s="153">
        <v>70.33</v>
      </c>
      <c r="L294" s="153">
        <v>70.31</v>
      </c>
      <c r="M294" s="80">
        <f t="shared" si="8"/>
        <v>70.34</v>
      </c>
      <c r="N294" s="80">
        <f t="shared" si="9"/>
        <v>70.31</v>
      </c>
      <c r="O294" s="153">
        <v>21.17</v>
      </c>
      <c r="P294" s="153">
        <v>21.06</v>
      </c>
      <c r="Q294" s="153">
        <v>21.14</v>
      </c>
      <c r="R294" s="153">
        <v>21.08</v>
      </c>
      <c r="S294" s="4"/>
      <c r="U294" s="147" t="s">
        <v>372</v>
      </c>
      <c r="V294" s="11"/>
      <c r="W294" s="4"/>
      <c r="X294" s="12"/>
      <c r="Y294" s="14"/>
      <c r="Z294" s="4"/>
      <c r="AA294" s="13"/>
      <c r="AB294" s="11"/>
      <c r="AC294" s="4"/>
      <c r="AD294" s="12"/>
      <c r="AE294" s="13"/>
      <c r="AF294" s="14">
        <v>5.0056000000000003</v>
      </c>
      <c r="AG294" s="133"/>
      <c r="AI294" s="84"/>
      <c r="AL294" s="64">
        <v>4.1737867833333331</v>
      </c>
      <c r="AM294" s="56">
        <v>14.02000000000001</v>
      </c>
      <c r="AN294" s="56">
        <v>15.980000000000061</v>
      </c>
      <c r="AO294" s="62">
        <v>21.94000000000003</v>
      </c>
      <c r="AQ294" s="64">
        <v>4.082504583333332</v>
      </c>
      <c r="AR294" s="56">
        <v>13.69999999999987</v>
      </c>
      <c r="AS294" s="56">
        <v>15.15999999999984</v>
      </c>
      <c r="AT294" s="62">
        <v>19.159999999999929</v>
      </c>
      <c r="AV294" s="64">
        <v>3.730548466666666</v>
      </c>
      <c r="AW294" s="56">
        <v>13.079999999999981</v>
      </c>
      <c r="AX294" s="56">
        <v>14.56</v>
      </c>
      <c r="AY294" s="62">
        <v>19.160000000000021</v>
      </c>
      <c r="BA294" s="64">
        <v>3.189123316666667</v>
      </c>
      <c r="BB294" s="56">
        <v>15.679999999999961</v>
      </c>
      <c r="BC294" s="56">
        <v>18.079999999999959</v>
      </c>
      <c r="BD294" s="62">
        <v>29.73999999999997</v>
      </c>
      <c r="BF294" s="64">
        <v>2.926889066666666</v>
      </c>
      <c r="BG294" s="56">
        <v>20.16</v>
      </c>
      <c r="BH294" s="56">
        <v>27.760000000000051</v>
      </c>
      <c r="BI294" s="62">
        <v>59.240000000000052</v>
      </c>
      <c r="BJ294" s="70"/>
      <c r="BK294" s="51"/>
    </row>
    <row r="295" spans="1:63" x14ac:dyDescent="0.4">
      <c r="A295" s="11" t="s">
        <v>373</v>
      </c>
      <c r="B295" s="4"/>
      <c r="C295" s="4"/>
      <c r="D295" s="4"/>
      <c r="E295" s="12"/>
      <c r="G295" s="147" t="s">
        <v>373</v>
      </c>
      <c r="H295" s="159">
        <v>70.061999999999998</v>
      </c>
      <c r="I295" s="153">
        <v>70.349999999999994</v>
      </c>
      <c r="J295" s="153">
        <v>70.290000000000006</v>
      </c>
      <c r="K295" s="153">
        <v>70.31</v>
      </c>
      <c r="L295" s="153">
        <v>70.319999999999993</v>
      </c>
      <c r="M295" s="80">
        <f t="shared" si="8"/>
        <v>70.349999999999994</v>
      </c>
      <c r="N295" s="80">
        <f t="shared" si="9"/>
        <v>70.290000000000006</v>
      </c>
      <c r="O295" s="153">
        <v>21.18</v>
      </c>
      <c r="P295" s="153">
        <v>21.1</v>
      </c>
      <c r="Q295" s="153">
        <v>21.14</v>
      </c>
      <c r="R295" s="153">
        <v>21.05</v>
      </c>
      <c r="S295" s="4"/>
      <c r="U295" s="147" t="s">
        <v>373</v>
      </c>
      <c r="V295" s="11"/>
      <c r="W295" s="4"/>
      <c r="X295" s="12"/>
      <c r="Y295" s="14"/>
      <c r="Z295" s="4"/>
      <c r="AA295" s="13"/>
      <c r="AB295" s="11"/>
      <c r="AC295" s="4"/>
      <c r="AD295" s="12"/>
      <c r="AE295" s="13"/>
      <c r="AF295" s="14">
        <v>5.0092999999999996</v>
      </c>
      <c r="AG295" s="133"/>
      <c r="AI295" s="84"/>
      <c r="AL295" s="64">
        <v>4.1741433666666667</v>
      </c>
      <c r="AM295" s="56">
        <v>14.220000000000081</v>
      </c>
      <c r="AN295" s="56">
        <v>16.200000000000081</v>
      </c>
      <c r="AO295" s="62">
        <v>22.020000000000021</v>
      </c>
      <c r="AQ295" s="64">
        <v>4.0814080000000006</v>
      </c>
      <c r="AR295" s="56">
        <v>13.79999999999999</v>
      </c>
      <c r="AS295" s="56">
        <v>15.28000000000009</v>
      </c>
      <c r="AT295" s="62">
        <v>19.380000000000042</v>
      </c>
      <c r="AV295" s="64">
        <v>3.728918933333333</v>
      </c>
      <c r="AW295" s="56">
        <v>13.11999999999998</v>
      </c>
      <c r="AX295" s="56">
        <v>14.599999999999991</v>
      </c>
      <c r="AY295" s="62">
        <v>19.240000000000009</v>
      </c>
      <c r="BA295" s="64">
        <v>3.1873195166666659</v>
      </c>
      <c r="BB295" s="56">
        <v>16.5</v>
      </c>
      <c r="BC295" s="56">
        <v>19.000000000000039</v>
      </c>
      <c r="BD295" s="62">
        <v>30.980000000000011</v>
      </c>
      <c r="BF295" s="64">
        <v>2.9331651000000001</v>
      </c>
      <c r="BG295" s="56">
        <v>21</v>
      </c>
      <c r="BH295" s="56">
        <v>28.720000000000031</v>
      </c>
      <c r="BI295" s="62">
        <v>60.180000000000078</v>
      </c>
      <c r="BJ295" s="70"/>
      <c r="BK295" s="51"/>
    </row>
    <row r="296" spans="1:63" x14ac:dyDescent="0.4">
      <c r="A296" s="11" t="s">
        <v>374</v>
      </c>
      <c r="B296" s="4"/>
      <c r="C296" s="4"/>
      <c r="D296" s="4"/>
      <c r="E296" s="12"/>
      <c r="G296" s="147" t="s">
        <v>374</v>
      </c>
      <c r="H296" s="159">
        <v>70.119</v>
      </c>
      <c r="I296" s="153">
        <v>70.33</v>
      </c>
      <c r="J296" s="153">
        <v>70.37</v>
      </c>
      <c r="K296" s="153">
        <v>70.3</v>
      </c>
      <c r="L296" s="153">
        <v>70.34</v>
      </c>
      <c r="M296" s="80">
        <f t="shared" si="8"/>
        <v>70.37</v>
      </c>
      <c r="N296" s="80">
        <f t="shared" si="9"/>
        <v>70.3</v>
      </c>
      <c r="O296" s="153">
        <v>21.22</v>
      </c>
      <c r="P296" s="153">
        <v>21.14</v>
      </c>
      <c r="Q296" s="153">
        <v>21.14</v>
      </c>
      <c r="R296" s="153">
        <v>21.04</v>
      </c>
      <c r="S296" s="4"/>
      <c r="U296" s="147" t="s">
        <v>374</v>
      </c>
      <c r="V296" s="11"/>
      <c r="W296" s="4"/>
      <c r="X296" s="12"/>
      <c r="Y296" s="14"/>
      <c r="Z296" s="4"/>
      <c r="AA296" s="13"/>
      <c r="AB296" s="11"/>
      <c r="AC296" s="4"/>
      <c r="AD296" s="12"/>
      <c r="AE296" s="13"/>
      <c r="AF296" s="14">
        <v>5.0010000000000003</v>
      </c>
      <c r="AG296" s="133"/>
      <c r="AI296" s="84"/>
      <c r="AL296" s="64">
        <v>4.1734896499999996</v>
      </c>
      <c r="AM296" s="56">
        <v>14.780000000000021</v>
      </c>
      <c r="AN296" s="56">
        <v>16.79999999999993</v>
      </c>
      <c r="AO296" s="62">
        <v>22.91999999999987</v>
      </c>
      <c r="AQ296" s="64">
        <v>4.0814803666666659</v>
      </c>
      <c r="AR296" s="56">
        <v>14.179999999999991</v>
      </c>
      <c r="AS296" s="56">
        <v>15.680000000000049</v>
      </c>
      <c r="AT296" s="62">
        <v>19.760000000000041</v>
      </c>
      <c r="AV296" s="64">
        <v>3.7297748833333331</v>
      </c>
      <c r="AW296" s="56">
        <v>13.619999999999971</v>
      </c>
      <c r="AX296" s="56">
        <v>15.120000000000021</v>
      </c>
      <c r="AY296" s="62">
        <v>19.840000000000039</v>
      </c>
      <c r="BA296" s="64">
        <v>3.188951016666667</v>
      </c>
      <c r="BB296" s="56">
        <v>16.819999999999968</v>
      </c>
      <c r="BC296" s="56">
        <v>19.34000000000005</v>
      </c>
      <c r="BD296" s="62">
        <v>31.320000000000011</v>
      </c>
      <c r="BF296" s="64">
        <v>2.9291869333333329</v>
      </c>
      <c r="BG296" s="56">
        <v>21.419999999999991</v>
      </c>
      <c r="BH296" s="56">
        <v>29.140000000000029</v>
      </c>
      <c r="BI296" s="62">
        <v>60.620000000000033</v>
      </c>
      <c r="BJ296" s="70"/>
      <c r="BK296" s="51"/>
    </row>
    <row r="297" spans="1:63" x14ac:dyDescent="0.4">
      <c r="A297" s="11" t="s">
        <v>375</v>
      </c>
      <c r="B297" s="4"/>
      <c r="C297" s="4"/>
      <c r="D297" s="4"/>
      <c r="E297" s="12"/>
      <c r="G297" s="147" t="s">
        <v>375</v>
      </c>
      <c r="H297" s="159">
        <v>70.177999999999997</v>
      </c>
      <c r="I297" s="153">
        <v>70.349999999999994</v>
      </c>
      <c r="J297" s="153">
        <v>70.28</v>
      </c>
      <c r="K297" s="153">
        <v>70.349999999999994</v>
      </c>
      <c r="L297" s="153">
        <v>70.290000000000006</v>
      </c>
      <c r="M297" s="80">
        <f t="shared" si="8"/>
        <v>70.349999999999994</v>
      </c>
      <c r="N297" s="80">
        <f t="shared" si="9"/>
        <v>70.28</v>
      </c>
      <c r="O297" s="153">
        <v>21.2</v>
      </c>
      <c r="P297" s="153">
        <v>21.12</v>
      </c>
      <c r="Q297" s="153">
        <v>21.16</v>
      </c>
      <c r="R297" s="153">
        <v>21.14</v>
      </c>
      <c r="S297" s="4"/>
      <c r="U297" s="147" t="s">
        <v>375</v>
      </c>
      <c r="V297" s="11"/>
      <c r="W297" s="4"/>
      <c r="X297" s="12"/>
      <c r="Y297" s="14"/>
      <c r="Z297" s="4"/>
      <c r="AA297" s="13"/>
      <c r="AB297" s="11"/>
      <c r="AC297" s="4"/>
      <c r="AD297" s="12"/>
      <c r="AE297" s="13"/>
      <c r="AF297" s="14">
        <v>5.0209000000000001</v>
      </c>
      <c r="AG297" s="133"/>
      <c r="AI297" s="84"/>
      <c r="AL297" s="64">
        <v>4.1734631333333336</v>
      </c>
      <c r="AM297" s="56">
        <v>14.65999999999994</v>
      </c>
      <c r="AN297" s="56">
        <v>16.699999999999982</v>
      </c>
      <c r="AO297" s="62">
        <v>22.739999999999942</v>
      </c>
      <c r="AQ297" s="64">
        <v>4.081662783333333</v>
      </c>
      <c r="AR297" s="56">
        <v>14.1</v>
      </c>
      <c r="AS297" s="56">
        <v>15.62000000000001</v>
      </c>
      <c r="AT297" s="62">
        <v>19.699999999999921</v>
      </c>
      <c r="AV297" s="64">
        <v>3.729635350000001</v>
      </c>
      <c r="AW297" s="56">
        <v>13.639999999999921</v>
      </c>
      <c r="AX297" s="56">
        <v>15.17999999999997</v>
      </c>
      <c r="AY297" s="62">
        <v>19.899999999999981</v>
      </c>
      <c r="BA297" s="64">
        <v>3.1867988666666669</v>
      </c>
      <c r="BB297" s="56">
        <v>16.760000000000019</v>
      </c>
      <c r="BC297" s="56">
        <v>19.280000000000008</v>
      </c>
      <c r="BD297" s="62">
        <v>31.320000000000011</v>
      </c>
      <c r="BF297" s="64">
        <v>2.9336849333333328</v>
      </c>
      <c r="BG297" s="56">
        <v>21.180000000000021</v>
      </c>
      <c r="BH297" s="56">
        <v>28.960000000000012</v>
      </c>
      <c r="BI297" s="62">
        <v>60.000000000000057</v>
      </c>
      <c r="BJ297" s="70"/>
      <c r="BK297" s="51"/>
    </row>
    <row r="298" spans="1:63" x14ac:dyDescent="0.4">
      <c r="A298" s="11" t="s">
        <v>376</v>
      </c>
      <c r="B298" s="4"/>
      <c r="C298" s="4"/>
      <c r="D298" s="4"/>
      <c r="E298" s="12"/>
      <c r="G298" s="147" t="s">
        <v>376</v>
      </c>
      <c r="H298" s="159">
        <v>70.11</v>
      </c>
      <c r="I298" s="153">
        <v>70.28</v>
      </c>
      <c r="J298" s="153">
        <v>70.39</v>
      </c>
      <c r="K298" s="153">
        <v>70.400000000000006</v>
      </c>
      <c r="L298" s="153">
        <v>70.38</v>
      </c>
      <c r="M298" s="80">
        <f t="shared" si="8"/>
        <v>70.400000000000006</v>
      </c>
      <c r="N298" s="80">
        <f t="shared" si="9"/>
        <v>70.28</v>
      </c>
      <c r="O298" s="153">
        <v>21.15</v>
      </c>
      <c r="P298" s="153">
        <v>21.12</v>
      </c>
      <c r="Q298" s="153">
        <v>21.08</v>
      </c>
      <c r="R298" s="153">
        <v>21.05</v>
      </c>
      <c r="S298" s="4"/>
      <c r="U298" s="147" t="s">
        <v>376</v>
      </c>
      <c r="V298" s="11"/>
      <c r="W298" s="4"/>
      <c r="X298" s="12"/>
      <c r="Y298" s="14"/>
      <c r="Z298" s="4"/>
      <c r="AA298" s="13"/>
      <c r="AB298" s="11"/>
      <c r="AC298" s="4"/>
      <c r="AD298" s="12"/>
      <c r="AE298" s="13"/>
      <c r="AF298" s="14">
        <v>5.0053000000000001</v>
      </c>
      <c r="AG298" s="133"/>
      <c r="AI298" s="84"/>
      <c r="AL298" s="64">
        <v>4.1737110500000014</v>
      </c>
      <c r="AM298" s="56">
        <v>13.9800000000001</v>
      </c>
      <c r="AN298" s="56">
        <v>15.920000000000019</v>
      </c>
      <c r="AO298" s="62">
        <v>21.840000000000082</v>
      </c>
      <c r="AQ298" s="64">
        <v>4.0818525000000001</v>
      </c>
      <c r="AR298" s="56">
        <v>13.51999999999993</v>
      </c>
      <c r="AS298" s="56">
        <v>14.959999999999949</v>
      </c>
      <c r="AT298" s="62">
        <v>18.940000000000001</v>
      </c>
      <c r="AV298" s="64">
        <v>3.7297965333333329</v>
      </c>
      <c r="AW298" s="56">
        <v>12.98000000000004</v>
      </c>
      <c r="AX298" s="56">
        <v>14.44000000000001</v>
      </c>
      <c r="AY298" s="62">
        <v>19.040000000000031</v>
      </c>
      <c r="BA298" s="64">
        <v>3.1913942999999998</v>
      </c>
      <c r="BB298" s="56">
        <v>15.980000000000061</v>
      </c>
      <c r="BC298" s="56">
        <v>18.40000000000002</v>
      </c>
      <c r="BD298" s="62">
        <v>30.080000000000059</v>
      </c>
      <c r="BF298" s="64">
        <v>2.931418116666666</v>
      </c>
      <c r="BG298" s="56">
        <v>20.439999999999969</v>
      </c>
      <c r="BH298" s="56">
        <v>27.939999999999991</v>
      </c>
      <c r="BI298" s="62">
        <v>58.919999999999987</v>
      </c>
      <c r="BJ298" s="70"/>
      <c r="BK298" s="51"/>
    </row>
    <row r="299" spans="1:63" x14ac:dyDescent="0.4">
      <c r="A299" s="11" t="s">
        <v>377</v>
      </c>
      <c r="B299" s="4"/>
      <c r="C299" s="4"/>
      <c r="D299" s="4"/>
      <c r="E299" s="12"/>
      <c r="G299" s="147" t="s">
        <v>377</v>
      </c>
      <c r="H299" s="159">
        <v>70.063000000000002</v>
      </c>
      <c r="I299" s="153">
        <v>70.31</v>
      </c>
      <c r="J299" s="153">
        <v>70.28</v>
      </c>
      <c r="K299" s="153">
        <v>70.36</v>
      </c>
      <c r="L299" s="153">
        <v>70.33</v>
      </c>
      <c r="M299" s="80">
        <f t="shared" si="8"/>
        <v>70.36</v>
      </c>
      <c r="N299" s="80">
        <f t="shared" si="9"/>
        <v>70.28</v>
      </c>
      <c r="O299" s="153">
        <v>21.17</v>
      </c>
      <c r="P299" s="153">
        <v>21.13</v>
      </c>
      <c r="Q299" s="153">
        <v>21.09</v>
      </c>
      <c r="R299" s="153">
        <v>21.06</v>
      </c>
      <c r="S299" s="4"/>
      <c r="U299" s="147" t="s">
        <v>377</v>
      </c>
      <c r="V299" s="11"/>
      <c r="W299" s="4"/>
      <c r="X299" s="12"/>
      <c r="Y299" s="14"/>
      <c r="Z299" s="4"/>
      <c r="AA299" s="13"/>
      <c r="AB299" s="11"/>
      <c r="AC299" s="4"/>
      <c r="AD299" s="12"/>
      <c r="AE299" s="13"/>
      <c r="AF299" s="14">
        <v>5.0038</v>
      </c>
      <c r="AG299" s="133"/>
      <c r="AI299" s="84"/>
      <c r="AL299" s="64">
        <v>4.1740294666666671</v>
      </c>
      <c r="AM299" s="56">
        <v>13.9800000000001</v>
      </c>
      <c r="AN299" s="56">
        <v>15.960000000000109</v>
      </c>
      <c r="AO299" s="62">
        <v>21.820000000000132</v>
      </c>
      <c r="AQ299" s="64">
        <v>4.0822844833333338</v>
      </c>
      <c r="AR299" s="56">
        <v>13.81999999999994</v>
      </c>
      <c r="AS299" s="56">
        <v>15.32</v>
      </c>
      <c r="AT299" s="62">
        <v>19.380000000000042</v>
      </c>
      <c r="AV299" s="64">
        <v>3.729992049999999</v>
      </c>
      <c r="AW299" s="56">
        <v>13.100000000000019</v>
      </c>
      <c r="AX299" s="56">
        <v>14.54000000000004</v>
      </c>
      <c r="AY299" s="62">
        <v>19.18000000000006</v>
      </c>
      <c r="BA299" s="64">
        <v>3.1878810999999998</v>
      </c>
      <c r="BB299" s="56">
        <v>16.080000000000009</v>
      </c>
      <c r="BC299" s="56">
        <v>18.52</v>
      </c>
      <c r="BD299" s="62">
        <v>30.339999999999989</v>
      </c>
      <c r="BF299" s="64">
        <v>2.930933383333334</v>
      </c>
      <c r="BG299" s="56">
        <v>20.620000000000079</v>
      </c>
      <c r="BH299" s="56">
        <v>28.120000000000012</v>
      </c>
      <c r="BI299" s="62">
        <v>59.380000000000081</v>
      </c>
      <c r="BJ299" s="70"/>
      <c r="BK299" s="51"/>
    </row>
    <row r="300" spans="1:63" x14ac:dyDescent="0.4">
      <c r="A300" s="11" t="s">
        <v>378</v>
      </c>
      <c r="B300" s="4"/>
      <c r="C300" s="4"/>
      <c r="D300" s="4"/>
      <c r="E300" s="12"/>
      <c r="G300" s="147" t="s">
        <v>378</v>
      </c>
      <c r="H300" s="159">
        <v>69.986999999999995</v>
      </c>
      <c r="I300" s="153">
        <v>70.290000000000006</v>
      </c>
      <c r="J300" s="153">
        <v>70.33</v>
      </c>
      <c r="K300" s="153">
        <v>70.27</v>
      </c>
      <c r="L300" s="153">
        <v>70.39</v>
      </c>
      <c r="M300" s="80">
        <f t="shared" si="8"/>
        <v>70.39</v>
      </c>
      <c r="N300" s="80">
        <f t="shared" si="9"/>
        <v>70.27</v>
      </c>
      <c r="O300" s="153">
        <v>21.11</v>
      </c>
      <c r="P300" s="153">
        <v>21.08</v>
      </c>
      <c r="Q300" s="153">
        <v>21.16</v>
      </c>
      <c r="R300" s="153">
        <v>21.06</v>
      </c>
      <c r="S300" s="4"/>
      <c r="U300" s="147" t="s">
        <v>378</v>
      </c>
      <c r="V300" s="11"/>
      <c r="W300" s="4"/>
      <c r="X300" s="12"/>
      <c r="Y300" s="14"/>
      <c r="Z300" s="4"/>
      <c r="AA300" s="13"/>
      <c r="AB300" s="11"/>
      <c r="AC300" s="4"/>
      <c r="AD300" s="12"/>
      <c r="AE300" s="13"/>
      <c r="AF300" s="14">
        <v>4.9916999999999998</v>
      </c>
      <c r="AG300" s="133"/>
      <c r="AI300" s="84"/>
      <c r="AL300" s="64">
        <v>4.1740979833333336</v>
      </c>
      <c r="AM300" s="56">
        <v>13.879999999999979</v>
      </c>
      <c r="AN300" s="56">
        <v>15.84000000000003</v>
      </c>
      <c r="AO300" s="62">
        <v>21.659999999999972</v>
      </c>
      <c r="AQ300" s="64">
        <v>4.083633083333333</v>
      </c>
      <c r="AR300" s="56">
        <v>13.600000000000099</v>
      </c>
      <c r="AS300" s="56">
        <v>15.06000000000007</v>
      </c>
      <c r="AT300" s="62">
        <v>19.040000000000031</v>
      </c>
      <c r="AV300" s="64">
        <v>3.7308921499999999</v>
      </c>
      <c r="AW300" s="56">
        <v>12.979999999999951</v>
      </c>
      <c r="AX300" s="56">
        <v>14.41999999999997</v>
      </c>
      <c r="AY300" s="62">
        <v>18.99999999999995</v>
      </c>
      <c r="BA300" s="64">
        <v>3.1883282999999998</v>
      </c>
      <c r="BB300" s="56">
        <v>16.560000000000041</v>
      </c>
      <c r="BC300" s="56">
        <v>19.08000000000003</v>
      </c>
      <c r="BD300" s="62">
        <v>31.12000000000004</v>
      </c>
      <c r="BF300" s="64">
        <v>2.938918783333333</v>
      </c>
      <c r="BG300" s="56">
        <v>21.23999999999997</v>
      </c>
      <c r="BH300" s="56">
        <v>28.88000000000002</v>
      </c>
      <c r="BI300" s="62">
        <v>59.799999999999983</v>
      </c>
      <c r="BJ300" s="70"/>
      <c r="BK300" s="51"/>
    </row>
    <row r="301" spans="1:63" x14ac:dyDescent="0.4">
      <c r="A301" s="11" t="s">
        <v>379</v>
      </c>
      <c r="B301" s="4"/>
      <c r="C301" s="4"/>
      <c r="D301" s="4"/>
      <c r="E301" s="12"/>
      <c r="G301" s="147" t="s">
        <v>379</v>
      </c>
      <c r="H301" s="159">
        <v>70.114999999999995</v>
      </c>
      <c r="I301" s="153">
        <v>70.3</v>
      </c>
      <c r="J301" s="153">
        <v>70.36</v>
      </c>
      <c r="K301" s="153">
        <v>70.31</v>
      </c>
      <c r="L301" s="153">
        <v>70.34</v>
      </c>
      <c r="M301" s="80">
        <f t="shared" si="8"/>
        <v>70.36</v>
      </c>
      <c r="N301" s="80">
        <f t="shared" si="9"/>
        <v>70.3</v>
      </c>
      <c r="O301" s="153">
        <v>21.16</v>
      </c>
      <c r="P301" s="153">
        <v>21.02</v>
      </c>
      <c r="Q301" s="153">
        <v>21.16</v>
      </c>
      <c r="R301" s="153">
        <v>21.1</v>
      </c>
      <c r="S301" s="4"/>
      <c r="U301" s="147" t="s">
        <v>379</v>
      </c>
      <c r="V301" s="11"/>
      <c r="W301" s="4"/>
      <c r="X301" s="12"/>
      <c r="Y301" s="14"/>
      <c r="Z301" s="4"/>
      <c r="AA301" s="13"/>
      <c r="AB301" s="11"/>
      <c r="AC301" s="4"/>
      <c r="AD301" s="12"/>
      <c r="AE301" s="13"/>
      <c r="AF301" s="14">
        <v>5.0084999999999997</v>
      </c>
      <c r="AG301" s="133"/>
      <c r="AI301" s="84"/>
      <c r="AL301" s="64">
        <v>4.1740896833333334</v>
      </c>
      <c r="AM301" s="56">
        <v>13.76000000000008</v>
      </c>
      <c r="AN301" s="56">
        <v>15.7</v>
      </c>
      <c r="AO301" s="62">
        <v>21.740000000000141</v>
      </c>
      <c r="AQ301" s="64">
        <v>4.0828300166666667</v>
      </c>
      <c r="AR301" s="56">
        <v>13.700000000000051</v>
      </c>
      <c r="AS301" s="56">
        <v>15.180000000000151</v>
      </c>
      <c r="AT301" s="62">
        <v>19.18000000000006</v>
      </c>
      <c r="AV301" s="64">
        <v>3.728664183333334</v>
      </c>
      <c r="AW301" s="56">
        <v>13.399999999999951</v>
      </c>
      <c r="AX301" s="56">
        <v>14.86000000000001</v>
      </c>
      <c r="AY301" s="62">
        <v>19.559999999999981</v>
      </c>
      <c r="BA301" s="64">
        <v>3.1797227499999998</v>
      </c>
      <c r="BB301" s="56">
        <v>16.220000000000031</v>
      </c>
      <c r="BC301" s="56">
        <v>18.72000000000007</v>
      </c>
      <c r="BD301" s="62">
        <v>30.820000000000029</v>
      </c>
      <c r="BF301" s="64">
        <v>2.9219351166666669</v>
      </c>
      <c r="BG301" s="56">
        <v>20.639999999999951</v>
      </c>
      <c r="BH301" s="56">
        <v>28.039999999999932</v>
      </c>
      <c r="BI301" s="62">
        <v>59.479999999999933</v>
      </c>
      <c r="BJ301" s="70"/>
      <c r="BK301" s="51"/>
    </row>
    <row r="302" spans="1:63" x14ac:dyDescent="0.4">
      <c r="A302" s="11" t="s">
        <v>380</v>
      </c>
      <c r="B302" s="4"/>
      <c r="C302" s="4"/>
      <c r="D302" s="4"/>
      <c r="E302" s="12"/>
      <c r="G302" s="147" t="s">
        <v>380</v>
      </c>
      <c r="H302" s="159">
        <v>70.069000000000003</v>
      </c>
      <c r="I302" s="153">
        <v>70.34</v>
      </c>
      <c r="J302" s="153">
        <v>70.290000000000006</v>
      </c>
      <c r="K302" s="153">
        <v>70.400000000000006</v>
      </c>
      <c r="L302" s="153">
        <v>70.37</v>
      </c>
      <c r="M302" s="80">
        <f t="shared" si="8"/>
        <v>70.400000000000006</v>
      </c>
      <c r="N302" s="80">
        <f t="shared" si="9"/>
        <v>70.290000000000006</v>
      </c>
      <c r="O302" s="153">
        <v>21.17</v>
      </c>
      <c r="P302" s="153">
        <v>21.14</v>
      </c>
      <c r="Q302" s="153">
        <v>21.14</v>
      </c>
      <c r="R302" s="153">
        <v>21.08</v>
      </c>
      <c r="S302" s="4"/>
      <c r="U302" s="147" t="s">
        <v>380</v>
      </c>
      <c r="V302" s="11"/>
      <c r="W302" s="4"/>
      <c r="X302" s="12"/>
      <c r="Y302" s="14"/>
      <c r="Z302" s="4"/>
      <c r="AA302" s="13"/>
      <c r="AB302" s="11"/>
      <c r="AC302" s="4"/>
      <c r="AD302" s="12"/>
      <c r="AE302" s="13"/>
      <c r="AF302" s="14">
        <v>5.0018000000000002</v>
      </c>
      <c r="AG302" s="133"/>
      <c r="AI302" s="84"/>
      <c r="AL302" s="64">
        <v>4.1739711499999999</v>
      </c>
      <c r="AM302" s="56">
        <v>13.879999999999979</v>
      </c>
      <c r="AN302" s="56">
        <v>15.859999999999991</v>
      </c>
      <c r="AO302" s="62">
        <v>21.72000000000001</v>
      </c>
      <c r="AQ302" s="64">
        <v>4.0825025499999983</v>
      </c>
      <c r="AR302" s="56">
        <v>13.559999999999841</v>
      </c>
      <c r="AS302" s="56">
        <v>14.99999999999986</v>
      </c>
      <c r="AT302" s="62">
        <v>19.039999999999949</v>
      </c>
      <c r="AV302" s="64">
        <v>3.7304266166666671</v>
      </c>
      <c r="AW302" s="56">
        <v>12.92</v>
      </c>
      <c r="AX302" s="56">
        <v>14.380000000000059</v>
      </c>
      <c r="AY302" s="62">
        <v>18.98</v>
      </c>
      <c r="BA302" s="64">
        <v>3.1896292166666669</v>
      </c>
      <c r="BB302" s="56">
        <v>15.920000000000019</v>
      </c>
      <c r="BC302" s="56">
        <v>18.339999999999979</v>
      </c>
      <c r="BD302" s="62">
        <v>30.100000000000019</v>
      </c>
      <c r="BF302" s="64">
        <v>2.931775116666667</v>
      </c>
      <c r="BG302" s="56">
        <v>20.460000000000012</v>
      </c>
      <c r="BH302" s="56">
        <v>27.99999999999994</v>
      </c>
      <c r="BI302" s="62">
        <v>59.059999999999931</v>
      </c>
      <c r="BJ302" s="70"/>
      <c r="BK302" s="51"/>
    </row>
    <row r="303" spans="1:63" x14ac:dyDescent="0.4">
      <c r="A303" s="11" t="s">
        <v>381</v>
      </c>
      <c r="B303" s="4"/>
      <c r="C303" s="4"/>
      <c r="D303" s="4"/>
      <c r="E303" s="12"/>
      <c r="G303" s="147" t="s">
        <v>381</v>
      </c>
      <c r="H303" s="159">
        <v>70.084000000000003</v>
      </c>
      <c r="I303" s="153">
        <v>70.39</v>
      </c>
      <c r="J303" s="153">
        <v>70.39</v>
      </c>
      <c r="K303" s="153">
        <v>70.349999999999994</v>
      </c>
      <c r="L303" s="153">
        <v>70.39</v>
      </c>
      <c r="M303" s="80">
        <f t="shared" si="8"/>
        <v>70.39</v>
      </c>
      <c r="N303" s="80">
        <f t="shared" si="9"/>
        <v>70.349999999999994</v>
      </c>
      <c r="O303" s="153">
        <v>21.07</v>
      </c>
      <c r="P303" s="153">
        <v>21.04</v>
      </c>
      <c r="Q303" s="153">
        <v>21.14</v>
      </c>
      <c r="R303" s="153">
        <v>21.07</v>
      </c>
      <c r="S303" s="4"/>
      <c r="U303" s="147" t="s">
        <v>381</v>
      </c>
      <c r="V303" s="11"/>
      <c r="W303" s="4"/>
      <c r="X303" s="12"/>
      <c r="Y303" s="14"/>
      <c r="Z303" s="4"/>
      <c r="AA303" s="13"/>
      <c r="AB303" s="11"/>
      <c r="AC303" s="4"/>
      <c r="AD303" s="12"/>
      <c r="AE303" s="13"/>
      <c r="AF303" s="14">
        <v>5.0045999999999999</v>
      </c>
      <c r="AG303" s="133"/>
      <c r="AI303" s="84"/>
      <c r="AL303" s="64">
        <v>4.1732080833333338</v>
      </c>
      <c r="AM303" s="56">
        <v>14.459999999999869</v>
      </c>
      <c r="AN303" s="56">
        <v>16.460000000000012</v>
      </c>
      <c r="AO303" s="62">
        <v>22.359999999999939</v>
      </c>
      <c r="AQ303" s="64">
        <v>4.0824002166666666</v>
      </c>
      <c r="AR303" s="56">
        <v>13.999999999999879</v>
      </c>
      <c r="AS303" s="56">
        <v>15.479999999999981</v>
      </c>
      <c r="AT303" s="62">
        <v>19.539999999999939</v>
      </c>
      <c r="AV303" s="64">
        <v>3.729673983333333</v>
      </c>
      <c r="AW303" s="56">
        <v>13.57999999999997</v>
      </c>
      <c r="AX303" s="56">
        <v>15.07999999999994</v>
      </c>
      <c r="AY303" s="62">
        <v>19.78</v>
      </c>
      <c r="BA303" s="64">
        <v>3.1864616166666671</v>
      </c>
      <c r="BB303" s="56">
        <v>16.759999999999931</v>
      </c>
      <c r="BC303" s="56">
        <v>19.280000000000008</v>
      </c>
      <c r="BD303" s="62">
        <v>31.37999999999996</v>
      </c>
      <c r="BF303" s="64">
        <v>2.9345017166666669</v>
      </c>
      <c r="BG303" s="56">
        <v>21.35999999999996</v>
      </c>
      <c r="BH303" s="56">
        <v>29.079999999999991</v>
      </c>
      <c r="BI303" s="62">
        <v>60.379999999999967</v>
      </c>
      <c r="BJ303" s="70"/>
      <c r="BK303" s="51"/>
    </row>
    <row r="304" spans="1:63" x14ac:dyDescent="0.4">
      <c r="A304" s="11" t="s">
        <v>382</v>
      </c>
      <c r="B304" s="4"/>
      <c r="C304" s="4"/>
      <c r="D304" s="4"/>
      <c r="E304" s="12"/>
      <c r="G304" s="147" t="s">
        <v>382</v>
      </c>
      <c r="H304" s="159">
        <v>70.072000000000003</v>
      </c>
      <c r="I304" s="153">
        <v>70.28</v>
      </c>
      <c r="J304" s="153">
        <v>70.3</v>
      </c>
      <c r="K304" s="153">
        <v>70.28</v>
      </c>
      <c r="L304" s="153">
        <v>70.31</v>
      </c>
      <c r="M304" s="80">
        <f t="shared" si="8"/>
        <v>70.31</v>
      </c>
      <c r="N304" s="80">
        <f t="shared" si="9"/>
        <v>70.28</v>
      </c>
      <c r="O304" s="153">
        <v>21.21</v>
      </c>
      <c r="P304" s="153">
        <v>21.12</v>
      </c>
      <c r="Q304" s="153">
        <v>21.16</v>
      </c>
      <c r="R304" s="153">
        <v>21.13</v>
      </c>
      <c r="S304" s="4"/>
      <c r="U304" s="147" t="s">
        <v>382</v>
      </c>
      <c r="V304" s="11"/>
      <c r="W304" s="4"/>
      <c r="X304" s="12"/>
      <c r="Y304" s="14"/>
      <c r="Z304" s="4"/>
      <c r="AA304" s="13"/>
      <c r="AB304" s="11"/>
      <c r="AC304" s="4"/>
      <c r="AD304" s="12"/>
      <c r="AE304" s="13"/>
      <c r="AF304" s="14">
        <v>4.9991000000000003</v>
      </c>
      <c r="AG304" s="133"/>
      <c r="AI304" s="84"/>
      <c r="AL304" s="64">
        <v>4.1735679499999998</v>
      </c>
      <c r="AM304" s="56">
        <v>13.539999999999891</v>
      </c>
      <c r="AN304" s="56">
        <v>15.479999999999981</v>
      </c>
      <c r="AO304" s="62">
        <v>21.35999999999996</v>
      </c>
      <c r="AQ304" s="64">
        <v>4.0839851166666676</v>
      </c>
      <c r="AR304" s="56">
        <v>13.679999999999909</v>
      </c>
      <c r="AS304" s="56">
        <v>15.11999999999993</v>
      </c>
      <c r="AT304" s="62">
        <v>19.13999999999989</v>
      </c>
      <c r="AV304" s="64">
        <v>3.7317306833333341</v>
      </c>
      <c r="AW304" s="56">
        <v>12.95999999999999</v>
      </c>
      <c r="AX304" s="56">
        <v>14.39999999999992</v>
      </c>
      <c r="AY304" s="62">
        <v>18.959999999999951</v>
      </c>
      <c r="BA304" s="64">
        <v>3.1903726166666662</v>
      </c>
      <c r="BB304" s="56">
        <v>16.220000000000031</v>
      </c>
      <c r="BC304" s="56">
        <v>18.63999999999999</v>
      </c>
      <c r="BD304" s="62">
        <v>30.480000000000022</v>
      </c>
      <c r="BF304" s="64">
        <v>2.9374584333333331</v>
      </c>
      <c r="BG304" s="56">
        <v>20.88000000000001</v>
      </c>
      <c r="BH304" s="56">
        <v>28.460000000000019</v>
      </c>
      <c r="BI304" s="62">
        <v>59.659999999999947</v>
      </c>
      <c r="BJ304" s="70"/>
      <c r="BK304" s="51"/>
    </row>
    <row r="305" spans="1:63" x14ac:dyDescent="0.4">
      <c r="A305" s="11" t="s">
        <v>383</v>
      </c>
      <c r="B305" s="4"/>
      <c r="C305" s="4"/>
      <c r="D305" s="4"/>
      <c r="E305" s="12"/>
      <c r="G305" s="147" t="s">
        <v>383</v>
      </c>
      <c r="H305" s="159">
        <v>70.176000000000002</v>
      </c>
      <c r="I305" s="153">
        <v>70.319999999999993</v>
      </c>
      <c r="J305" s="153">
        <v>70.31</v>
      </c>
      <c r="K305" s="153">
        <v>70.38</v>
      </c>
      <c r="L305" s="153">
        <v>70.319999999999993</v>
      </c>
      <c r="M305" s="80">
        <f t="shared" si="8"/>
        <v>70.38</v>
      </c>
      <c r="N305" s="80">
        <f t="shared" si="9"/>
        <v>70.31</v>
      </c>
      <c r="O305" s="153">
        <v>21.21</v>
      </c>
      <c r="P305" s="153">
        <v>21.06</v>
      </c>
      <c r="Q305" s="153">
        <v>21.14</v>
      </c>
      <c r="R305" s="153">
        <v>21.09</v>
      </c>
      <c r="S305" s="4"/>
      <c r="U305" s="147" t="s">
        <v>383</v>
      </c>
      <c r="V305" s="11"/>
      <c r="W305" s="4"/>
      <c r="X305" s="12"/>
      <c r="Y305" s="14"/>
      <c r="Z305" s="4"/>
      <c r="AA305" s="13"/>
      <c r="AB305" s="11"/>
      <c r="AC305" s="4"/>
      <c r="AD305" s="12"/>
      <c r="AE305" s="13"/>
      <c r="AF305" s="14">
        <v>5.0164</v>
      </c>
      <c r="AG305" s="133"/>
      <c r="AI305" s="84"/>
      <c r="AL305" s="64">
        <v>4.1730300333333323</v>
      </c>
      <c r="AM305" s="56">
        <v>14.400000000000009</v>
      </c>
      <c r="AN305" s="56">
        <v>16.440000000000051</v>
      </c>
      <c r="AO305" s="62">
        <v>22.38000000000007</v>
      </c>
      <c r="AQ305" s="64">
        <v>4.08294815</v>
      </c>
      <c r="AR305" s="56">
        <v>14.220000000000081</v>
      </c>
      <c r="AS305" s="56">
        <v>15.71999999999996</v>
      </c>
      <c r="AT305" s="62">
        <v>19.840000000000039</v>
      </c>
      <c r="AV305" s="64">
        <v>3.7303757499999999</v>
      </c>
      <c r="AW305" s="56">
        <v>13.640000000000009</v>
      </c>
      <c r="AX305" s="56">
        <v>15.139999999999979</v>
      </c>
      <c r="AY305" s="62">
        <v>19.880000000000031</v>
      </c>
      <c r="BA305" s="64">
        <v>3.187059633333333</v>
      </c>
      <c r="BB305" s="56">
        <v>16.840000000000011</v>
      </c>
      <c r="BC305" s="56">
        <v>19.36</v>
      </c>
      <c r="BD305" s="62">
        <v>31.47999999999999</v>
      </c>
      <c r="BF305" s="64">
        <v>2.9367601333333329</v>
      </c>
      <c r="BG305" s="56">
        <v>21.499999999999989</v>
      </c>
      <c r="BH305" s="56">
        <v>29.099999999999952</v>
      </c>
      <c r="BI305" s="62">
        <v>60.239999999999938</v>
      </c>
      <c r="BJ305" s="72"/>
      <c r="BK305" s="51"/>
    </row>
    <row r="306" spans="1:63" x14ac:dyDescent="0.4">
      <c r="A306" s="11" t="s">
        <v>384</v>
      </c>
      <c r="B306" s="4"/>
      <c r="C306" s="4"/>
      <c r="D306" s="4"/>
      <c r="E306" s="12"/>
      <c r="G306" s="147" t="s">
        <v>384</v>
      </c>
      <c r="H306" s="159">
        <v>70.103999999999999</v>
      </c>
      <c r="I306" s="153">
        <v>70.31</v>
      </c>
      <c r="J306" s="153">
        <v>70.34</v>
      </c>
      <c r="K306" s="153">
        <v>70.290000000000006</v>
      </c>
      <c r="L306" s="153">
        <v>70.37</v>
      </c>
      <c r="M306" s="80">
        <f t="shared" si="8"/>
        <v>70.37</v>
      </c>
      <c r="N306" s="80">
        <f t="shared" si="9"/>
        <v>70.290000000000006</v>
      </c>
      <c r="O306" s="153">
        <v>21.18</v>
      </c>
      <c r="P306" s="153">
        <v>21.14</v>
      </c>
      <c r="Q306" s="153">
        <v>21.13</v>
      </c>
      <c r="R306" s="153">
        <v>21.12</v>
      </c>
      <c r="S306" s="4"/>
      <c r="U306" s="147" t="s">
        <v>384</v>
      </c>
      <c r="V306" s="11"/>
      <c r="W306" s="4"/>
      <c r="X306" s="12"/>
      <c r="Y306" s="14"/>
      <c r="Z306" s="4"/>
      <c r="AA306" s="13"/>
      <c r="AB306" s="11"/>
      <c r="AC306" s="4"/>
      <c r="AD306" s="12"/>
      <c r="AE306" s="13"/>
      <c r="AF306" s="14">
        <v>5.0042999999999997</v>
      </c>
      <c r="AG306" s="133"/>
      <c r="AI306" s="84"/>
      <c r="AL306" s="64">
        <v>4.1734010333333327</v>
      </c>
      <c r="AM306" s="56">
        <v>14.499999999999959</v>
      </c>
      <c r="AN306" s="56">
        <v>16.479999999999961</v>
      </c>
      <c r="AO306" s="62">
        <v>22.43999999999993</v>
      </c>
      <c r="AQ306" s="64">
        <v>4.0803499666666667</v>
      </c>
      <c r="AR306" s="56">
        <v>13.73999999999995</v>
      </c>
      <c r="AS306" s="56">
        <v>15.199999999999919</v>
      </c>
      <c r="AT306" s="62">
        <v>19.21999999999997</v>
      </c>
      <c r="AV306" s="64">
        <v>3.7286339166666669</v>
      </c>
      <c r="AW306" s="56">
        <v>13.199999999999971</v>
      </c>
      <c r="AX306" s="56">
        <v>14.67999999999998</v>
      </c>
      <c r="AY306" s="62">
        <v>19.299999999999962</v>
      </c>
      <c r="BA306" s="64">
        <v>3.1902269333333342</v>
      </c>
      <c r="BB306" s="56">
        <v>15.74</v>
      </c>
      <c r="BC306" s="56">
        <v>18.120000000000051</v>
      </c>
      <c r="BD306" s="62">
        <v>29.680000000000021</v>
      </c>
      <c r="BF306" s="64">
        <v>2.93256775</v>
      </c>
      <c r="BG306" s="56">
        <v>20.259999999999941</v>
      </c>
      <c r="BH306" s="56">
        <v>27.679999999999971</v>
      </c>
      <c r="BI306" s="62">
        <v>58.359999999999971</v>
      </c>
      <c r="BJ306" s="72"/>
      <c r="BK306" s="51"/>
    </row>
    <row r="307" spans="1:63" x14ac:dyDescent="0.4">
      <c r="A307" s="11" t="s">
        <v>385</v>
      </c>
      <c r="B307" s="4"/>
      <c r="C307" s="4"/>
      <c r="D307" s="4"/>
      <c r="E307" s="12"/>
      <c r="G307" s="147" t="s">
        <v>385</v>
      </c>
      <c r="H307" s="159">
        <v>70.147000000000006</v>
      </c>
      <c r="I307" s="153">
        <v>70.28</v>
      </c>
      <c r="J307" s="153">
        <v>70.400000000000006</v>
      </c>
      <c r="K307" s="153">
        <v>70.37</v>
      </c>
      <c r="L307" s="153">
        <v>70.3</v>
      </c>
      <c r="M307" s="80">
        <f t="shared" si="8"/>
        <v>70.400000000000006</v>
      </c>
      <c r="N307" s="80">
        <f t="shared" si="9"/>
        <v>70.28</v>
      </c>
      <c r="O307" s="153">
        <v>21.16</v>
      </c>
      <c r="P307" s="153">
        <v>21.12</v>
      </c>
      <c r="Q307" s="153">
        <v>21.08</v>
      </c>
      <c r="R307" s="153">
        <v>21</v>
      </c>
      <c r="S307" s="4"/>
      <c r="U307" s="147" t="s">
        <v>385</v>
      </c>
      <c r="V307" s="11"/>
      <c r="W307" s="4"/>
      <c r="X307" s="12"/>
      <c r="Y307" s="14"/>
      <c r="Z307" s="4"/>
      <c r="AA307" s="13"/>
      <c r="AB307" s="11"/>
      <c r="AC307" s="4"/>
      <c r="AD307" s="12"/>
      <c r="AE307" s="13"/>
      <c r="AF307" s="14">
        <v>5.0221</v>
      </c>
      <c r="AG307" s="133"/>
      <c r="AI307" s="84"/>
      <c r="AL307" s="64">
        <v>4.1731372000000002</v>
      </c>
      <c r="AM307" s="56">
        <v>14.48</v>
      </c>
      <c r="AN307" s="56">
        <v>16.460000000000012</v>
      </c>
      <c r="AO307" s="62">
        <v>22.460000000000061</v>
      </c>
      <c r="AQ307" s="64">
        <v>4.0820165833333331</v>
      </c>
      <c r="AR307" s="56">
        <v>14.1</v>
      </c>
      <c r="AS307" s="56">
        <v>15.55999999999997</v>
      </c>
      <c r="AT307" s="62">
        <v>19.61999999999993</v>
      </c>
      <c r="AV307" s="64">
        <v>3.7294381666666672</v>
      </c>
      <c r="AW307" s="56">
        <v>13.659999999999959</v>
      </c>
      <c r="AX307" s="56">
        <v>15.139999999999979</v>
      </c>
      <c r="AY307" s="62">
        <v>19.83999999999995</v>
      </c>
      <c r="BA307" s="64">
        <v>3.1882144499999998</v>
      </c>
      <c r="BB307" s="56">
        <v>16.840000000000011</v>
      </c>
      <c r="BC307" s="56">
        <v>19.339999999999961</v>
      </c>
      <c r="BD307" s="62">
        <v>31.36000000000001</v>
      </c>
      <c r="BF307" s="64">
        <v>2.940400883333333</v>
      </c>
      <c r="BG307" s="56">
        <v>21.34</v>
      </c>
      <c r="BH307" s="56">
        <v>29.11999999999999</v>
      </c>
      <c r="BI307" s="62">
        <v>59.999999999999957</v>
      </c>
      <c r="BJ307" s="69"/>
      <c r="BK307" s="51"/>
    </row>
    <row r="308" spans="1:63" x14ac:dyDescent="0.4">
      <c r="A308" s="11" t="s">
        <v>386</v>
      </c>
      <c r="B308" s="4"/>
      <c r="C308" s="4"/>
      <c r="D308" s="4"/>
      <c r="E308" s="12"/>
      <c r="G308" s="147" t="s">
        <v>386</v>
      </c>
      <c r="H308" s="159">
        <v>70.070999999999998</v>
      </c>
      <c r="I308" s="153">
        <v>70.27</v>
      </c>
      <c r="J308" s="153">
        <v>70.38</v>
      </c>
      <c r="K308" s="153">
        <v>70.36</v>
      </c>
      <c r="L308" s="153">
        <v>70.36</v>
      </c>
      <c r="M308" s="80">
        <f t="shared" si="8"/>
        <v>70.38</v>
      </c>
      <c r="N308" s="80">
        <f t="shared" si="9"/>
        <v>70.27</v>
      </c>
      <c r="O308" s="153">
        <v>21.21</v>
      </c>
      <c r="P308" s="153">
        <v>21.13</v>
      </c>
      <c r="Q308" s="153">
        <v>21.13</v>
      </c>
      <c r="R308" s="153">
        <v>21.1</v>
      </c>
      <c r="S308" s="4"/>
      <c r="U308" s="147" t="s">
        <v>386</v>
      </c>
      <c r="V308" s="11"/>
      <c r="W308" s="4"/>
      <c r="X308" s="12"/>
      <c r="Y308" s="14"/>
      <c r="Z308" s="4"/>
      <c r="AA308" s="13"/>
      <c r="AB308" s="11"/>
      <c r="AC308" s="4"/>
      <c r="AD308" s="12"/>
      <c r="AE308" s="13"/>
      <c r="AF308" s="14">
        <v>5.0023999999999997</v>
      </c>
      <c r="AG308" s="133"/>
      <c r="AI308" s="84"/>
      <c r="AL308" s="64">
        <v>4.1731250499999986</v>
      </c>
      <c r="AM308" s="56">
        <v>14.380000000000059</v>
      </c>
      <c r="AN308" s="56">
        <v>16.339999999999929</v>
      </c>
      <c r="AO308" s="62">
        <v>22.279999999999941</v>
      </c>
      <c r="AQ308" s="64">
        <v>4.079510166666668</v>
      </c>
      <c r="AR308" s="56">
        <v>13.620000000000051</v>
      </c>
      <c r="AS308" s="56">
        <v>15.06000000000007</v>
      </c>
      <c r="AT308" s="62">
        <v>19.019999999999989</v>
      </c>
      <c r="AV308" s="64">
        <v>3.7276321833333328</v>
      </c>
      <c r="AW308" s="56">
        <v>12.999999999999989</v>
      </c>
      <c r="AX308" s="56">
        <v>14.44000000000001</v>
      </c>
      <c r="AY308" s="62">
        <v>19.019999999999989</v>
      </c>
      <c r="BA308" s="64">
        <v>3.1899660166666668</v>
      </c>
      <c r="BB308" s="56">
        <v>15.899999999999981</v>
      </c>
      <c r="BC308" s="56">
        <v>18.279999999999941</v>
      </c>
      <c r="BD308" s="62">
        <v>29.899999999999949</v>
      </c>
      <c r="BF308" s="64">
        <v>2.9306887499999998</v>
      </c>
      <c r="BG308" s="56">
        <v>20.319999999999979</v>
      </c>
      <c r="BH308" s="56">
        <v>27.899999999999991</v>
      </c>
      <c r="BI308" s="62">
        <v>58.839999999999911</v>
      </c>
      <c r="BJ308" s="72"/>
      <c r="BK308" s="51"/>
    </row>
    <row r="309" spans="1:63" x14ac:dyDescent="0.4">
      <c r="A309" s="11" t="s">
        <v>387</v>
      </c>
      <c r="B309" s="4"/>
      <c r="C309" s="4"/>
      <c r="D309" s="4"/>
      <c r="E309" s="12"/>
      <c r="G309" s="147" t="s">
        <v>387</v>
      </c>
      <c r="H309" s="159">
        <v>70.123999999999995</v>
      </c>
      <c r="I309" s="153">
        <v>70.37</v>
      </c>
      <c r="J309" s="153">
        <v>70.28</v>
      </c>
      <c r="K309" s="153">
        <v>70.319999999999993</v>
      </c>
      <c r="L309" s="153">
        <v>70.290000000000006</v>
      </c>
      <c r="M309" s="80">
        <f t="shared" si="8"/>
        <v>70.37</v>
      </c>
      <c r="N309" s="80">
        <f t="shared" si="9"/>
        <v>70.28</v>
      </c>
      <c r="O309" s="153">
        <v>21.18</v>
      </c>
      <c r="P309" s="153">
        <v>21.13</v>
      </c>
      <c r="Q309" s="153">
        <v>21.13</v>
      </c>
      <c r="R309" s="153">
        <v>21.09</v>
      </c>
      <c r="S309" s="4"/>
      <c r="U309" s="147" t="s">
        <v>387</v>
      </c>
      <c r="V309" s="11"/>
      <c r="W309" s="4"/>
      <c r="X309" s="12"/>
      <c r="Y309" s="14"/>
      <c r="Z309" s="4"/>
      <c r="AA309" s="13"/>
      <c r="AB309" s="11"/>
      <c r="AC309" s="4"/>
      <c r="AD309" s="12"/>
      <c r="AE309" s="13"/>
      <c r="AF309" s="14">
        <v>4.9992999999999999</v>
      </c>
      <c r="AG309" s="133"/>
      <c r="AI309" s="84"/>
      <c r="AL309" s="64">
        <v>4.1731995</v>
      </c>
      <c r="AM309" s="56">
        <v>14.43999999999992</v>
      </c>
      <c r="AN309" s="56">
        <v>16.41999999999992</v>
      </c>
      <c r="AO309" s="62">
        <v>22.21999999999991</v>
      </c>
      <c r="AQ309" s="64">
        <v>4.08129235</v>
      </c>
      <c r="AR309" s="56">
        <v>13.959999999999971</v>
      </c>
      <c r="AS309" s="56">
        <v>15.41999999999994</v>
      </c>
      <c r="AT309" s="62">
        <v>19.45999999999994</v>
      </c>
      <c r="AV309" s="64">
        <v>3.728427466666667</v>
      </c>
      <c r="AW309" s="56">
        <v>13.18000000000001</v>
      </c>
      <c r="AX309" s="56">
        <v>14.619999999999941</v>
      </c>
      <c r="AY309" s="62">
        <v>19.21999999999997</v>
      </c>
      <c r="BA309" s="64">
        <v>3.1851967499999998</v>
      </c>
      <c r="BB309" s="56">
        <v>16.000000000000011</v>
      </c>
      <c r="BC309" s="56">
        <v>18.420000000000059</v>
      </c>
      <c r="BD309" s="62">
        <v>30.26</v>
      </c>
      <c r="BF309" s="64">
        <v>2.9363431833333329</v>
      </c>
      <c r="BG309" s="56">
        <v>20.459999999999919</v>
      </c>
      <c r="BH309" s="56">
        <v>27.939999999999991</v>
      </c>
      <c r="BI309" s="62">
        <v>58.659999999999982</v>
      </c>
      <c r="BJ309" s="72"/>
      <c r="BK309" s="51"/>
    </row>
    <row r="310" spans="1:63" x14ac:dyDescent="0.4">
      <c r="A310" s="11" t="s">
        <v>388</v>
      </c>
      <c r="B310" s="4"/>
      <c r="C310" s="4"/>
      <c r="D310" s="4"/>
      <c r="E310" s="12"/>
      <c r="G310" s="147" t="s">
        <v>388</v>
      </c>
      <c r="H310" s="159">
        <v>69.912000000000006</v>
      </c>
      <c r="I310" s="153">
        <v>70.38</v>
      </c>
      <c r="J310" s="153">
        <v>70.349999999999994</v>
      </c>
      <c r="K310" s="153">
        <v>70.31</v>
      </c>
      <c r="L310" s="153">
        <v>70.28</v>
      </c>
      <c r="M310" s="80">
        <f t="shared" si="8"/>
        <v>70.38</v>
      </c>
      <c r="N310" s="80">
        <f t="shared" si="9"/>
        <v>70.28</v>
      </c>
      <c r="O310" s="153">
        <v>21.13</v>
      </c>
      <c r="P310" s="153">
        <v>21.11</v>
      </c>
      <c r="Q310" s="153">
        <v>21.1</v>
      </c>
      <c r="R310" s="153">
        <v>21.04</v>
      </c>
      <c r="S310" s="4"/>
      <c r="U310" s="147" t="s">
        <v>388</v>
      </c>
      <c r="V310" s="11"/>
      <c r="W310" s="4"/>
      <c r="X310" s="12"/>
      <c r="Y310" s="14"/>
      <c r="Z310" s="4"/>
      <c r="AA310" s="13"/>
      <c r="AB310" s="11"/>
      <c r="AC310" s="4"/>
      <c r="AD310" s="12"/>
      <c r="AE310" s="13"/>
      <c r="AF310" s="14">
        <v>4.9861000000000004</v>
      </c>
      <c r="AG310" s="133"/>
      <c r="AI310" s="84"/>
      <c r="AL310" s="64">
        <v>4.1734061833333342</v>
      </c>
      <c r="AM310" s="56">
        <v>14.140000000000089</v>
      </c>
      <c r="AN310" s="56">
        <v>16.14000000000004</v>
      </c>
      <c r="AO310" s="62">
        <v>22.100000000000009</v>
      </c>
      <c r="AQ310" s="64">
        <v>4.0823992999999996</v>
      </c>
      <c r="AR310" s="56">
        <v>13.759999999999909</v>
      </c>
      <c r="AS310" s="56">
        <v>15.240000000000011</v>
      </c>
      <c r="AT310" s="62">
        <v>19.25999999999997</v>
      </c>
      <c r="AV310" s="64">
        <v>3.7304645333333331</v>
      </c>
      <c r="AW310" s="56">
        <v>13.319999999999951</v>
      </c>
      <c r="AX310" s="56">
        <v>14.799999999999971</v>
      </c>
      <c r="AY310" s="62">
        <v>19.439999999999991</v>
      </c>
      <c r="BA310" s="64">
        <v>3.18813675</v>
      </c>
      <c r="BB310" s="56">
        <v>16.560000000000041</v>
      </c>
      <c r="BC310" s="56">
        <v>19.019999999999989</v>
      </c>
      <c r="BD310" s="62">
        <v>30.960000000000051</v>
      </c>
      <c r="BF310" s="64">
        <v>2.9369703500000002</v>
      </c>
      <c r="BG310" s="56">
        <v>20.900000000000048</v>
      </c>
      <c r="BH310" s="56">
        <v>28.52000000000006</v>
      </c>
      <c r="BI310" s="62">
        <v>59.380000000000081</v>
      </c>
      <c r="BJ310" s="72"/>
      <c r="BK310" s="51"/>
    </row>
    <row r="311" spans="1:63" x14ac:dyDescent="0.4">
      <c r="A311" s="11" t="s">
        <v>389</v>
      </c>
      <c r="B311" s="4"/>
      <c r="C311" s="4"/>
      <c r="D311" s="4"/>
      <c r="E311" s="12"/>
      <c r="G311" s="147" t="s">
        <v>389</v>
      </c>
      <c r="H311" s="159">
        <v>70.055000000000007</v>
      </c>
      <c r="I311" s="153">
        <v>70.31</v>
      </c>
      <c r="J311" s="153">
        <v>70.31</v>
      </c>
      <c r="K311" s="153">
        <v>70.36</v>
      </c>
      <c r="L311" s="153">
        <v>70.349999999999994</v>
      </c>
      <c r="M311" s="80">
        <f t="shared" si="8"/>
        <v>70.36</v>
      </c>
      <c r="N311" s="80">
        <f t="shared" si="9"/>
        <v>70.31</v>
      </c>
      <c r="O311" s="153">
        <v>21.16</v>
      </c>
      <c r="P311" s="153">
        <v>21.09</v>
      </c>
      <c r="Q311" s="153">
        <v>21.14</v>
      </c>
      <c r="R311" s="153">
        <v>21.07</v>
      </c>
      <c r="S311" s="4"/>
      <c r="U311" s="147" t="s">
        <v>389</v>
      </c>
      <c r="V311" s="11"/>
      <c r="W311" s="4"/>
      <c r="X311" s="12"/>
      <c r="Y311" s="14"/>
      <c r="Z311" s="4"/>
      <c r="AA311" s="13"/>
      <c r="AB311" s="11"/>
      <c r="AC311" s="4"/>
      <c r="AD311" s="12"/>
      <c r="AE311" s="13"/>
      <c r="AF311" s="14">
        <v>5.0029000000000003</v>
      </c>
      <c r="AG311" s="133"/>
      <c r="AI311" s="84"/>
      <c r="AL311" s="64">
        <v>4.1731261333333336</v>
      </c>
      <c r="AM311" s="56">
        <v>14.81999999999992</v>
      </c>
      <c r="AN311" s="56">
        <v>16.840000000000011</v>
      </c>
      <c r="AO311" s="62">
        <v>22.89999999999992</v>
      </c>
      <c r="AQ311" s="64">
        <v>4.0807123333333344</v>
      </c>
      <c r="AR311" s="56">
        <v>14.24000000000003</v>
      </c>
      <c r="AS311" s="56">
        <v>15.740000000000091</v>
      </c>
      <c r="AT311" s="62">
        <v>19.78000000000009</v>
      </c>
      <c r="AV311" s="64">
        <v>3.7262450666666669</v>
      </c>
      <c r="AW311" s="56">
        <v>13.66000000000005</v>
      </c>
      <c r="AX311" s="56">
        <v>15.16000000000002</v>
      </c>
      <c r="AY311" s="62">
        <v>19.90000000000007</v>
      </c>
      <c r="BA311" s="64">
        <v>3.1758714833333328</v>
      </c>
      <c r="BB311" s="56">
        <v>16.61999999999999</v>
      </c>
      <c r="BC311" s="56">
        <v>19.160000000000021</v>
      </c>
      <c r="BD311" s="62">
        <v>31.44</v>
      </c>
      <c r="BF311" s="64">
        <v>2.921811616666667</v>
      </c>
      <c r="BG311" s="56">
        <v>20.940000000000051</v>
      </c>
      <c r="BH311" s="56">
        <v>28.480000000000061</v>
      </c>
      <c r="BI311" s="62">
        <v>60.02</v>
      </c>
      <c r="BJ311" s="72"/>
      <c r="BK311" s="51"/>
    </row>
    <row r="312" spans="1:63" x14ac:dyDescent="0.4">
      <c r="A312" s="11" t="s">
        <v>390</v>
      </c>
      <c r="B312" s="4"/>
      <c r="C312" s="4"/>
      <c r="D312" s="4"/>
      <c r="E312" s="12"/>
      <c r="G312" s="147" t="s">
        <v>390</v>
      </c>
      <c r="H312" s="159">
        <v>70.037999999999997</v>
      </c>
      <c r="I312" s="153">
        <v>70.39</v>
      </c>
      <c r="J312" s="153">
        <v>70.33</v>
      </c>
      <c r="K312" s="153">
        <v>70.290000000000006</v>
      </c>
      <c r="L312" s="153">
        <v>70.36</v>
      </c>
      <c r="M312" s="80">
        <f t="shared" si="8"/>
        <v>70.39</v>
      </c>
      <c r="N312" s="80">
        <f t="shared" si="9"/>
        <v>70.290000000000006</v>
      </c>
      <c r="O312" s="153">
        <v>21.22</v>
      </c>
      <c r="P312" s="153">
        <v>21.06</v>
      </c>
      <c r="Q312" s="153">
        <v>21.15</v>
      </c>
      <c r="R312" s="153">
        <v>21.12</v>
      </c>
      <c r="S312" s="4"/>
      <c r="U312" s="147" t="s">
        <v>390</v>
      </c>
      <c r="V312" s="11"/>
      <c r="W312" s="4"/>
      <c r="X312" s="12"/>
      <c r="Y312" s="14"/>
      <c r="Z312" s="4"/>
      <c r="AA312" s="13"/>
      <c r="AB312" s="11"/>
      <c r="AC312" s="4"/>
      <c r="AD312" s="12"/>
      <c r="AE312" s="13"/>
      <c r="AF312" s="14">
        <v>5.0004</v>
      </c>
      <c r="AG312" s="133"/>
      <c r="AI312" s="84"/>
      <c r="AL312" s="64">
        <v>4.17295865</v>
      </c>
      <c r="AM312" s="56">
        <v>14.620000000000029</v>
      </c>
      <c r="AN312" s="56">
        <v>16.63999999999994</v>
      </c>
      <c r="AO312" s="62">
        <v>22.739999999999942</v>
      </c>
      <c r="AQ312" s="64">
        <v>4.0833858666666663</v>
      </c>
      <c r="AR312" s="56">
        <v>14.119999999999949</v>
      </c>
      <c r="AS312" s="56">
        <v>15.62000000000001</v>
      </c>
      <c r="AT312" s="62">
        <v>19.70000000000001</v>
      </c>
      <c r="AV312" s="64">
        <v>3.7307516166666659</v>
      </c>
      <c r="AW312" s="56">
        <v>13.319999999999951</v>
      </c>
      <c r="AX312" s="56">
        <v>14.780000000000021</v>
      </c>
      <c r="AY312" s="62">
        <v>19.439999999999991</v>
      </c>
      <c r="BA312" s="64">
        <v>3.1888613499999998</v>
      </c>
      <c r="BB312" s="56">
        <v>16.599999999999952</v>
      </c>
      <c r="BC312" s="56">
        <v>19.079999999999941</v>
      </c>
      <c r="BD312" s="62">
        <v>31.06</v>
      </c>
      <c r="BF312" s="64">
        <v>2.9319368166666671</v>
      </c>
      <c r="BG312" s="56">
        <v>20.98000000000004</v>
      </c>
      <c r="BH312" s="56">
        <v>28.54000000000001</v>
      </c>
      <c r="BI312" s="62">
        <v>60.179999999999993</v>
      </c>
      <c r="BJ312" s="72"/>
      <c r="BK312" s="51"/>
    </row>
    <row r="313" spans="1:63" x14ac:dyDescent="0.4">
      <c r="A313" s="11" t="s">
        <v>391</v>
      </c>
      <c r="B313" s="4"/>
      <c r="C313" s="4"/>
      <c r="D313" s="4"/>
      <c r="E313" s="12"/>
      <c r="G313" s="147" t="s">
        <v>391</v>
      </c>
      <c r="H313" s="159">
        <v>70.055000000000007</v>
      </c>
      <c r="I313" s="153">
        <v>70.37</v>
      </c>
      <c r="J313" s="153">
        <v>70.34</v>
      </c>
      <c r="K313" s="153">
        <v>70.37</v>
      </c>
      <c r="L313" s="153">
        <v>70.33</v>
      </c>
      <c r="M313" s="80">
        <f t="shared" si="8"/>
        <v>70.37</v>
      </c>
      <c r="N313" s="80">
        <f t="shared" si="9"/>
        <v>70.33</v>
      </c>
      <c r="O313" s="153">
        <v>21.19</v>
      </c>
      <c r="P313" s="153">
        <v>21.15</v>
      </c>
      <c r="Q313" s="153">
        <v>21.12</v>
      </c>
      <c r="R313" s="153">
        <v>21.11</v>
      </c>
      <c r="S313" s="4"/>
      <c r="U313" s="147" t="s">
        <v>391</v>
      </c>
      <c r="V313" s="11"/>
      <c r="W313" s="4"/>
      <c r="X313" s="12"/>
      <c r="Y313" s="14"/>
      <c r="Z313" s="4"/>
      <c r="AA313" s="13"/>
      <c r="AB313" s="11"/>
      <c r="AC313" s="4"/>
      <c r="AD313" s="12"/>
      <c r="AE313" s="13"/>
      <c r="AF313" s="14">
        <v>5.0044000000000004</v>
      </c>
      <c r="AG313" s="133"/>
      <c r="AI313" s="84"/>
      <c r="AL313" s="64">
        <v>4.17307045</v>
      </c>
      <c r="AM313" s="56">
        <v>14.35999999999993</v>
      </c>
      <c r="AN313" s="56">
        <v>16.38000000000002</v>
      </c>
      <c r="AO313" s="62">
        <v>22.320000000000029</v>
      </c>
      <c r="AQ313" s="64">
        <v>4.0835754166666662</v>
      </c>
      <c r="AR313" s="56">
        <v>14.219999999999899</v>
      </c>
      <c r="AS313" s="56">
        <v>15.71999999999996</v>
      </c>
      <c r="AT313" s="62">
        <v>19.819999999999901</v>
      </c>
      <c r="AV313" s="64">
        <v>3.7309857499999999</v>
      </c>
      <c r="AW313" s="56">
        <v>13.66000000000005</v>
      </c>
      <c r="AX313" s="56">
        <v>15.18000000000006</v>
      </c>
      <c r="AY313" s="62">
        <v>19.899999999999981</v>
      </c>
      <c r="BA313" s="64">
        <v>3.188197983333334</v>
      </c>
      <c r="BB313" s="56">
        <v>16.85999999999996</v>
      </c>
      <c r="BC313" s="56">
        <v>19.379999999999949</v>
      </c>
      <c r="BD313" s="62">
        <v>31.519999999999989</v>
      </c>
      <c r="BF313" s="64">
        <v>2.9396097833333328</v>
      </c>
      <c r="BG313" s="56">
        <v>21.300000000000011</v>
      </c>
      <c r="BH313" s="56">
        <v>29.04</v>
      </c>
      <c r="BI313" s="62">
        <v>60.199999999999939</v>
      </c>
      <c r="BJ313" s="72"/>
      <c r="BK313" s="51"/>
    </row>
    <row r="314" spans="1:63" x14ac:dyDescent="0.4">
      <c r="A314" s="11" t="s">
        <v>392</v>
      </c>
      <c r="B314" s="4"/>
      <c r="C314" s="4"/>
      <c r="D314" s="4"/>
      <c r="E314" s="12"/>
      <c r="G314" s="147" t="s">
        <v>392</v>
      </c>
      <c r="H314" s="159">
        <v>70.058000000000007</v>
      </c>
      <c r="I314" s="153">
        <v>70.34</v>
      </c>
      <c r="J314" s="153">
        <v>70.33</v>
      </c>
      <c r="K314" s="153">
        <v>70.27</v>
      </c>
      <c r="L314" s="153">
        <v>70.28</v>
      </c>
      <c r="M314" s="80">
        <f t="shared" si="8"/>
        <v>70.34</v>
      </c>
      <c r="N314" s="80">
        <f t="shared" si="9"/>
        <v>70.27</v>
      </c>
      <c r="O314" s="153">
        <v>21.21</v>
      </c>
      <c r="P314" s="153">
        <v>21.06</v>
      </c>
      <c r="Q314" s="153">
        <v>21.16</v>
      </c>
      <c r="R314" s="153">
        <v>21.03</v>
      </c>
      <c r="S314" s="4"/>
      <c r="U314" s="147" t="s">
        <v>392</v>
      </c>
      <c r="V314" s="11"/>
      <c r="W314" s="4"/>
      <c r="X314" s="12"/>
      <c r="Y314" s="14"/>
      <c r="Z314" s="4"/>
      <c r="AA314" s="13"/>
      <c r="AB314" s="11"/>
      <c r="AC314" s="4"/>
      <c r="AD314" s="12"/>
      <c r="AE314" s="13"/>
      <c r="AF314" s="14">
        <v>5.0061999999999998</v>
      </c>
      <c r="AG314" s="133"/>
      <c r="AI314" s="84"/>
      <c r="AL314" s="64">
        <v>4.1729986833333337</v>
      </c>
      <c r="AM314" s="56">
        <v>14.1</v>
      </c>
      <c r="AN314" s="56">
        <v>16.080000000000009</v>
      </c>
      <c r="AO314" s="62">
        <v>21.899999999999942</v>
      </c>
      <c r="AQ314" s="64">
        <v>4.0824941833333321</v>
      </c>
      <c r="AR314" s="56">
        <v>13.879999999999979</v>
      </c>
      <c r="AS314" s="56">
        <v>15.33999999999995</v>
      </c>
      <c r="AT314" s="62">
        <v>19.359999999999911</v>
      </c>
      <c r="AV314" s="64">
        <v>3.7296808333333331</v>
      </c>
      <c r="AW314" s="56">
        <v>13.199999999999971</v>
      </c>
      <c r="AX314" s="56">
        <v>14.66000000000003</v>
      </c>
      <c r="AY314" s="62">
        <v>19.299999999999962</v>
      </c>
      <c r="BA314" s="64">
        <v>3.1874581333333341</v>
      </c>
      <c r="BB314" s="56">
        <v>16.699999999999982</v>
      </c>
      <c r="BC314" s="56">
        <v>19.21999999999997</v>
      </c>
      <c r="BD314" s="62">
        <v>31.280000000000019</v>
      </c>
      <c r="BF314" s="64">
        <v>2.9393210000000001</v>
      </c>
      <c r="BG314" s="56">
        <v>21.020000000000039</v>
      </c>
      <c r="BH314" s="56">
        <v>28.86000000000006</v>
      </c>
      <c r="BI314" s="62">
        <v>59.940000000000012</v>
      </c>
      <c r="BJ314" s="72"/>
      <c r="BK314" s="51"/>
    </row>
    <row r="315" spans="1:63" x14ac:dyDescent="0.4">
      <c r="A315" s="11" t="s">
        <v>393</v>
      </c>
      <c r="B315" s="4"/>
      <c r="C315" s="4"/>
      <c r="D315" s="4"/>
      <c r="E315" s="12"/>
      <c r="G315" s="147" t="s">
        <v>393</v>
      </c>
      <c r="H315" s="159">
        <v>70.093999999999994</v>
      </c>
      <c r="I315" s="153">
        <v>70.27</v>
      </c>
      <c r="J315" s="153">
        <v>70.349999999999994</v>
      </c>
      <c r="K315" s="153">
        <v>70.31</v>
      </c>
      <c r="L315" s="153">
        <v>70.34</v>
      </c>
      <c r="M315" s="80">
        <f t="shared" si="8"/>
        <v>70.349999999999994</v>
      </c>
      <c r="N315" s="80">
        <f t="shared" si="9"/>
        <v>70.27</v>
      </c>
      <c r="O315" s="153">
        <v>21.17</v>
      </c>
      <c r="P315" s="153">
        <v>21.1</v>
      </c>
      <c r="Q315" s="153">
        <v>21.12</v>
      </c>
      <c r="R315" s="153">
        <v>21.08</v>
      </c>
      <c r="S315" s="4"/>
      <c r="U315" s="147" t="s">
        <v>393</v>
      </c>
      <c r="V315" s="11"/>
      <c r="W315" s="4"/>
      <c r="X315" s="12"/>
      <c r="Y315" s="14"/>
      <c r="Z315" s="4"/>
      <c r="AA315" s="13"/>
      <c r="AB315" s="11"/>
      <c r="AC315" s="4"/>
      <c r="AD315" s="12"/>
      <c r="AE315" s="13"/>
      <c r="AF315" s="14">
        <v>5.0057</v>
      </c>
      <c r="AG315" s="133"/>
      <c r="AI315" s="84"/>
      <c r="AL315" s="64">
        <v>4.1730917666666656</v>
      </c>
      <c r="AM315" s="56">
        <v>13.940000000000021</v>
      </c>
      <c r="AN315" s="56">
        <v>15.87999999999994</v>
      </c>
      <c r="AO315" s="62">
        <v>21.700000000000049</v>
      </c>
      <c r="AQ315" s="64">
        <v>4.0823257000000011</v>
      </c>
      <c r="AR315" s="56">
        <v>13.759999999999909</v>
      </c>
      <c r="AS315" s="56">
        <v>15.21999999999988</v>
      </c>
      <c r="AT315" s="62">
        <v>19.23999999999992</v>
      </c>
      <c r="AV315" s="64">
        <v>3.7297836000000002</v>
      </c>
      <c r="AW315" s="56">
        <v>13.02000000000003</v>
      </c>
      <c r="AX315" s="56">
        <v>14.460000000000051</v>
      </c>
      <c r="AY315" s="62">
        <v>19.040000000000031</v>
      </c>
      <c r="BA315" s="64">
        <v>3.1894364666666668</v>
      </c>
      <c r="BB315" s="56">
        <v>16.14000000000004</v>
      </c>
      <c r="BC315" s="56">
        <v>18.62000000000004</v>
      </c>
      <c r="BD315" s="62">
        <v>30.54000000000006</v>
      </c>
      <c r="BF315" s="64">
        <v>2.9469409166666658</v>
      </c>
      <c r="BG315" s="56">
        <v>20.61999999999999</v>
      </c>
      <c r="BH315" s="56">
        <v>28.31999999999999</v>
      </c>
      <c r="BI315" s="62">
        <v>59.159999999999968</v>
      </c>
      <c r="BJ315" s="69"/>
      <c r="BK315" s="51"/>
    </row>
    <row r="316" spans="1:63" x14ac:dyDescent="0.4">
      <c r="A316" s="11" t="s">
        <v>394</v>
      </c>
      <c r="B316" s="4"/>
      <c r="C316" s="4"/>
      <c r="D316" s="4"/>
      <c r="E316" s="12"/>
      <c r="G316" s="147" t="s">
        <v>394</v>
      </c>
      <c r="H316" s="159">
        <v>70.061999999999998</v>
      </c>
      <c r="I316" s="153">
        <v>70.39</v>
      </c>
      <c r="J316" s="153">
        <v>70.3</v>
      </c>
      <c r="K316" s="153">
        <v>70.319999999999993</v>
      </c>
      <c r="L316" s="153">
        <v>70.37</v>
      </c>
      <c r="M316" s="80">
        <f t="shared" si="8"/>
        <v>70.39</v>
      </c>
      <c r="N316" s="80">
        <f t="shared" si="9"/>
        <v>70.3</v>
      </c>
      <c r="O316" s="153">
        <v>21.21</v>
      </c>
      <c r="P316" s="153">
        <v>21.13</v>
      </c>
      <c r="Q316" s="153">
        <v>21.12</v>
      </c>
      <c r="R316" s="153">
        <v>21.11</v>
      </c>
      <c r="S316" s="4"/>
      <c r="U316" s="147" t="s">
        <v>394</v>
      </c>
      <c r="V316" s="11"/>
      <c r="W316" s="4"/>
      <c r="X316" s="12"/>
      <c r="Y316" s="14"/>
      <c r="Z316" s="4"/>
      <c r="AA316" s="13"/>
      <c r="AB316" s="11"/>
      <c r="AC316" s="4"/>
      <c r="AD316" s="12"/>
      <c r="AE316" s="13"/>
      <c r="AF316" s="14">
        <v>4.9980000000000002</v>
      </c>
      <c r="AG316" s="133"/>
      <c r="AI316" s="84"/>
      <c r="AL316" s="64">
        <v>4.1730936500000002</v>
      </c>
      <c r="AM316" s="56">
        <v>13.679999999999909</v>
      </c>
      <c r="AN316" s="56">
        <v>15.62000000000001</v>
      </c>
      <c r="AO316" s="62">
        <v>21.400000000000041</v>
      </c>
      <c r="AQ316" s="64">
        <v>4.0835517000000001</v>
      </c>
      <c r="AR316" s="56">
        <v>13.679999999999909</v>
      </c>
      <c r="AS316" s="56">
        <v>15.11999999999993</v>
      </c>
      <c r="AT316" s="62">
        <v>19.139999999999979</v>
      </c>
      <c r="AV316" s="64">
        <v>3.7313653833333338</v>
      </c>
      <c r="AW316" s="56">
        <v>13.05999999999994</v>
      </c>
      <c r="AX316" s="56">
        <v>14.52</v>
      </c>
      <c r="AY316" s="62">
        <v>19.119999999999941</v>
      </c>
      <c r="BA316" s="64">
        <v>3.1899961166666659</v>
      </c>
      <c r="BB316" s="56">
        <v>15.920000000000019</v>
      </c>
      <c r="BC316" s="56">
        <v>18.360000000000021</v>
      </c>
      <c r="BD316" s="62">
        <v>30.200000000000049</v>
      </c>
      <c r="BF316" s="64">
        <v>2.9424553333333332</v>
      </c>
      <c r="BG316" s="56">
        <v>20.27999999999999</v>
      </c>
      <c r="BH316" s="56">
        <v>27.71999999999997</v>
      </c>
      <c r="BI316" s="62">
        <v>58.139999999999951</v>
      </c>
      <c r="BJ316" s="72"/>
      <c r="BK316" s="51"/>
    </row>
    <row r="317" spans="1:63" x14ac:dyDescent="0.4">
      <c r="A317" s="11" t="s">
        <v>395</v>
      </c>
      <c r="B317" s="4"/>
      <c r="C317" s="4"/>
      <c r="D317" s="4"/>
      <c r="E317" s="12"/>
      <c r="G317" s="147" t="s">
        <v>395</v>
      </c>
      <c r="H317" s="159">
        <v>70.197000000000003</v>
      </c>
      <c r="I317" s="153">
        <v>70.3</v>
      </c>
      <c r="J317" s="153">
        <v>70.28</v>
      </c>
      <c r="K317" s="153">
        <v>70.31</v>
      </c>
      <c r="L317" s="153">
        <v>70.290000000000006</v>
      </c>
      <c r="M317" s="80">
        <f t="shared" si="8"/>
        <v>70.31</v>
      </c>
      <c r="N317" s="80">
        <f t="shared" si="9"/>
        <v>70.28</v>
      </c>
      <c r="O317" s="153">
        <v>21.11</v>
      </c>
      <c r="P317" s="153">
        <v>21.08</v>
      </c>
      <c r="Q317" s="153">
        <v>21.15</v>
      </c>
      <c r="R317" s="153">
        <v>21.1</v>
      </c>
      <c r="S317" s="4"/>
      <c r="U317" s="147" t="s">
        <v>395</v>
      </c>
      <c r="V317" s="11"/>
      <c r="W317" s="4"/>
      <c r="X317" s="12"/>
      <c r="Y317" s="14"/>
      <c r="Z317" s="4"/>
      <c r="AA317" s="13"/>
      <c r="AB317" s="11"/>
      <c r="AC317" s="4"/>
      <c r="AD317" s="12"/>
      <c r="AE317" s="13"/>
      <c r="AF317" s="14">
        <v>5.0125999999999999</v>
      </c>
      <c r="AG317" s="133"/>
      <c r="AI317" s="84"/>
      <c r="AL317" s="64">
        <v>4.1729219166666658</v>
      </c>
      <c r="AM317" s="56">
        <v>14.620000000000029</v>
      </c>
      <c r="AN317" s="56">
        <v>16.600000000000041</v>
      </c>
      <c r="AO317" s="62">
        <v>22.540000000000049</v>
      </c>
      <c r="AQ317" s="64">
        <v>4.0814654666666668</v>
      </c>
      <c r="AR317" s="56">
        <v>13.9800000000001</v>
      </c>
      <c r="AS317" s="56">
        <v>15.460000000000029</v>
      </c>
      <c r="AT317" s="62">
        <v>19.500000000000028</v>
      </c>
      <c r="AV317" s="64">
        <v>3.728368716666667</v>
      </c>
      <c r="AW317" s="56">
        <v>13.3</v>
      </c>
      <c r="AX317" s="56">
        <v>14.76000000000006</v>
      </c>
      <c r="AY317" s="62">
        <v>19.420000000000041</v>
      </c>
      <c r="BA317" s="64">
        <v>3.185110316666667</v>
      </c>
      <c r="BB317" s="56">
        <v>16.640000000000029</v>
      </c>
      <c r="BC317" s="56">
        <v>19.179999999999971</v>
      </c>
      <c r="BD317" s="62">
        <v>31.320000000000011</v>
      </c>
      <c r="BF317" s="64">
        <v>2.944924083333333</v>
      </c>
      <c r="BG317" s="56">
        <v>21.10000000000003</v>
      </c>
      <c r="BH317" s="56">
        <v>28.720000000000031</v>
      </c>
      <c r="BI317" s="62">
        <v>59.240000000000052</v>
      </c>
      <c r="BJ317" s="72"/>
      <c r="BK317" s="51"/>
    </row>
    <row r="318" spans="1:63" x14ac:dyDescent="0.4">
      <c r="A318" s="11" t="s">
        <v>396</v>
      </c>
      <c r="B318" s="4"/>
      <c r="C318" s="4"/>
      <c r="D318" s="4"/>
      <c r="E318" s="12"/>
      <c r="G318" s="147" t="s">
        <v>396</v>
      </c>
      <c r="H318" s="159">
        <v>70.120999999999995</v>
      </c>
      <c r="I318" s="153">
        <v>70.39</v>
      </c>
      <c r="J318" s="153">
        <v>70.38</v>
      </c>
      <c r="K318" s="153">
        <v>70.349999999999994</v>
      </c>
      <c r="L318" s="153">
        <v>70.38</v>
      </c>
      <c r="M318" s="80">
        <f t="shared" si="8"/>
        <v>70.39</v>
      </c>
      <c r="N318" s="80">
        <f t="shared" si="9"/>
        <v>70.349999999999994</v>
      </c>
      <c r="O318" s="153">
        <v>21.13</v>
      </c>
      <c r="P318" s="153">
        <v>21.09</v>
      </c>
      <c r="Q318" s="153">
        <v>21.11</v>
      </c>
      <c r="R318" s="153">
        <v>21.08</v>
      </c>
      <c r="S318" s="4"/>
      <c r="U318" s="147" t="s">
        <v>396</v>
      </c>
      <c r="V318" s="11"/>
      <c r="W318" s="4"/>
      <c r="X318" s="12"/>
      <c r="Y318" s="14"/>
      <c r="Z318" s="4"/>
      <c r="AA318" s="13"/>
      <c r="AB318" s="11"/>
      <c r="AC318" s="4"/>
      <c r="AD318" s="12"/>
      <c r="AE318" s="13"/>
      <c r="AF318" s="14">
        <v>5.0153999999999996</v>
      </c>
      <c r="AG318" s="133"/>
      <c r="AI318" s="84"/>
      <c r="AL318" s="64">
        <v>4.1727974166666666</v>
      </c>
      <c r="AM318" s="56">
        <v>14.41999999999997</v>
      </c>
      <c r="AN318" s="56">
        <v>16.41999999999992</v>
      </c>
      <c r="AO318" s="62">
        <v>22.18</v>
      </c>
      <c r="AQ318" s="64">
        <v>4.0812817333333333</v>
      </c>
      <c r="AR318" s="56">
        <v>14.040000000000139</v>
      </c>
      <c r="AS318" s="56">
        <v>15.520000000000071</v>
      </c>
      <c r="AT318" s="62">
        <v>19.56000000000007</v>
      </c>
      <c r="AV318" s="64">
        <v>3.7294340666666672</v>
      </c>
      <c r="AW318" s="56">
        <v>13.399999999999951</v>
      </c>
      <c r="AX318" s="56">
        <v>14.87999999999996</v>
      </c>
      <c r="AY318" s="62">
        <v>19.559999999999981</v>
      </c>
      <c r="BA318" s="64">
        <v>3.1908853999999991</v>
      </c>
      <c r="BB318" s="56">
        <v>16.939999999999959</v>
      </c>
      <c r="BC318" s="56">
        <v>19.399999999999999</v>
      </c>
      <c r="BD318" s="62">
        <v>31.319999999999929</v>
      </c>
      <c r="BF318" s="64">
        <v>2.9380689666666671</v>
      </c>
      <c r="BG318" s="56">
        <v>21.35999999999996</v>
      </c>
      <c r="BH318" s="56">
        <v>29.059999999999949</v>
      </c>
      <c r="BI318" s="62">
        <v>59.799999999999983</v>
      </c>
      <c r="BJ318" s="72"/>
      <c r="BK318" s="51"/>
    </row>
    <row r="319" spans="1:63" x14ac:dyDescent="0.4">
      <c r="A319" s="11" t="s">
        <v>397</v>
      </c>
      <c r="B319" s="4"/>
      <c r="C319" s="4"/>
      <c r="D319" s="4"/>
      <c r="E319" s="12"/>
      <c r="G319" s="147" t="s">
        <v>397</v>
      </c>
      <c r="H319" s="159">
        <v>70.075000000000003</v>
      </c>
      <c r="I319" s="153">
        <v>70.37</v>
      </c>
      <c r="J319" s="153">
        <v>70.290000000000006</v>
      </c>
      <c r="K319" s="153">
        <v>70.39</v>
      </c>
      <c r="L319" s="153">
        <v>70.34</v>
      </c>
      <c r="M319" s="80">
        <f t="shared" si="8"/>
        <v>70.39</v>
      </c>
      <c r="N319" s="80">
        <f t="shared" si="9"/>
        <v>70.290000000000006</v>
      </c>
      <c r="O319" s="153">
        <v>21.2</v>
      </c>
      <c r="P319" s="153">
        <v>21.11</v>
      </c>
      <c r="Q319" s="153">
        <v>21.13</v>
      </c>
      <c r="R319" s="153">
        <v>21.03</v>
      </c>
      <c r="S319" s="4"/>
      <c r="U319" s="147" t="s">
        <v>397</v>
      </c>
      <c r="V319" s="11"/>
      <c r="W319" s="4"/>
      <c r="X319" s="12"/>
      <c r="Y319" s="14"/>
      <c r="Z319" s="4"/>
      <c r="AA319" s="13"/>
      <c r="AB319" s="11"/>
      <c r="AC319" s="4"/>
      <c r="AD319" s="12"/>
      <c r="AE319" s="13"/>
      <c r="AF319" s="14">
        <v>5.0018000000000002</v>
      </c>
      <c r="AG319" s="133"/>
      <c r="AI319" s="84"/>
      <c r="AL319" s="64">
        <v>4.1735890666666657</v>
      </c>
      <c r="AM319" s="56">
        <v>14.19999999999995</v>
      </c>
      <c r="AN319" s="56">
        <v>16.21999999999986</v>
      </c>
      <c r="AO319" s="62">
        <v>22.159999999999869</v>
      </c>
      <c r="AQ319" s="64">
        <v>4.0820387</v>
      </c>
      <c r="AR319" s="56">
        <v>14.02000000000001</v>
      </c>
      <c r="AS319" s="56">
        <v>15.479999999999981</v>
      </c>
      <c r="AT319" s="62">
        <v>19.559999999999889</v>
      </c>
      <c r="AV319" s="64">
        <v>3.7305742166666671</v>
      </c>
      <c r="AW319" s="56">
        <v>13.34</v>
      </c>
      <c r="AX319" s="56">
        <v>14.820000000000009</v>
      </c>
      <c r="AY319" s="62">
        <v>19.49999999999994</v>
      </c>
      <c r="BA319" s="64">
        <v>3.1913504500000012</v>
      </c>
      <c r="BB319" s="56">
        <v>16.060000000000048</v>
      </c>
      <c r="BC319" s="56">
        <v>18.440000000000008</v>
      </c>
      <c r="BD319" s="62">
        <v>30.04000000000007</v>
      </c>
      <c r="BF319" s="64">
        <v>2.9275558833333331</v>
      </c>
      <c r="BG319" s="56">
        <v>20.659999999999989</v>
      </c>
      <c r="BH319" s="56">
        <v>28.180000000000049</v>
      </c>
      <c r="BI319" s="62">
        <v>59.72</v>
      </c>
      <c r="BJ319" s="72"/>
      <c r="BK319" s="51"/>
    </row>
    <row r="320" spans="1:63" x14ac:dyDescent="0.4">
      <c r="A320" s="11" t="s">
        <v>398</v>
      </c>
      <c r="B320" s="4"/>
      <c r="C320" s="4"/>
      <c r="D320" s="4"/>
      <c r="E320" s="12"/>
      <c r="G320" s="147" t="s">
        <v>398</v>
      </c>
      <c r="H320" s="159">
        <v>70.012</v>
      </c>
      <c r="I320" s="153">
        <v>70.37</v>
      </c>
      <c r="J320" s="153">
        <v>70.39</v>
      </c>
      <c r="K320" s="153">
        <v>70.31</v>
      </c>
      <c r="L320" s="153">
        <v>70.28</v>
      </c>
      <c r="M320" s="80">
        <f t="shared" si="8"/>
        <v>70.39</v>
      </c>
      <c r="N320" s="80">
        <f t="shared" si="9"/>
        <v>70.28</v>
      </c>
      <c r="O320" s="153">
        <v>21.14</v>
      </c>
      <c r="P320" s="153">
        <v>21.09</v>
      </c>
      <c r="Q320" s="153">
        <v>21.1</v>
      </c>
      <c r="R320" s="153">
        <v>21.05</v>
      </c>
      <c r="S320" s="4"/>
      <c r="U320" s="147" t="s">
        <v>398</v>
      </c>
      <c r="V320" s="11"/>
      <c r="W320" s="4"/>
      <c r="X320" s="12"/>
      <c r="Y320" s="14"/>
      <c r="Z320" s="4"/>
      <c r="AA320" s="13"/>
      <c r="AB320" s="11"/>
      <c r="AC320" s="4"/>
      <c r="AD320" s="12"/>
      <c r="AE320" s="13"/>
      <c r="AF320" s="14">
        <v>4.9989999999999997</v>
      </c>
      <c r="AG320" s="133"/>
      <c r="AI320" s="84"/>
      <c r="AL320" s="64">
        <v>4.1733116999999993</v>
      </c>
      <c r="AM320" s="56">
        <v>13.959999999999971</v>
      </c>
      <c r="AN320" s="56">
        <v>15.920000000000019</v>
      </c>
      <c r="AO320" s="62">
        <v>21.72000000000001</v>
      </c>
      <c r="AQ320" s="64">
        <v>4.082659116666667</v>
      </c>
      <c r="AR320" s="56">
        <v>13.879999999999979</v>
      </c>
      <c r="AS320" s="56">
        <v>15.32</v>
      </c>
      <c r="AT320" s="62">
        <v>19.339999999999961</v>
      </c>
      <c r="AV320" s="64">
        <v>3.7300714666666659</v>
      </c>
      <c r="AW320" s="56">
        <v>13.320000000000039</v>
      </c>
      <c r="AX320" s="56">
        <v>14.780000000000021</v>
      </c>
      <c r="AY320" s="62">
        <v>19.420000000000041</v>
      </c>
      <c r="BA320" s="64">
        <v>3.1880812000000001</v>
      </c>
      <c r="BB320" s="56">
        <v>16.779999999999969</v>
      </c>
      <c r="BC320" s="56">
        <v>19.32</v>
      </c>
      <c r="BD320" s="62">
        <v>31.37999999999996</v>
      </c>
      <c r="BF320" s="64">
        <v>2.9398494999999998</v>
      </c>
      <c r="BG320" s="56">
        <v>21.260000000000009</v>
      </c>
      <c r="BH320" s="56">
        <v>29.11999999999999</v>
      </c>
      <c r="BI320" s="62">
        <v>60.280000000000022</v>
      </c>
      <c r="BJ320" s="72"/>
      <c r="BK320" s="51"/>
    </row>
    <row r="321" spans="1:63" x14ac:dyDescent="0.4">
      <c r="A321" s="11" t="s">
        <v>399</v>
      </c>
      <c r="B321" s="4"/>
      <c r="C321" s="4"/>
      <c r="D321" s="4"/>
      <c r="E321" s="12"/>
      <c r="G321" s="147" t="s">
        <v>399</v>
      </c>
      <c r="H321" s="159">
        <v>70.057000000000002</v>
      </c>
      <c r="I321" s="153">
        <v>70.3</v>
      </c>
      <c r="J321" s="153">
        <v>70.33</v>
      </c>
      <c r="K321" s="153">
        <v>70.38</v>
      </c>
      <c r="L321" s="153">
        <v>70.38</v>
      </c>
      <c r="M321" s="80">
        <f t="shared" si="8"/>
        <v>70.38</v>
      </c>
      <c r="N321" s="80">
        <f t="shared" si="9"/>
        <v>70.3</v>
      </c>
      <c r="O321" s="153">
        <v>21.16</v>
      </c>
      <c r="P321" s="153">
        <v>21.01</v>
      </c>
      <c r="Q321" s="153">
        <v>21.14</v>
      </c>
      <c r="R321" s="153">
        <v>21.1</v>
      </c>
      <c r="S321" s="4"/>
      <c r="U321" s="147" t="s">
        <v>399</v>
      </c>
      <c r="V321" s="11"/>
      <c r="W321" s="4"/>
      <c r="X321" s="12"/>
      <c r="Y321" s="14"/>
      <c r="Z321" s="4"/>
      <c r="AA321" s="13"/>
      <c r="AB321" s="11"/>
      <c r="AC321" s="4"/>
      <c r="AD321" s="12"/>
      <c r="AE321" s="13"/>
      <c r="AF321" s="14">
        <v>5.0172999999999996</v>
      </c>
      <c r="AG321" s="133"/>
      <c r="AI321" s="84"/>
      <c r="AL321" s="64">
        <v>4.1734790166666667</v>
      </c>
      <c r="AM321" s="56">
        <v>14.179999999999991</v>
      </c>
      <c r="AN321" s="56">
        <v>16.14000000000004</v>
      </c>
      <c r="AO321" s="62">
        <v>21.99999999999989</v>
      </c>
      <c r="AQ321" s="64">
        <v>4.0822912666666671</v>
      </c>
      <c r="AR321" s="56">
        <v>13.840000000000069</v>
      </c>
      <c r="AS321" s="56">
        <v>15.28000000000009</v>
      </c>
      <c r="AT321" s="62">
        <v>19.25999999999997</v>
      </c>
      <c r="AV321" s="64">
        <v>3.729068666666667</v>
      </c>
      <c r="AW321" s="56">
        <v>13.019999999999939</v>
      </c>
      <c r="AX321" s="56">
        <v>14.45999999999996</v>
      </c>
      <c r="AY321" s="62">
        <v>19.039999999999949</v>
      </c>
      <c r="BA321" s="64">
        <v>3.1820069000000002</v>
      </c>
      <c r="BB321" s="56">
        <v>15.97999999999997</v>
      </c>
      <c r="BC321" s="56">
        <v>18.459999999999969</v>
      </c>
      <c r="BD321" s="62">
        <v>30.339999999999989</v>
      </c>
      <c r="BF321" s="64">
        <v>2.9244519000000002</v>
      </c>
      <c r="BG321" s="56">
        <v>20.54</v>
      </c>
      <c r="BH321" s="56">
        <v>27.919999999999941</v>
      </c>
      <c r="BI321" s="62">
        <v>59.319999999999951</v>
      </c>
      <c r="BJ321" s="72"/>
      <c r="BK321" s="51"/>
    </row>
    <row r="322" spans="1:63" x14ac:dyDescent="0.4">
      <c r="A322" s="11" t="s">
        <v>400</v>
      </c>
      <c r="B322" s="4"/>
      <c r="C322" s="4"/>
      <c r="D322" s="4"/>
      <c r="E322" s="12"/>
      <c r="G322" s="147" t="s">
        <v>400</v>
      </c>
      <c r="H322" s="159">
        <v>70.022000000000006</v>
      </c>
      <c r="I322" s="153">
        <v>70.27</v>
      </c>
      <c r="J322" s="153">
        <v>70.34</v>
      </c>
      <c r="K322" s="153">
        <v>70.319999999999993</v>
      </c>
      <c r="L322" s="153">
        <v>70.3</v>
      </c>
      <c r="M322" s="80">
        <f t="shared" si="8"/>
        <v>70.34</v>
      </c>
      <c r="N322" s="80">
        <f t="shared" si="9"/>
        <v>70.27</v>
      </c>
      <c r="O322" s="153">
        <v>21.19</v>
      </c>
      <c r="P322" s="153">
        <v>21.09</v>
      </c>
      <c r="Q322" s="153">
        <v>21.14</v>
      </c>
      <c r="R322" s="153">
        <v>21.09</v>
      </c>
      <c r="S322" s="4"/>
      <c r="U322" s="147" t="s">
        <v>400</v>
      </c>
      <c r="V322" s="11"/>
      <c r="W322" s="4"/>
      <c r="X322" s="12"/>
      <c r="Y322" s="14"/>
      <c r="Z322" s="4"/>
      <c r="AA322" s="13"/>
      <c r="AB322" s="11"/>
      <c r="AC322" s="4"/>
      <c r="AD322" s="12"/>
      <c r="AE322" s="13"/>
      <c r="AF322" s="14">
        <v>5.0072999999999999</v>
      </c>
      <c r="AG322" s="133"/>
      <c r="AI322" s="84"/>
      <c r="AL322" s="64">
        <v>4.1732941666666674</v>
      </c>
      <c r="AM322" s="56">
        <v>14.20000000000012</v>
      </c>
      <c r="AN322" s="56">
        <v>16.180000000000131</v>
      </c>
      <c r="AO322" s="62">
        <v>22.00000000000006</v>
      </c>
      <c r="AQ322" s="64">
        <v>4.0820907999999996</v>
      </c>
      <c r="AR322" s="56">
        <v>13.759999999999909</v>
      </c>
      <c r="AS322" s="56">
        <v>15.240000000000011</v>
      </c>
      <c r="AT322" s="62">
        <v>19.219999999999882</v>
      </c>
      <c r="AV322" s="64">
        <v>3.7295470833333342</v>
      </c>
      <c r="AW322" s="56">
        <v>13.02000000000003</v>
      </c>
      <c r="AX322" s="56">
        <v>14.50000000000005</v>
      </c>
      <c r="AY322" s="62">
        <v>19.08000000000003</v>
      </c>
      <c r="BA322" s="64">
        <v>3.1869737833333329</v>
      </c>
      <c r="BB322" s="56">
        <v>16.259999999999941</v>
      </c>
      <c r="BC322" s="56">
        <v>18.75999999999998</v>
      </c>
      <c r="BD322" s="62">
        <v>30.739999999999949</v>
      </c>
      <c r="BF322" s="64">
        <v>2.942452133333334</v>
      </c>
      <c r="BG322" s="56">
        <v>20.659999999999989</v>
      </c>
      <c r="BH322" s="56">
        <v>28.119999999999919</v>
      </c>
      <c r="BI322" s="62">
        <v>58.679999999999943</v>
      </c>
      <c r="BJ322" s="72"/>
      <c r="BK322" s="51"/>
    </row>
    <row r="323" spans="1:63" x14ac:dyDescent="0.4">
      <c r="A323" s="11" t="s">
        <v>401</v>
      </c>
      <c r="B323" s="4"/>
      <c r="C323" s="4"/>
      <c r="D323" s="4"/>
      <c r="E323" s="12"/>
      <c r="G323" s="147" t="s">
        <v>401</v>
      </c>
      <c r="H323" s="159">
        <v>70.075000000000003</v>
      </c>
      <c r="I323" s="153">
        <v>70.290000000000006</v>
      </c>
      <c r="J323" s="153">
        <v>70.31</v>
      </c>
      <c r="K323" s="153">
        <v>70.39</v>
      </c>
      <c r="L323" s="153">
        <v>70.31</v>
      </c>
      <c r="M323" s="80">
        <f t="shared" si="8"/>
        <v>70.39</v>
      </c>
      <c r="N323" s="80">
        <f t="shared" si="9"/>
        <v>70.290000000000006</v>
      </c>
      <c r="O323" s="153">
        <v>21.22</v>
      </c>
      <c r="P323" s="153">
        <v>20.98</v>
      </c>
      <c r="Q323" s="153">
        <v>21.16</v>
      </c>
      <c r="R323" s="153">
        <v>21.13</v>
      </c>
      <c r="S323" s="4"/>
      <c r="U323" s="147" t="s">
        <v>401</v>
      </c>
      <c r="V323" s="11"/>
      <c r="W323" s="4"/>
      <c r="X323" s="12"/>
      <c r="Y323" s="14"/>
      <c r="Z323" s="4"/>
      <c r="AA323" s="13"/>
      <c r="AB323" s="11"/>
      <c r="AC323" s="4"/>
      <c r="AD323" s="12"/>
      <c r="AE323" s="13"/>
      <c r="AF323" s="14">
        <v>5.0247000000000002</v>
      </c>
      <c r="AG323" s="133"/>
      <c r="AI323" s="84"/>
      <c r="AL323" s="64">
        <v>4.1731935</v>
      </c>
      <c r="AM323" s="56">
        <v>14.87999999999996</v>
      </c>
      <c r="AN323" s="56">
        <v>16.920000000000002</v>
      </c>
      <c r="AO323" s="62">
        <v>22.879999999999971</v>
      </c>
      <c r="AQ323" s="64">
        <v>4.0812906500000006</v>
      </c>
      <c r="AR323" s="56">
        <v>14.119999999999949</v>
      </c>
      <c r="AS323" s="56">
        <v>15.62000000000001</v>
      </c>
      <c r="AT323" s="62">
        <v>19.779999999999909</v>
      </c>
      <c r="AV323" s="64">
        <v>3.7281501166666668</v>
      </c>
      <c r="AW323" s="56">
        <v>13.740000000000039</v>
      </c>
      <c r="AX323" s="56">
        <v>15.240000000000011</v>
      </c>
      <c r="AY323" s="62">
        <v>20.000000000000021</v>
      </c>
      <c r="BA323" s="64">
        <v>3.1831819499999989</v>
      </c>
      <c r="BB323" s="56">
        <v>17.079999999999981</v>
      </c>
      <c r="BC323" s="56">
        <v>19.660000000000011</v>
      </c>
      <c r="BD323" s="62">
        <v>32.000000000000028</v>
      </c>
      <c r="BF323" s="64">
        <v>2.9471024166666671</v>
      </c>
      <c r="BG323" s="56">
        <v>21.480000000000029</v>
      </c>
      <c r="BH323" s="56">
        <v>29.140000000000029</v>
      </c>
      <c r="BI323" s="62">
        <v>59.699999999999953</v>
      </c>
      <c r="BJ323" s="72"/>
      <c r="BK323" s="51"/>
    </row>
    <row r="324" spans="1:63" x14ac:dyDescent="0.4">
      <c r="A324" s="11" t="s">
        <v>402</v>
      </c>
      <c r="B324" s="4"/>
      <c r="C324" s="4"/>
      <c r="D324" s="4"/>
      <c r="E324" s="12"/>
      <c r="G324" s="147" t="s">
        <v>402</v>
      </c>
      <c r="H324" s="159">
        <v>70.11</v>
      </c>
      <c r="I324" s="153">
        <v>70.34</v>
      </c>
      <c r="J324" s="153">
        <v>70.36</v>
      </c>
      <c r="K324" s="153">
        <v>70.319999999999993</v>
      </c>
      <c r="L324" s="153">
        <v>70.400000000000006</v>
      </c>
      <c r="M324" s="80">
        <f t="shared" si="8"/>
        <v>70.400000000000006</v>
      </c>
      <c r="N324" s="80">
        <f t="shared" si="9"/>
        <v>70.319999999999993</v>
      </c>
      <c r="O324" s="153">
        <v>21.19</v>
      </c>
      <c r="P324" s="153">
        <v>21.12</v>
      </c>
      <c r="Q324" s="153">
        <v>21.16</v>
      </c>
      <c r="R324" s="153">
        <v>21.13</v>
      </c>
      <c r="S324" s="4"/>
      <c r="U324" s="147" t="s">
        <v>402</v>
      </c>
      <c r="V324" s="11"/>
      <c r="W324" s="4"/>
      <c r="X324" s="12"/>
      <c r="Y324" s="14"/>
      <c r="Z324" s="4"/>
      <c r="AA324" s="13"/>
      <c r="AB324" s="11"/>
      <c r="AC324" s="4"/>
      <c r="AD324" s="12"/>
      <c r="AE324" s="13"/>
      <c r="AF324" s="14">
        <v>5.0187999999999997</v>
      </c>
      <c r="AG324" s="133"/>
      <c r="AI324" s="84"/>
      <c r="AL324" s="64">
        <v>4.1732436000000002</v>
      </c>
      <c r="AM324" s="56">
        <v>14.140000000000089</v>
      </c>
      <c r="AN324" s="56">
        <v>16.12000000000009</v>
      </c>
      <c r="AO324" s="62">
        <v>22.080000000000059</v>
      </c>
      <c r="AQ324" s="64">
        <v>4.0834882333333331</v>
      </c>
      <c r="AR324" s="56">
        <v>14.02000000000001</v>
      </c>
      <c r="AS324" s="56">
        <v>15.479999999999981</v>
      </c>
      <c r="AT324" s="62">
        <v>19.559999999999981</v>
      </c>
      <c r="AV324" s="64">
        <v>3.730886149999999</v>
      </c>
      <c r="AW324" s="56">
        <v>13.419999999999989</v>
      </c>
      <c r="AX324" s="56">
        <v>14.96000000000004</v>
      </c>
      <c r="AY324" s="62">
        <v>19.559999999999981</v>
      </c>
      <c r="BA324" s="64">
        <v>3.190416383333333</v>
      </c>
      <c r="BB324" s="56">
        <v>16.420000000000009</v>
      </c>
      <c r="BC324" s="56">
        <v>18.920000000000051</v>
      </c>
      <c r="BD324" s="62">
        <v>30.940000000000008</v>
      </c>
      <c r="BF324" s="64">
        <v>2.949352933333333</v>
      </c>
      <c r="BG324" s="56">
        <v>21</v>
      </c>
      <c r="BH324" s="56">
        <v>28.800000000000029</v>
      </c>
      <c r="BI324" s="62">
        <v>59.659999999999947</v>
      </c>
      <c r="BJ324" s="72"/>
      <c r="BK324" s="51"/>
    </row>
    <row r="325" spans="1:63" x14ac:dyDescent="0.4">
      <c r="A325" s="11" t="s">
        <v>403</v>
      </c>
      <c r="B325" s="4"/>
      <c r="C325" s="4"/>
      <c r="D325" s="4"/>
      <c r="E325" s="12"/>
      <c r="G325" s="147" t="s">
        <v>403</v>
      </c>
      <c r="H325" s="159">
        <v>70.072000000000003</v>
      </c>
      <c r="I325" s="153">
        <v>70.400000000000006</v>
      </c>
      <c r="J325" s="153">
        <v>70.3</v>
      </c>
      <c r="K325" s="153">
        <v>70.33</v>
      </c>
      <c r="L325" s="153">
        <v>70.31</v>
      </c>
      <c r="M325" s="80">
        <f t="shared" si="8"/>
        <v>70.400000000000006</v>
      </c>
      <c r="N325" s="80">
        <f t="shared" si="9"/>
        <v>70.3</v>
      </c>
      <c r="O325" s="153">
        <v>21.19</v>
      </c>
      <c r="P325" s="153">
        <v>21.03</v>
      </c>
      <c r="Q325" s="153">
        <v>21.1</v>
      </c>
      <c r="R325" s="153">
        <v>21</v>
      </c>
      <c r="S325" s="4"/>
      <c r="U325" s="147" t="s">
        <v>403</v>
      </c>
      <c r="V325" s="11"/>
      <c r="W325" s="4"/>
      <c r="X325" s="12"/>
      <c r="Y325" s="14"/>
      <c r="Z325" s="4"/>
      <c r="AA325" s="13"/>
      <c r="AB325" s="11"/>
      <c r="AC325" s="4"/>
      <c r="AD325" s="12"/>
      <c r="AE325" s="13"/>
      <c r="AF325" s="14">
        <v>5.0129000000000001</v>
      </c>
      <c r="AG325" s="133"/>
      <c r="AI325" s="84"/>
      <c r="AL325" s="64">
        <v>4.1735161166666668</v>
      </c>
      <c r="AM325" s="56">
        <v>13.91999999999989</v>
      </c>
      <c r="AN325" s="56">
        <v>15.87999999999994</v>
      </c>
      <c r="AO325" s="62">
        <v>21.78000000000004</v>
      </c>
      <c r="AQ325" s="64">
        <v>4.0825160166666654</v>
      </c>
      <c r="AR325" s="56">
        <v>13.659999999999959</v>
      </c>
      <c r="AS325" s="56">
        <v>15.120000000000109</v>
      </c>
      <c r="AT325" s="62">
        <v>19.140000000000072</v>
      </c>
      <c r="AV325" s="64">
        <v>3.7300101666666658</v>
      </c>
      <c r="AW325" s="56">
        <v>13.18000000000001</v>
      </c>
      <c r="AX325" s="56">
        <v>14.640000000000081</v>
      </c>
      <c r="AY325" s="62">
        <v>19.30000000000005</v>
      </c>
      <c r="BA325" s="64">
        <v>3.1878141499999999</v>
      </c>
      <c r="BB325" s="56">
        <v>16.760000000000019</v>
      </c>
      <c r="BC325" s="56">
        <v>19.240000000000009</v>
      </c>
      <c r="BD325" s="62">
        <v>31.25999999999998</v>
      </c>
      <c r="BF325" s="64">
        <v>2.934618533333333</v>
      </c>
      <c r="BG325" s="56">
        <v>21.10000000000003</v>
      </c>
      <c r="BH325" s="56">
        <v>28.939999999999969</v>
      </c>
      <c r="BI325" s="62">
        <v>60.44</v>
      </c>
      <c r="BJ325" s="69"/>
      <c r="BK325" s="51"/>
    </row>
    <row r="326" spans="1:63" x14ac:dyDescent="0.4">
      <c r="A326" s="11" t="s">
        <v>404</v>
      </c>
      <c r="B326" s="4"/>
      <c r="C326" s="4"/>
      <c r="D326" s="4"/>
      <c r="E326" s="12"/>
      <c r="G326" s="147" t="s">
        <v>404</v>
      </c>
      <c r="H326" s="159">
        <v>70.069000000000003</v>
      </c>
      <c r="I326" s="153">
        <v>70.31</v>
      </c>
      <c r="J326" s="153">
        <v>70.27</v>
      </c>
      <c r="K326" s="153">
        <v>70.349999999999994</v>
      </c>
      <c r="L326" s="153">
        <v>70.34</v>
      </c>
      <c r="M326" s="80">
        <f t="shared" ref="M326:M389" si="10">MAX(I326:L326)</f>
        <v>70.349999999999994</v>
      </c>
      <c r="N326" s="80">
        <f t="shared" ref="N326:N389" si="11">MIN(I326:L326)</f>
        <v>70.27</v>
      </c>
      <c r="O326" s="153">
        <v>21.18</v>
      </c>
      <c r="P326" s="153">
        <v>21.11</v>
      </c>
      <c r="Q326" s="153">
        <v>21.1</v>
      </c>
      <c r="R326" s="153">
        <v>21.08</v>
      </c>
      <c r="S326" s="4"/>
      <c r="U326" s="147" t="s">
        <v>404</v>
      </c>
      <c r="V326" s="11"/>
      <c r="W326" s="4"/>
      <c r="X326" s="12"/>
      <c r="Y326" s="14"/>
      <c r="Z326" s="4"/>
      <c r="AA326" s="13"/>
      <c r="AB326" s="11"/>
      <c r="AC326" s="4"/>
      <c r="AD326" s="12"/>
      <c r="AE326" s="13"/>
      <c r="AF326" s="14">
        <v>5.0125999999999999</v>
      </c>
      <c r="AG326" s="133"/>
      <c r="AI326" s="84"/>
      <c r="AL326" s="64">
        <v>4.1733641833333337</v>
      </c>
      <c r="AM326" s="56">
        <v>14.780000000000021</v>
      </c>
      <c r="AN326" s="56">
        <v>16.8000000000001</v>
      </c>
      <c r="AO326" s="62">
        <v>22.84000000000006</v>
      </c>
      <c r="AQ326" s="64">
        <v>4.0833651833333331</v>
      </c>
      <c r="AR326" s="56">
        <v>14.280000000000109</v>
      </c>
      <c r="AS326" s="56">
        <v>15.78</v>
      </c>
      <c r="AT326" s="62">
        <v>19.899999999999981</v>
      </c>
      <c r="AV326" s="64">
        <v>3.730208283333333</v>
      </c>
      <c r="AW326" s="56">
        <v>13.78000000000004</v>
      </c>
      <c r="AX326" s="56">
        <v>15.30000000000005</v>
      </c>
      <c r="AY326" s="62">
        <v>20.04000000000001</v>
      </c>
      <c r="BA326" s="64">
        <v>3.1858661166666669</v>
      </c>
      <c r="BB326" s="56">
        <v>17.160000000000061</v>
      </c>
      <c r="BC326" s="56">
        <v>19.760000000000041</v>
      </c>
      <c r="BD326" s="62">
        <v>32.060000000000073</v>
      </c>
      <c r="BF326" s="64">
        <v>2.9456532499999999</v>
      </c>
      <c r="BG326" s="56">
        <v>21.739999999999959</v>
      </c>
      <c r="BH326" s="56">
        <v>29.479999999999951</v>
      </c>
      <c r="BI326" s="62">
        <v>60.280000000000022</v>
      </c>
      <c r="BJ326" s="72"/>
      <c r="BK326" s="51"/>
    </row>
    <row r="327" spans="1:63" x14ac:dyDescent="0.4">
      <c r="A327" s="11" t="s">
        <v>405</v>
      </c>
      <c r="B327" s="4"/>
      <c r="C327" s="4"/>
      <c r="D327" s="4"/>
      <c r="E327" s="12"/>
      <c r="G327" s="147" t="s">
        <v>405</v>
      </c>
      <c r="H327" s="159">
        <v>70.069999999999993</v>
      </c>
      <c r="I327" s="153">
        <v>70.28</v>
      </c>
      <c r="J327" s="153">
        <v>70.31</v>
      </c>
      <c r="K327" s="153">
        <v>70.39</v>
      </c>
      <c r="L327" s="153">
        <v>70.3</v>
      </c>
      <c r="M327" s="80">
        <f t="shared" si="10"/>
        <v>70.39</v>
      </c>
      <c r="N327" s="80">
        <f t="shared" si="11"/>
        <v>70.28</v>
      </c>
      <c r="O327" s="153">
        <v>21.19</v>
      </c>
      <c r="P327" s="153">
        <v>21.13</v>
      </c>
      <c r="Q327" s="153">
        <v>21.09</v>
      </c>
      <c r="R327" s="153">
        <v>21.01</v>
      </c>
      <c r="S327" s="4"/>
      <c r="U327" s="147" t="s">
        <v>405</v>
      </c>
      <c r="V327" s="11"/>
      <c r="W327" s="4"/>
      <c r="X327" s="12"/>
      <c r="Y327" s="14"/>
      <c r="Z327" s="4"/>
      <c r="AA327" s="13"/>
      <c r="AB327" s="11"/>
      <c r="AC327" s="4"/>
      <c r="AD327" s="36"/>
      <c r="AE327" s="13"/>
      <c r="AF327" s="14">
        <v>5.0122</v>
      </c>
      <c r="AG327" s="133"/>
      <c r="AI327" s="84"/>
      <c r="AL327" s="64">
        <v>4.1733288166666664</v>
      </c>
      <c r="AM327" s="56">
        <v>14.620000000000029</v>
      </c>
      <c r="AN327" s="56">
        <v>16.600000000000041</v>
      </c>
      <c r="AO327" s="62">
        <v>22.520000000000099</v>
      </c>
      <c r="AQ327" s="64">
        <v>4.0817578166666673</v>
      </c>
      <c r="AR327" s="56">
        <v>14.440000000000101</v>
      </c>
      <c r="AS327" s="56">
        <v>15.920000000000019</v>
      </c>
      <c r="AT327" s="62">
        <v>20.02000000000006</v>
      </c>
      <c r="AV327" s="64">
        <v>3.7287885333333342</v>
      </c>
      <c r="AW327" s="56">
        <v>13.69999999999996</v>
      </c>
      <c r="AX327" s="56">
        <v>15.139999999999979</v>
      </c>
      <c r="AY327" s="62">
        <v>19.859999999999989</v>
      </c>
      <c r="BA327" s="64">
        <v>3.1860370499999999</v>
      </c>
      <c r="BB327" s="56">
        <v>16.319999999999979</v>
      </c>
      <c r="BC327" s="56">
        <v>18.780000000000019</v>
      </c>
      <c r="BD327" s="62">
        <v>30.68</v>
      </c>
      <c r="BF327" s="64">
        <v>2.9285358333333331</v>
      </c>
      <c r="BG327" s="56">
        <v>20.16</v>
      </c>
      <c r="BH327" s="56">
        <v>27.02</v>
      </c>
      <c r="BI327" s="62">
        <v>56.339999999999968</v>
      </c>
      <c r="BJ327" s="72"/>
      <c r="BK327" s="51"/>
    </row>
    <row r="328" spans="1:63" x14ac:dyDescent="0.4">
      <c r="A328" s="11" t="s">
        <v>406</v>
      </c>
      <c r="B328" s="4"/>
      <c r="C328" s="4"/>
      <c r="D328" s="4"/>
      <c r="E328" s="12"/>
      <c r="G328" s="147" t="s">
        <v>406</v>
      </c>
      <c r="H328" s="159">
        <v>70.058000000000007</v>
      </c>
      <c r="I328" s="153">
        <v>70.290000000000006</v>
      </c>
      <c r="J328" s="153">
        <v>70.33</v>
      </c>
      <c r="K328" s="153">
        <v>70.400000000000006</v>
      </c>
      <c r="L328" s="153">
        <v>70.3</v>
      </c>
      <c r="M328" s="80">
        <f t="shared" si="10"/>
        <v>70.400000000000006</v>
      </c>
      <c r="N328" s="80">
        <f t="shared" si="11"/>
        <v>70.290000000000006</v>
      </c>
      <c r="O328" s="153">
        <v>21.08</v>
      </c>
      <c r="P328" s="153">
        <v>21.07</v>
      </c>
      <c r="Q328" s="153">
        <v>21.12</v>
      </c>
      <c r="R328" s="153">
        <v>21.07</v>
      </c>
      <c r="S328" s="4"/>
      <c r="U328" s="147" t="s">
        <v>406</v>
      </c>
      <c r="V328" s="11"/>
      <c r="W328" s="4"/>
      <c r="X328" s="12"/>
      <c r="Y328" s="14"/>
      <c r="Z328" s="4"/>
      <c r="AA328" s="13"/>
      <c r="AB328" s="11"/>
      <c r="AC328" s="4"/>
      <c r="AD328" s="12"/>
      <c r="AE328" s="13"/>
      <c r="AF328" s="14">
        <v>5.0153999999999996</v>
      </c>
      <c r="AG328" s="133"/>
      <c r="AI328" s="84"/>
      <c r="AL328" s="64">
        <v>4.17321265</v>
      </c>
      <c r="AM328" s="56">
        <v>14.31999999999984</v>
      </c>
      <c r="AN328" s="56">
        <v>16.279999999999891</v>
      </c>
      <c r="AO328" s="62">
        <v>22.18</v>
      </c>
      <c r="AQ328" s="64">
        <v>4.0813938833333339</v>
      </c>
      <c r="AR328" s="56">
        <v>13.86000000000003</v>
      </c>
      <c r="AS328" s="56">
        <v>15.32</v>
      </c>
      <c r="AT328" s="62">
        <v>19.40000000000008</v>
      </c>
      <c r="AV328" s="64">
        <v>3.7286274166666669</v>
      </c>
      <c r="AW328" s="56">
        <v>13.26000000000001</v>
      </c>
      <c r="AX328" s="56">
        <v>14.67999999999998</v>
      </c>
      <c r="AY328" s="62">
        <v>19.339999999999961</v>
      </c>
      <c r="BA328" s="64">
        <v>3.185947866666667</v>
      </c>
      <c r="BB328" s="56">
        <v>15.80000000000004</v>
      </c>
      <c r="BC328" s="56">
        <v>18.219999999999992</v>
      </c>
      <c r="BD328" s="62">
        <v>29.980000000000029</v>
      </c>
      <c r="BF328" s="64">
        <v>2.9260886666666668</v>
      </c>
      <c r="BG328" s="56">
        <v>19.70000000000001</v>
      </c>
      <c r="BH328" s="56">
        <v>26.379999999999981</v>
      </c>
      <c r="BI328" s="62">
        <v>55.540000000000063</v>
      </c>
      <c r="BJ328" s="72"/>
      <c r="BK328" s="51"/>
    </row>
    <row r="329" spans="1:63" x14ac:dyDescent="0.4">
      <c r="A329" s="11" t="s">
        <v>407</v>
      </c>
      <c r="B329" s="4"/>
      <c r="C329" s="4"/>
      <c r="D329" s="4"/>
      <c r="E329" s="12"/>
      <c r="G329" s="147" t="s">
        <v>407</v>
      </c>
      <c r="H329" s="159">
        <v>70.088999999999999</v>
      </c>
      <c r="I329" s="153">
        <v>70.36</v>
      </c>
      <c r="J329" s="153">
        <v>70.37</v>
      </c>
      <c r="K329" s="153">
        <v>70.3</v>
      </c>
      <c r="L329" s="153">
        <v>70.36</v>
      </c>
      <c r="M329" s="80">
        <f t="shared" si="10"/>
        <v>70.37</v>
      </c>
      <c r="N329" s="80">
        <f t="shared" si="11"/>
        <v>70.3</v>
      </c>
      <c r="O329" s="153">
        <v>21.14</v>
      </c>
      <c r="P329" s="153">
        <v>21.11</v>
      </c>
      <c r="Q329" s="153">
        <v>21.06</v>
      </c>
      <c r="R329" s="153">
        <v>21.02</v>
      </c>
      <c r="S329" s="4"/>
      <c r="U329" s="147" t="s">
        <v>407</v>
      </c>
      <c r="V329" s="11"/>
      <c r="W329" s="4"/>
      <c r="X329" s="12"/>
      <c r="Y329" s="14"/>
      <c r="Z329" s="4"/>
      <c r="AA329" s="13"/>
      <c r="AB329" s="11"/>
      <c r="AC329" s="4"/>
      <c r="AD329" s="12"/>
      <c r="AE329" s="13"/>
      <c r="AF329" s="14">
        <v>5.0170000000000003</v>
      </c>
      <c r="AG329" s="133"/>
      <c r="AI329" s="84"/>
      <c r="AL329" s="64">
        <v>4.1733593499999992</v>
      </c>
      <c r="AM329" s="56">
        <v>15.16000000000002</v>
      </c>
      <c r="AN329" s="56">
        <v>17.20000000000006</v>
      </c>
      <c r="AO329" s="62">
        <v>23.200000000000109</v>
      </c>
      <c r="AQ329" s="64">
        <v>4.0815046333333331</v>
      </c>
      <c r="AR329" s="56">
        <v>14.780000000000021</v>
      </c>
      <c r="AS329" s="56">
        <v>16.280000000000069</v>
      </c>
      <c r="AT329" s="62">
        <v>20.460000000000012</v>
      </c>
      <c r="AV329" s="64">
        <v>3.7288582333333342</v>
      </c>
      <c r="AW329" s="56">
        <v>14.179999999999991</v>
      </c>
      <c r="AX329" s="56">
        <v>15.7</v>
      </c>
      <c r="AY329" s="62">
        <v>20.51999999999996</v>
      </c>
      <c r="BA329" s="64">
        <v>3.1865239999999999</v>
      </c>
      <c r="BB329" s="56">
        <v>16.680000000000032</v>
      </c>
      <c r="BC329" s="56">
        <v>19.200000000000021</v>
      </c>
      <c r="BD329" s="62">
        <v>31.179999999999989</v>
      </c>
      <c r="BF329" s="64">
        <v>2.9244369333333329</v>
      </c>
      <c r="BG329" s="56">
        <v>20.600000000000041</v>
      </c>
      <c r="BH329" s="56">
        <v>27.46000000000004</v>
      </c>
      <c r="BI329" s="62">
        <v>56.960000000000029</v>
      </c>
      <c r="BJ329" s="72"/>
      <c r="BK329" s="51"/>
    </row>
    <row r="330" spans="1:63" x14ac:dyDescent="0.4">
      <c r="A330" s="11" t="s">
        <v>408</v>
      </c>
      <c r="B330" s="4"/>
      <c r="C330" s="4"/>
      <c r="D330" s="4"/>
      <c r="E330" s="12"/>
      <c r="G330" s="147" t="s">
        <v>408</v>
      </c>
      <c r="H330" s="159">
        <v>69.992000000000004</v>
      </c>
      <c r="I330" s="153">
        <v>70.319999999999993</v>
      </c>
      <c r="J330" s="153">
        <v>70.349999999999994</v>
      </c>
      <c r="K330" s="153">
        <v>70.349999999999994</v>
      </c>
      <c r="L330" s="153">
        <v>70.34</v>
      </c>
      <c r="M330" s="80">
        <f t="shared" si="10"/>
        <v>70.349999999999994</v>
      </c>
      <c r="N330" s="80">
        <f t="shared" si="11"/>
        <v>70.319999999999993</v>
      </c>
      <c r="O330" s="153">
        <v>21.2</v>
      </c>
      <c r="P330" s="153">
        <v>21.03</v>
      </c>
      <c r="Q330" s="153">
        <v>21.13</v>
      </c>
      <c r="R330" s="153">
        <v>21.1</v>
      </c>
      <c r="S330" s="4"/>
      <c r="U330" s="147" t="s">
        <v>408</v>
      </c>
      <c r="V330" s="11"/>
      <c r="W330" s="4"/>
      <c r="X330" s="12"/>
      <c r="Y330" s="14"/>
      <c r="Z330" s="4"/>
      <c r="AA330" s="13"/>
      <c r="AB330" s="11"/>
      <c r="AC330" s="4"/>
      <c r="AD330" s="12"/>
      <c r="AE330" s="13"/>
      <c r="AF330" s="14">
        <v>5.0122999999999998</v>
      </c>
      <c r="AG330" s="133"/>
      <c r="AI330" s="84"/>
      <c r="AL330" s="64">
        <v>4.1734258499999992</v>
      </c>
      <c r="AM330" s="56">
        <v>14.30000000000007</v>
      </c>
      <c r="AN330" s="56">
        <v>16.280000000000069</v>
      </c>
      <c r="AO330" s="62">
        <v>22.240000000000041</v>
      </c>
      <c r="AQ330" s="64">
        <v>4.081816616666667</v>
      </c>
      <c r="AR330" s="56">
        <v>13.899999999999929</v>
      </c>
      <c r="AS330" s="56">
        <v>15.38000000000004</v>
      </c>
      <c r="AT330" s="62">
        <v>19.460000000000029</v>
      </c>
      <c r="AV330" s="64">
        <v>3.7287943833333341</v>
      </c>
      <c r="AW330" s="56">
        <v>13.18000000000001</v>
      </c>
      <c r="AX330" s="56">
        <v>14.599999999999991</v>
      </c>
      <c r="AY330" s="62">
        <v>19.25999999999997</v>
      </c>
      <c r="BA330" s="64">
        <v>3.1865605166666668</v>
      </c>
      <c r="BB330" s="56">
        <v>15.63999999999997</v>
      </c>
      <c r="BC330" s="56">
        <v>18.080000000000052</v>
      </c>
      <c r="BD330" s="62">
        <v>29.84</v>
      </c>
      <c r="BF330" s="64">
        <v>2.9312527166666671</v>
      </c>
      <c r="BG330" s="56">
        <v>19.420000000000041</v>
      </c>
      <c r="BH330" s="56">
        <v>26.080000000000059</v>
      </c>
      <c r="BI330" s="62">
        <v>54.88</v>
      </c>
      <c r="BJ330" s="72"/>
      <c r="BK330" s="51"/>
    </row>
    <row r="331" spans="1:63" x14ac:dyDescent="0.4">
      <c r="A331" s="11" t="s">
        <v>409</v>
      </c>
      <c r="B331" s="4"/>
      <c r="C331" s="4"/>
      <c r="D331" s="4"/>
      <c r="E331" s="12"/>
      <c r="G331" s="147" t="s">
        <v>409</v>
      </c>
      <c r="H331" s="159">
        <v>70.085999999999999</v>
      </c>
      <c r="I331" s="153">
        <v>70.28</v>
      </c>
      <c r="J331" s="153">
        <v>70.38</v>
      </c>
      <c r="K331" s="153">
        <v>70.31</v>
      </c>
      <c r="L331" s="153">
        <v>70.290000000000006</v>
      </c>
      <c r="M331" s="80">
        <f t="shared" si="10"/>
        <v>70.38</v>
      </c>
      <c r="N331" s="80">
        <f t="shared" si="11"/>
        <v>70.28</v>
      </c>
      <c r="O331" s="153">
        <v>21.17</v>
      </c>
      <c r="P331" s="153">
        <v>21.04</v>
      </c>
      <c r="Q331" s="153">
        <v>21.13</v>
      </c>
      <c r="R331" s="153">
        <v>21.08</v>
      </c>
      <c r="S331" s="4"/>
      <c r="U331" s="147" t="s">
        <v>409</v>
      </c>
      <c r="V331" s="11"/>
      <c r="W331" s="4"/>
      <c r="X331" s="12"/>
      <c r="Y331" s="14"/>
      <c r="Z331" s="4"/>
      <c r="AA331" s="13"/>
      <c r="AB331" s="11"/>
      <c r="AC331" s="4"/>
      <c r="AD331" s="12"/>
      <c r="AE331" s="13"/>
      <c r="AF331" s="14">
        <v>5.0152000000000001</v>
      </c>
      <c r="AG331" s="133"/>
      <c r="AI331" s="84"/>
      <c r="AL331" s="64">
        <v>4.1735995166666662</v>
      </c>
      <c r="AM331" s="56">
        <v>14.67999999999989</v>
      </c>
      <c r="AN331" s="56">
        <v>16.719999999999931</v>
      </c>
      <c r="AO331" s="62">
        <v>22.89999999999992</v>
      </c>
      <c r="AQ331" s="64">
        <v>4.0825971166666664</v>
      </c>
      <c r="AR331" s="56">
        <v>14.499999999999959</v>
      </c>
      <c r="AS331" s="56">
        <v>16.000000000000011</v>
      </c>
      <c r="AT331" s="62">
        <v>20.139999999999961</v>
      </c>
      <c r="AV331" s="64">
        <v>3.7290027833333328</v>
      </c>
      <c r="AW331" s="56">
        <v>14.15999999999995</v>
      </c>
      <c r="AX331" s="56">
        <v>15.71999999999996</v>
      </c>
      <c r="AY331" s="62">
        <v>20.58</v>
      </c>
      <c r="BA331" s="64">
        <v>3.1830451499999999</v>
      </c>
      <c r="BB331" s="56">
        <v>16.239999999999991</v>
      </c>
      <c r="BC331" s="56">
        <v>18.719999999999981</v>
      </c>
      <c r="BD331" s="62">
        <v>30.68</v>
      </c>
      <c r="BF331" s="64">
        <v>2.908600933333334</v>
      </c>
      <c r="BG331" s="56">
        <v>20.080000000000009</v>
      </c>
      <c r="BH331" s="56">
        <v>26.480000000000011</v>
      </c>
      <c r="BI331" s="62">
        <v>56.700000000000017</v>
      </c>
      <c r="BJ331" s="72"/>
      <c r="BK331" s="51"/>
    </row>
    <row r="332" spans="1:63" x14ac:dyDescent="0.4">
      <c r="A332" s="11" t="s">
        <v>410</v>
      </c>
      <c r="B332" s="4"/>
      <c r="C332" s="4"/>
      <c r="D332" s="4"/>
      <c r="E332" s="12"/>
      <c r="G332" s="147" t="s">
        <v>410</v>
      </c>
      <c r="H332" s="159">
        <v>70.013000000000005</v>
      </c>
      <c r="I332" s="153">
        <v>70.28</v>
      </c>
      <c r="J332" s="153">
        <v>70.349999999999994</v>
      </c>
      <c r="K332" s="153">
        <v>70.36</v>
      </c>
      <c r="L332" s="153">
        <v>70.27</v>
      </c>
      <c r="M332" s="80">
        <f t="shared" si="10"/>
        <v>70.36</v>
      </c>
      <c r="N332" s="80">
        <f t="shared" si="11"/>
        <v>70.27</v>
      </c>
      <c r="O332" s="153">
        <v>21.08</v>
      </c>
      <c r="P332" s="153">
        <v>21.07</v>
      </c>
      <c r="Q332" s="153">
        <v>21.12</v>
      </c>
      <c r="R332" s="153">
        <v>21.03</v>
      </c>
      <c r="S332" s="4"/>
      <c r="U332" s="147" t="s">
        <v>410</v>
      </c>
      <c r="V332" s="11"/>
      <c r="W332" s="4"/>
      <c r="X332" s="12"/>
      <c r="Y332" s="14"/>
      <c r="Z332" s="4"/>
      <c r="AA332" s="13"/>
      <c r="AB332" s="11"/>
      <c r="AC332" s="4"/>
      <c r="AD332" s="12"/>
      <c r="AE332" s="13"/>
      <c r="AF332" s="14">
        <v>5.0166000000000004</v>
      </c>
      <c r="AG332" s="133"/>
      <c r="AI332" s="84"/>
      <c r="AL332" s="64">
        <v>4.1735971833333334</v>
      </c>
      <c r="AM332" s="56">
        <v>14.31999999999984</v>
      </c>
      <c r="AN332" s="56">
        <v>16.299999999999851</v>
      </c>
      <c r="AO332" s="62">
        <v>22.259999999999991</v>
      </c>
      <c r="AQ332" s="64">
        <v>4.0814820000000003</v>
      </c>
      <c r="AR332" s="56">
        <v>13.940000000000021</v>
      </c>
      <c r="AS332" s="56">
        <v>15.39999999999999</v>
      </c>
      <c r="AT332" s="62">
        <v>19.47999999999999</v>
      </c>
      <c r="AV332" s="64">
        <v>3.7287536000000001</v>
      </c>
      <c r="AW332" s="56">
        <v>13.34</v>
      </c>
      <c r="AX332" s="56">
        <v>14.780000000000021</v>
      </c>
      <c r="AY332" s="62">
        <v>19.500000000000028</v>
      </c>
      <c r="BA332" s="64">
        <v>3.1859067666666658</v>
      </c>
      <c r="BB332" s="56">
        <v>15.899999999999981</v>
      </c>
      <c r="BC332" s="56">
        <v>18.339999999999979</v>
      </c>
      <c r="BD332" s="62">
        <v>30.140000000000011</v>
      </c>
      <c r="BF332" s="64">
        <v>2.9233160499999999</v>
      </c>
      <c r="BG332" s="56">
        <v>19.759999999999959</v>
      </c>
      <c r="BH332" s="56">
        <v>26.480000000000011</v>
      </c>
      <c r="BI332" s="62">
        <v>55.90000000000002</v>
      </c>
      <c r="BJ332" s="72"/>
      <c r="BK332" s="51"/>
    </row>
    <row r="333" spans="1:63" x14ac:dyDescent="0.4">
      <c r="A333" s="11" t="s">
        <v>411</v>
      </c>
      <c r="B333" s="4"/>
      <c r="C333" s="4"/>
      <c r="D333" s="4"/>
      <c r="E333" s="12"/>
      <c r="G333" s="147" t="s">
        <v>411</v>
      </c>
      <c r="H333" s="159">
        <v>70.063000000000002</v>
      </c>
      <c r="I333" s="153">
        <v>70.34</v>
      </c>
      <c r="J333" s="153">
        <v>70.3</v>
      </c>
      <c r="K333" s="153">
        <v>70.349999999999994</v>
      </c>
      <c r="L333" s="153">
        <v>70.290000000000006</v>
      </c>
      <c r="M333" s="80">
        <f t="shared" si="10"/>
        <v>70.349999999999994</v>
      </c>
      <c r="N333" s="80">
        <f t="shared" si="11"/>
        <v>70.290000000000006</v>
      </c>
      <c r="O333" s="153">
        <v>21.13</v>
      </c>
      <c r="P333" s="153">
        <v>21.11</v>
      </c>
      <c r="Q333" s="153">
        <v>21.13</v>
      </c>
      <c r="R333" s="153">
        <v>21.03</v>
      </c>
      <c r="S333" s="4"/>
      <c r="U333" s="147" t="s">
        <v>411</v>
      </c>
      <c r="V333" s="11"/>
      <c r="W333" s="4"/>
      <c r="X333" s="12"/>
      <c r="Y333" s="14"/>
      <c r="Z333" s="4"/>
      <c r="AA333" s="13"/>
      <c r="AB333" s="11"/>
      <c r="AC333" s="4"/>
      <c r="AD333" s="12"/>
      <c r="AE333" s="13"/>
      <c r="AF333" s="14">
        <v>5.0137999999999998</v>
      </c>
      <c r="AG333" s="133"/>
      <c r="AI333" s="84"/>
      <c r="AL333" s="64">
        <v>4.173537333333333</v>
      </c>
      <c r="AM333" s="56">
        <v>14.57999999999995</v>
      </c>
      <c r="AN333" s="56">
        <v>16.559999999999949</v>
      </c>
      <c r="AO333" s="62">
        <v>22.56</v>
      </c>
      <c r="AQ333" s="64">
        <v>4.0824979833333321</v>
      </c>
      <c r="AR333" s="56">
        <v>14.25999999999998</v>
      </c>
      <c r="AS333" s="56">
        <v>15.73999999999991</v>
      </c>
      <c r="AT333" s="62">
        <v>19.899999999999899</v>
      </c>
      <c r="AV333" s="64">
        <v>3.729944933333333</v>
      </c>
      <c r="AW333" s="56">
        <v>13.56000000000002</v>
      </c>
      <c r="AX333" s="56">
        <v>15.040000000000029</v>
      </c>
      <c r="AY333" s="62">
        <v>19.759999999999959</v>
      </c>
      <c r="BA333" s="64">
        <v>3.1878061666666659</v>
      </c>
      <c r="BB333" s="56">
        <v>15.7</v>
      </c>
      <c r="BC333" s="56">
        <v>18.119999999999958</v>
      </c>
      <c r="BD333" s="62">
        <v>29.819999999999961</v>
      </c>
      <c r="BF333" s="64">
        <v>2.923120233333333</v>
      </c>
      <c r="BG333" s="56">
        <v>19.620000000000019</v>
      </c>
      <c r="BH333" s="56">
        <v>26.339999999999989</v>
      </c>
      <c r="BI333" s="62">
        <v>55.860000000000021</v>
      </c>
      <c r="BJ333" s="72"/>
      <c r="BK333" s="51"/>
    </row>
    <row r="334" spans="1:63" x14ac:dyDescent="0.4">
      <c r="A334" s="11" t="s">
        <v>412</v>
      </c>
      <c r="B334" s="4"/>
      <c r="C334" s="4"/>
      <c r="D334" s="4"/>
      <c r="E334" s="12"/>
      <c r="G334" s="147" t="s">
        <v>412</v>
      </c>
      <c r="H334" s="159">
        <v>70.206000000000003</v>
      </c>
      <c r="I334" s="153">
        <v>70.36</v>
      </c>
      <c r="J334" s="153">
        <v>70.319999999999993</v>
      </c>
      <c r="K334" s="153">
        <v>70.39</v>
      </c>
      <c r="L334" s="153">
        <v>70.290000000000006</v>
      </c>
      <c r="M334" s="80">
        <f t="shared" si="10"/>
        <v>70.39</v>
      </c>
      <c r="N334" s="80">
        <f t="shared" si="11"/>
        <v>70.290000000000006</v>
      </c>
      <c r="O334" s="153">
        <v>21.18</v>
      </c>
      <c r="P334" s="153">
        <v>21.15</v>
      </c>
      <c r="Q334" s="153">
        <v>21.14</v>
      </c>
      <c r="R334" s="153">
        <v>21.11</v>
      </c>
      <c r="S334" s="4"/>
      <c r="U334" s="147" t="s">
        <v>412</v>
      </c>
      <c r="V334" s="11"/>
      <c r="W334" s="4"/>
      <c r="X334" s="12"/>
      <c r="Y334" s="14"/>
      <c r="Z334" s="4"/>
      <c r="AA334" s="13"/>
      <c r="AB334" s="11"/>
      <c r="AC334" s="4"/>
      <c r="AD334" s="12"/>
      <c r="AE334" s="13"/>
      <c r="AF334" s="14">
        <v>5.0308000000000002</v>
      </c>
      <c r="AG334" s="133"/>
      <c r="AI334" s="84"/>
      <c r="AL334" s="64">
        <v>4.1733925333333328</v>
      </c>
      <c r="AM334" s="56">
        <v>14.799999999999971</v>
      </c>
      <c r="AN334" s="56">
        <v>16.820000000000061</v>
      </c>
      <c r="AO334" s="62">
        <v>23.02</v>
      </c>
      <c r="AQ334" s="64">
        <v>4.0822785833333342</v>
      </c>
      <c r="AR334" s="56">
        <v>14.35999999999993</v>
      </c>
      <c r="AS334" s="56">
        <v>15.84000000000003</v>
      </c>
      <c r="AT334" s="62">
        <v>19.979999999999979</v>
      </c>
      <c r="AV334" s="64">
        <v>3.7295846500000001</v>
      </c>
      <c r="AW334" s="56">
        <v>13.57999999999997</v>
      </c>
      <c r="AX334" s="56">
        <v>15.019999999999991</v>
      </c>
      <c r="AY334" s="62">
        <v>19.739999999999998</v>
      </c>
      <c r="BA334" s="64">
        <v>3.1874295166666671</v>
      </c>
      <c r="BB334" s="56">
        <v>15.84000000000003</v>
      </c>
      <c r="BC334" s="56">
        <v>18.259999999999991</v>
      </c>
      <c r="BD334" s="62">
        <v>30.06000000000002</v>
      </c>
      <c r="BF334" s="64">
        <v>2.9281004166666671</v>
      </c>
      <c r="BG334" s="56">
        <v>19.559999999999981</v>
      </c>
      <c r="BH334" s="56">
        <v>26.41999999999998</v>
      </c>
      <c r="BI334" s="62">
        <v>55.779999999999937</v>
      </c>
      <c r="BJ334" s="72"/>
      <c r="BK334" s="51"/>
    </row>
    <row r="335" spans="1:63" x14ac:dyDescent="0.4">
      <c r="A335" s="11" t="s">
        <v>413</v>
      </c>
      <c r="B335" s="4"/>
      <c r="C335" s="4"/>
      <c r="D335" s="4"/>
      <c r="E335" s="12"/>
      <c r="G335" s="147" t="s">
        <v>413</v>
      </c>
      <c r="H335" s="159">
        <v>70.128</v>
      </c>
      <c r="I335" s="153">
        <v>70.31</v>
      </c>
      <c r="J335" s="153">
        <v>70.28</v>
      </c>
      <c r="K335" s="153">
        <v>70.39</v>
      </c>
      <c r="L335" s="153">
        <v>70.38</v>
      </c>
      <c r="M335" s="80">
        <f t="shared" si="10"/>
        <v>70.39</v>
      </c>
      <c r="N335" s="80">
        <f t="shared" si="11"/>
        <v>70.28</v>
      </c>
      <c r="O335" s="153">
        <v>21.17</v>
      </c>
      <c r="P335" s="153">
        <v>21.02</v>
      </c>
      <c r="Q335" s="153">
        <v>21.11</v>
      </c>
      <c r="R335" s="153">
        <v>21.04</v>
      </c>
      <c r="S335" s="4"/>
      <c r="U335" s="147" t="s">
        <v>413</v>
      </c>
      <c r="V335" s="11"/>
      <c r="W335" s="4"/>
      <c r="X335" s="12"/>
      <c r="Y335" s="14"/>
      <c r="Z335" s="4"/>
      <c r="AA335" s="13"/>
      <c r="AB335" s="11"/>
      <c r="AC335" s="4"/>
      <c r="AD335" s="12"/>
      <c r="AE335" s="13"/>
      <c r="AF335" s="14">
        <v>5.0288000000000004</v>
      </c>
      <c r="AG335" s="133"/>
      <c r="AI335" s="84"/>
      <c r="AL335" s="64">
        <v>4.1728413</v>
      </c>
      <c r="AM335" s="56">
        <v>13.959999999999971</v>
      </c>
      <c r="AN335" s="56">
        <v>15.939999999999969</v>
      </c>
      <c r="AO335" s="62">
        <v>21.939999999999849</v>
      </c>
      <c r="AQ335" s="64">
        <v>4.083763883333333</v>
      </c>
      <c r="AR335" s="56">
        <v>13.9800000000001</v>
      </c>
      <c r="AS335" s="56">
        <v>15.41999999999994</v>
      </c>
      <c r="AT335" s="62">
        <v>19.519999999999978</v>
      </c>
      <c r="AV335" s="64">
        <v>3.7320003833333328</v>
      </c>
      <c r="AW335" s="56">
        <v>13.34</v>
      </c>
      <c r="AX335" s="56">
        <v>14.780000000000021</v>
      </c>
      <c r="AY335" s="62">
        <v>19.47999999999999</v>
      </c>
      <c r="BA335" s="64">
        <v>3.1938058833333329</v>
      </c>
      <c r="BB335" s="56">
        <v>15.140000000000059</v>
      </c>
      <c r="BC335" s="56">
        <v>17.480000000000029</v>
      </c>
      <c r="BD335" s="62">
        <v>28.920000000000009</v>
      </c>
      <c r="BF335" s="64">
        <v>2.926475616666667</v>
      </c>
      <c r="BG335" s="56">
        <v>19.000000000000039</v>
      </c>
      <c r="BH335" s="56">
        <v>25.61999999999998</v>
      </c>
      <c r="BI335" s="62">
        <v>54.84</v>
      </c>
      <c r="BJ335" s="69"/>
      <c r="BK335" s="51"/>
    </row>
    <row r="336" spans="1:63" x14ac:dyDescent="0.4">
      <c r="A336" s="11" t="s">
        <v>414</v>
      </c>
      <c r="B336" s="4"/>
      <c r="C336" s="4"/>
      <c r="D336" s="4"/>
      <c r="E336" s="12"/>
      <c r="G336" s="147" t="s">
        <v>414</v>
      </c>
      <c r="H336" s="159">
        <v>70.076999999999998</v>
      </c>
      <c r="I336" s="153">
        <v>70.3</v>
      </c>
      <c r="J336" s="153">
        <v>70.36</v>
      </c>
      <c r="K336" s="153">
        <v>70.38</v>
      </c>
      <c r="L336" s="153">
        <v>70.34</v>
      </c>
      <c r="M336" s="80">
        <f t="shared" si="10"/>
        <v>70.38</v>
      </c>
      <c r="N336" s="80">
        <f t="shared" si="11"/>
        <v>70.3</v>
      </c>
      <c r="O336" s="153">
        <v>21.2</v>
      </c>
      <c r="P336" s="153">
        <v>21.12</v>
      </c>
      <c r="Q336" s="153">
        <v>21.14</v>
      </c>
      <c r="R336" s="153">
        <v>21.09</v>
      </c>
      <c r="S336" s="4"/>
      <c r="U336" s="147" t="s">
        <v>414</v>
      </c>
      <c r="V336" s="11"/>
      <c r="W336" s="4"/>
      <c r="X336" s="12"/>
      <c r="Y336" s="14"/>
      <c r="Z336" s="4"/>
      <c r="AA336" s="13"/>
      <c r="AB336" s="11"/>
      <c r="AC336" s="4"/>
      <c r="AD336" s="12"/>
      <c r="AE336" s="13"/>
      <c r="AF336" s="14">
        <v>5.0168999999999997</v>
      </c>
      <c r="AG336" s="133"/>
      <c r="AI336" s="84"/>
      <c r="AL336" s="64">
        <v>4.1731474333333338</v>
      </c>
      <c r="AM336" s="56">
        <v>14.719999999999979</v>
      </c>
      <c r="AN336" s="56">
        <v>16.719999999999931</v>
      </c>
      <c r="AO336" s="62">
        <v>22.69999999999985</v>
      </c>
      <c r="AQ336" s="64">
        <v>4.0811948166666676</v>
      </c>
      <c r="AR336" s="56">
        <v>14.460000000000051</v>
      </c>
      <c r="AS336" s="56">
        <v>15.939999999999969</v>
      </c>
      <c r="AT336" s="62">
        <v>20.05999999999997</v>
      </c>
      <c r="AV336" s="64">
        <v>3.729087250000001</v>
      </c>
      <c r="AW336" s="56">
        <v>13.68</v>
      </c>
      <c r="AX336" s="56">
        <v>15.139999999999979</v>
      </c>
      <c r="AY336" s="62">
        <v>19.879999999999939</v>
      </c>
      <c r="BA336" s="64">
        <v>3.1894741166666658</v>
      </c>
      <c r="BB336" s="56">
        <v>16.239999999999991</v>
      </c>
      <c r="BC336" s="56">
        <v>18.679999999999989</v>
      </c>
      <c r="BD336" s="62">
        <v>30.41999999999998</v>
      </c>
      <c r="BF336" s="64">
        <v>2.921929916666667</v>
      </c>
      <c r="BG336" s="56">
        <v>20.100000000000051</v>
      </c>
      <c r="BH336" s="56">
        <v>26.880000000000059</v>
      </c>
      <c r="BI336" s="62">
        <v>56.400000000000013</v>
      </c>
      <c r="BJ336" s="72"/>
      <c r="BK336" s="51"/>
    </row>
    <row r="337" spans="1:63" x14ac:dyDescent="0.4">
      <c r="A337" s="11" t="s">
        <v>415</v>
      </c>
      <c r="B337" s="4"/>
      <c r="C337" s="4"/>
      <c r="D337" s="4"/>
      <c r="E337" s="12"/>
      <c r="G337" s="147" t="s">
        <v>415</v>
      </c>
      <c r="H337" s="159">
        <v>70.006</v>
      </c>
      <c r="I337" s="153">
        <v>70.34</v>
      </c>
      <c r="J337" s="153">
        <v>70.3</v>
      </c>
      <c r="K337" s="153">
        <v>70.28</v>
      </c>
      <c r="L337" s="153">
        <v>70.39</v>
      </c>
      <c r="M337" s="80">
        <f t="shared" si="10"/>
        <v>70.39</v>
      </c>
      <c r="N337" s="80">
        <f t="shared" si="11"/>
        <v>70.28</v>
      </c>
      <c r="O337" s="153">
        <v>21.15</v>
      </c>
      <c r="P337" s="153">
        <v>21.04</v>
      </c>
      <c r="Q337" s="153">
        <v>21.1</v>
      </c>
      <c r="R337" s="153">
        <v>21.07</v>
      </c>
      <c r="S337" s="4"/>
      <c r="U337" s="147" t="s">
        <v>415</v>
      </c>
      <c r="V337" s="11"/>
      <c r="W337" s="4"/>
      <c r="X337" s="12"/>
      <c r="Y337" s="14"/>
      <c r="Z337" s="4"/>
      <c r="AA337" s="13"/>
      <c r="AB337" s="11"/>
      <c r="AC337" s="4"/>
      <c r="AD337" s="12"/>
      <c r="AE337" s="13"/>
      <c r="AF337" s="14">
        <v>5.0121000000000002</v>
      </c>
      <c r="AG337" s="133"/>
      <c r="AI337" s="84"/>
      <c r="AL337" s="64">
        <v>4.1729193833333333</v>
      </c>
      <c r="AM337" s="56">
        <v>14.25999999999998</v>
      </c>
      <c r="AN337" s="56">
        <v>16.300000000000029</v>
      </c>
      <c r="AO337" s="62">
        <v>22.339999999999979</v>
      </c>
      <c r="AQ337" s="64">
        <v>4.0808241833333332</v>
      </c>
      <c r="AR337" s="56">
        <v>13.940000000000021</v>
      </c>
      <c r="AS337" s="56">
        <v>15.39999999999999</v>
      </c>
      <c r="AT337" s="62">
        <v>19.49999999999994</v>
      </c>
      <c r="AV337" s="64">
        <v>3.7276719666666658</v>
      </c>
      <c r="AW337" s="56">
        <v>13.400000000000031</v>
      </c>
      <c r="AX337" s="56">
        <v>14.86000000000001</v>
      </c>
      <c r="AY337" s="62">
        <v>19.559999999999981</v>
      </c>
      <c r="BA337" s="64">
        <v>3.1849500499999999</v>
      </c>
      <c r="BB337" s="56">
        <v>15.63999999999997</v>
      </c>
      <c r="BC337" s="56">
        <v>18.079999999999959</v>
      </c>
      <c r="BD337" s="62">
        <v>29.8</v>
      </c>
      <c r="BF337" s="64">
        <v>2.9245096666666668</v>
      </c>
      <c r="BG337" s="56">
        <v>19.519999999999978</v>
      </c>
      <c r="BH337" s="56">
        <v>26.22</v>
      </c>
      <c r="BI337" s="62">
        <v>55.41999999999998</v>
      </c>
      <c r="BJ337" s="72"/>
      <c r="BK337" s="51"/>
    </row>
    <row r="338" spans="1:63" x14ac:dyDescent="0.4">
      <c r="A338" s="11" t="s">
        <v>416</v>
      </c>
      <c r="B338" s="4"/>
      <c r="C338" s="4"/>
      <c r="D338" s="4"/>
      <c r="E338" s="12"/>
      <c r="G338" s="147" t="s">
        <v>416</v>
      </c>
      <c r="H338" s="159">
        <v>70.078000000000003</v>
      </c>
      <c r="I338" s="153">
        <v>70.39</v>
      </c>
      <c r="J338" s="153">
        <v>70.349999999999994</v>
      </c>
      <c r="K338" s="153">
        <v>70.31</v>
      </c>
      <c r="L338" s="153">
        <v>70.319999999999993</v>
      </c>
      <c r="M338" s="80">
        <f t="shared" si="10"/>
        <v>70.39</v>
      </c>
      <c r="N338" s="80">
        <f t="shared" si="11"/>
        <v>70.31</v>
      </c>
      <c r="O338" s="153">
        <v>21.1</v>
      </c>
      <c r="P338" s="153">
        <v>21.01</v>
      </c>
      <c r="Q338" s="153">
        <v>21.09</v>
      </c>
      <c r="R338" s="153">
        <v>21.05</v>
      </c>
      <c r="S338" s="4"/>
      <c r="U338" s="147" t="s">
        <v>416</v>
      </c>
      <c r="V338" s="11"/>
      <c r="W338" s="4"/>
      <c r="X338" s="12"/>
      <c r="Y338" s="14"/>
      <c r="Z338" s="4"/>
      <c r="AA338" s="13"/>
      <c r="AB338" s="11"/>
      <c r="AC338" s="4"/>
      <c r="AD338" s="12"/>
      <c r="AE338" s="13"/>
      <c r="AF338" s="14">
        <v>5.0237999999999996</v>
      </c>
      <c r="AG338" s="133"/>
      <c r="AI338" s="84"/>
      <c r="AL338" s="64">
        <v>4.1730803666666656</v>
      </c>
      <c r="AM338" s="56">
        <v>14.63999999999999</v>
      </c>
      <c r="AN338" s="56">
        <v>16.659999999999901</v>
      </c>
      <c r="AO338" s="62">
        <v>22.540000000000049</v>
      </c>
      <c r="AQ338" s="64">
        <v>4.0810013333333339</v>
      </c>
      <c r="AR338" s="56">
        <v>13.9800000000001</v>
      </c>
      <c r="AS338" s="56">
        <v>15.440000000000079</v>
      </c>
      <c r="AT338" s="62">
        <v>19.520000000000071</v>
      </c>
      <c r="AV338" s="64">
        <v>3.727965966666666</v>
      </c>
      <c r="AW338" s="56">
        <v>13.480000000000031</v>
      </c>
      <c r="AX338" s="56">
        <v>14.94</v>
      </c>
      <c r="AY338" s="62">
        <v>19.660000000000011</v>
      </c>
      <c r="BA338" s="64">
        <v>3.1845882333333329</v>
      </c>
      <c r="BB338" s="56">
        <v>16.479999999999961</v>
      </c>
      <c r="BC338" s="56">
        <v>18.99999999999995</v>
      </c>
      <c r="BD338" s="62">
        <v>31.079999999999949</v>
      </c>
      <c r="BF338" s="64">
        <v>2.9316689</v>
      </c>
      <c r="BG338" s="56">
        <v>20.300000000000029</v>
      </c>
      <c r="BH338" s="56">
        <v>27.06</v>
      </c>
      <c r="BI338" s="62">
        <v>55.880000000000059</v>
      </c>
      <c r="BJ338" s="72"/>
      <c r="BK338" s="51"/>
    </row>
    <row r="339" spans="1:63" x14ac:dyDescent="0.4">
      <c r="A339" s="11" t="s">
        <v>417</v>
      </c>
      <c r="B339" s="4"/>
      <c r="C339" s="4"/>
      <c r="D339" s="4"/>
      <c r="E339" s="12"/>
      <c r="G339" s="147" t="s">
        <v>417</v>
      </c>
      <c r="H339" s="159">
        <v>70.054000000000002</v>
      </c>
      <c r="I339" s="153">
        <v>70.36</v>
      </c>
      <c r="J339" s="153">
        <v>70.39</v>
      </c>
      <c r="K339" s="153">
        <v>70.39</v>
      </c>
      <c r="L339" s="153">
        <v>70.37</v>
      </c>
      <c r="M339" s="80">
        <f t="shared" si="10"/>
        <v>70.39</v>
      </c>
      <c r="N339" s="80">
        <f t="shared" si="11"/>
        <v>70.36</v>
      </c>
      <c r="O339" s="153">
        <v>21.19</v>
      </c>
      <c r="P339" s="153">
        <v>21.16</v>
      </c>
      <c r="Q339" s="153">
        <v>21.11</v>
      </c>
      <c r="R339" s="153">
        <v>21.08</v>
      </c>
      <c r="S339" s="4"/>
      <c r="U339" s="147" t="s">
        <v>417</v>
      </c>
      <c r="V339" s="11"/>
      <c r="W339" s="4"/>
      <c r="X339" s="12"/>
      <c r="Y339" s="14"/>
      <c r="Z339" s="4"/>
      <c r="AA339" s="13"/>
      <c r="AB339" s="11"/>
      <c r="AC339" s="4"/>
      <c r="AD339" s="12"/>
      <c r="AE339" s="13"/>
      <c r="AF339" s="14">
        <v>5.0236000000000001</v>
      </c>
      <c r="AG339" s="133"/>
      <c r="AI339" s="84"/>
      <c r="AL339" s="64">
        <v>4.1729174666666662</v>
      </c>
      <c r="AM339" s="56">
        <v>14.42000000000014</v>
      </c>
      <c r="AN339" s="56">
        <v>16.400000000000151</v>
      </c>
      <c r="AO339" s="62">
        <v>22.460000000000061</v>
      </c>
      <c r="AQ339" s="64">
        <v>4.0816077166666682</v>
      </c>
      <c r="AR339" s="56">
        <v>14.24000000000003</v>
      </c>
      <c r="AS339" s="56">
        <v>15.71999999999996</v>
      </c>
      <c r="AT339" s="62">
        <v>19.799999999999951</v>
      </c>
      <c r="AV339" s="64">
        <v>3.7293934333333332</v>
      </c>
      <c r="AW339" s="56">
        <v>13.69999999999996</v>
      </c>
      <c r="AX339" s="56">
        <v>15.17999999999997</v>
      </c>
      <c r="AY339" s="62">
        <v>19.93999999999998</v>
      </c>
      <c r="BA339" s="64">
        <v>3.1894151833333328</v>
      </c>
      <c r="BB339" s="56">
        <v>16.460000000000012</v>
      </c>
      <c r="BC339" s="56">
        <v>18.940000000000001</v>
      </c>
      <c r="BD339" s="62">
        <v>30.800000000000072</v>
      </c>
      <c r="BF339" s="64">
        <v>2.925690916666666</v>
      </c>
      <c r="BG339" s="56">
        <v>20.300000000000029</v>
      </c>
      <c r="BH339" s="56">
        <v>27.160000000000029</v>
      </c>
      <c r="BI339" s="62">
        <v>56.420000000000037</v>
      </c>
      <c r="BJ339" s="72"/>
      <c r="BK339" s="51"/>
    </row>
    <row r="340" spans="1:63" x14ac:dyDescent="0.4">
      <c r="A340" s="11" t="s">
        <v>418</v>
      </c>
      <c r="B340" s="4"/>
      <c r="C340" s="4"/>
      <c r="D340" s="4"/>
      <c r="E340" s="12"/>
      <c r="G340" s="147" t="s">
        <v>418</v>
      </c>
      <c r="H340" s="159">
        <v>69.935000000000002</v>
      </c>
      <c r="I340" s="153">
        <v>70.349999999999994</v>
      </c>
      <c r="J340" s="153">
        <v>70.28</v>
      </c>
      <c r="K340" s="153">
        <v>70.290000000000006</v>
      </c>
      <c r="L340" s="153">
        <v>70.39</v>
      </c>
      <c r="M340" s="80">
        <f t="shared" si="10"/>
        <v>70.39</v>
      </c>
      <c r="N340" s="80">
        <f t="shared" si="11"/>
        <v>70.28</v>
      </c>
      <c r="O340" s="153">
        <v>21.16</v>
      </c>
      <c r="P340" s="153">
        <v>21.04</v>
      </c>
      <c r="Q340" s="153">
        <v>21.15</v>
      </c>
      <c r="R340" s="153">
        <v>21.07</v>
      </c>
      <c r="S340" s="4"/>
      <c r="U340" s="147" t="s">
        <v>418</v>
      </c>
      <c r="V340" s="11"/>
      <c r="W340" s="4"/>
      <c r="X340" s="12"/>
      <c r="Y340" s="14"/>
      <c r="Z340" s="4"/>
      <c r="AA340" s="13"/>
      <c r="AB340" s="11"/>
      <c r="AC340" s="4"/>
      <c r="AD340" s="12"/>
      <c r="AE340" s="13"/>
      <c r="AF340" s="14">
        <v>5.0067000000000004</v>
      </c>
      <c r="AG340" s="133"/>
      <c r="AI340" s="84"/>
      <c r="AL340" s="64">
        <v>4.1730570499999997</v>
      </c>
      <c r="AM340" s="56">
        <v>14.56</v>
      </c>
      <c r="AN340" s="56">
        <v>16.559999999999949</v>
      </c>
      <c r="AO340" s="62">
        <v>22.6799999999999</v>
      </c>
      <c r="AQ340" s="64">
        <v>4.0824692166666656</v>
      </c>
      <c r="AR340" s="56">
        <v>14.299999999999891</v>
      </c>
      <c r="AS340" s="56">
        <v>15.78</v>
      </c>
      <c r="AT340" s="62">
        <v>19.899999999999899</v>
      </c>
      <c r="AV340" s="64">
        <v>3.7299440833333328</v>
      </c>
      <c r="AW340" s="56">
        <v>13.60000000000001</v>
      </c>
      <c r="AX340" s="56">
        <v>15.040000000000029</v>
      </c>
      <c r="AY340" s="62">
        <v>19.759999999999959</v>
      </c>
      <c r="BA340" s="64">
        <v>3.189083816666666</v>
      </c>
      <c r="BB340" s="56">
        <v>15.32</v>
      </c>
      <c r="BC340" s="56">
        <v>17.69999999999996</v>
      </c>
      <c r="BD340" s="62">
        <v>29.300000000000011</v>
      </c>
      <c r="BF340" s="64">
        <v>2.9257464</v>
      </c>
      <c r="BG340" s="56">
        <v>19.09999999999998</v>
      </c>
      <c r="BH340" s="56">
        <v>26.020000000000021</v>
      </c>
      <c r="BI340" s="62">
        <v>55.580000000000062</v>
      </c>
      <c r="BJ340" s="72"/>
      <c r="BK340" s="51"/>
    </row>
    <row r="341" spans="1:63" x14ac:dyDescent="0.4">
      <c r="A341" s="11" t="s">
        <v>419</v>
      </c>
      <c r="B341" s="4"/>
      <c r="C341" s="4"/>
      <c r="D341" s="4"/>
      <c r="E341" s="12"/>
      <c r="G341" s="147" t="s">
        <v>419</v>
      </c>
      <c r="H341" s="159">
        <v>70.061999999999998</v>
      </c>
      <c r="I341" s="153">
        <v>70.349999999999994</v>
      </c>
      <c r="J341" s="153">
        <v>70.27</v>
      </c>
      <c r="K341" s="153">
        <v>70.28</v>
      </c>
      <c r="L341" s="153">
        <v>70.36</v>
      </c>
      <c r="M341" s="80">
        <f t="shared" si="10"/>
        <v>70.36</v>
      </c>
      <c r="N341" s="80">
        <f t="shared" si="11"/>
        <v>70.27</v>
      </c>
      <c r="O341" s="153">
        <v>21.19</v>
      </c>
      <c r="P341" s="153">
        <v>21.01</v>
      </c>
      <c r="Q341" s="153">
        <v>21.15</v>
      </c>
      <c r="R341" s="153">
        <v>21.09</v>
      </c>
      <c r="S341" s="4"/>
      <c r="U341" s="147" t="s">
        <v>419</v>
      </c>
      <c r="V341" s="11"/>
      <c r="W341" s="4"/>
      <c r="X341" s="12"/>
      <c r="Y341" s="14"/>
      <c r="Z341" s="4"/>
      <c r="AA341" s="13"/>
      <c r="AB341" s="11"/>
      <c r="AC341" s="4"/>
      <c r="AD341" s="12"/>
      <c r="AE341" s="13"/>
      <c r="AF341" s="14">
        <v>5.0151000000000003</v>
      </c>
      <c r="AG341" s="133"/>
      <c r="AI341" s="84"/>
      <c r="AL341" s="64">
        <v>4.1735849333333332</v>
      </c>
      <c r="AM341" s="56">
        <v>14.499999999999959</v>
      </c>
      <c r="AN341" s="56">
        <v>16.520000000000049</v>
      </c>
      <c r="AO341" s="62">
        <v>22.62000000000004</v>
      </c>
      <c r="AQ341" s="64">
        <v>4.0823889499999986</v>
      </c>
      <c r="AR341" s="56">
        <v>14.48</v>
      </c>
      <c r="AS341" s="56">
        <v>15.97999999999988</v>
      </c>
      <c r="AT341" s="62">
        <v>20.05999999999997</v>
      </c>
      <c r="AV341" s="64">
        <v>3.7285287833333332</v>
      </c>
      <c r="AW341" s="56">
        <v>14.08000000000005</v>
      </c>
      <c r="AX341" s="56">
        <v>15.60000000000006</v>
      </c>
      <c r="AY341" s="62">
        <v>20.420000000000019</v>
      </c>
      <c r="BA341" s="64">
        <v>3.180033166666667</v>
      </c>
      <c r="BB341" s="56">
        <v>16.479999999999961</v>
      </c>
      <c r="BC341" s="56">
        <v>18.98</v>
      </c>
      <c r="BD341" s="62">
        <v>31.03999999999996</v>
      </c>
      <c r="BF341" s="64">
        <v>2.9038088833333342</v>
      </c>
      <c r="BG341" s="56">
        <v>20.27999999999999</v>
      </c>
      <c r="BH341" s="56">
        <v>27.25999999999997</v>
      </c>
      <c r="BI341" s="62">
        <v>58.699999999999967</v>
      </c>
      <c r="BJ341" s="72"/>
      <c r="BK341" s="51"/>
    </row>
    <row r="342" spans="1:63" x14ac:dyDescent="0.4">
      <c r="A342" s="11" t="s">
        <v>420</v>
      </c>
      <c r="B342" s="4"/>
      <c r="C342" s="4"/>
      <c r="D342" s="4"/>
      <c r="E342" s="12"/>
      <c r="G342" s="147" t="s">
        <v>420</v>
      </c>
      <c r="H342" s="159">
        <v>70.061999999999998</v>
      </c>
      <c r="I342" s="153">
        <v>70.27</v>
      </c>
      <c r="J342" s="153">
        <v>70.290000000000006</v>
      </c>
      <c r="K342" s="153">
        <v>70.34</v>
      </c>
      <c r="L342" s="153">
        <v>70.36</v>
      </c>
      <c r="M342" s="80">
        <f t="shared" si="10"/>
        <v>70.36</v>
      </c>
      <c r="N342" s="80">
        <f t="shared" si="11"/>
        <v>70.27</v>
      </c>
      <c r="O342" s="153">
        <v>21.16</v>
      </c>
      <c r="P342" s="153">
        <v>21.1</v>
      </c>
      <c r="Q342" s="153">
        <v>21.11</v>
      </c>
      <c r="R342" s="153">
        <v>21.08</v>
      </c>
      <c r="S342" s="4"/>
      <c r="U342" s="147" t="s">
        <v>420</v>
      </c>
      <c r="V342" s="11"/>
      <c r="W342" s="4"/>
      <c r="X342" s="12"/>
      <c r="Y342" s="14"/>
      <c r="Z342" s="4"/>
      <c r="AA342" s="13"/>
      <c r="AB342" s="11"/>
      <c r="AC342" s="4"/>
      <c r="AD342" s="12"/>
      <c r="AE342" s="13"/>
      <c r="AF342" s="14">
        <v>5.0115999999999996</v>
      </c>
      <c r="AG342" s="133"/>
      <c r="AI342" s="84"/>
      <c r="AL342" s="64">
        <v>4.1734188166666666</v>
      </c>
      <c r="AM342" s="56">
        <v>14.680000000000071</v>
      </c>
      <c r="AN342" s="56">
        <v>16.680000000000032</v>
      </c>
      <c r="AO342" s="62">
        <v>22.65999999999995</v>
      </c>
      <c r="AQ342" s="64">
        <v>4.0812747666666667</v>
      </c>
      <c r="AR342" s="56">
        <v>14.35999999999993</v>
      </c>
      <c r="AS342" s="56">
        <v>15.84000000000003</v>
      </c>
      <c r="AT342" s="62">
        <v>19.979999999999979</v>
      </c>
      <c r="AV342" s="64">
        <v>3.728443533333333</v>
      </c>
      <c r="AW342" s="56">
        <v>13.86000000000003</v>
      </c>
      <c r="AX342" s="56">
        <v>15.33999999999995</v>
      </c>
      <c r="AY342" s="62">
        <v>20.099999999999959</v>
      </c>
      <c r="BA342" s="64">
        <v>3.185281883333333</v>
      </c>
      <c r="BB342" s="56">
        <v>16.559999999999949</v>
      </c>
      <c r="BC342" s="56">
        <v>19.040000000000031</v>
      </c>
      <c r="BD342" s="62">
        <v>31.02</v>
      </c>
      <c r="BF342" s="64">
        <v>2.9207215833333331</v>
      </c>
      <c r="BG342" s="56">
        <v>20.460000000000012</v>
      </c>
      <c r="BH342" s="56">
        <v>27.320000000000011</v>
      </c>
      <c r="BI342" s="62">
        <v>57.20000000000001</v>
      </c>
      <c r="BJ342" s="72"/>
      <c r="BK342" s="51"/>
    </row>
    <row r="343" spans="1:63" x14ac:dyDescent="0.4">
      <c r="A343" s="11" t="s">
        <v>421</v>
      </c>
      <c r="B343" s="4"/>
      <c r="C343" s="4"/>
      <c r="D343" s="4"/>
      <c r="E343" s="12"/>
      <c r="G343" s="147" t="s">
        <v>421</v>
      </c>
      <c r="H343" s="159">
        <v>70.052000000000007</v>
      </c>
      <c r="I343" s="153">
        <v>70.349999999999994</v>
      </c>
      <c r="J343" s="153">
        <v>70.3</v>
      </c>
      <c r="K343" s="153">
        <v>70.36</v>
      </c>
      <c r="L343" s="153">
        <v>70.3</v>
      </c>
      <c r="M343" s="80">
        <f t="shared" si="10"/>
        <v>70.36</v>
      </c>
      <c r="N343" s="80">
        <f t="shared" si="11"/>
        <v>70.3</v>
      </c>
      <c r="O343" s="153">
        <v>21.15</v>
      </c>
      <c r="P343" s="153">
        <v>21.08</v>
      </c>
      <c r="Q343" s="153">
        <v>21.14</v>
      </c>
      <c r="R343" s="153">
        <v>21.09</v>
      </c>
      <c r="S343" s="4"/>
      <c r="U343" s="147" t="s">
        <v>421</v>
      </c>
      <c r="V343" s="11"/>
      <c r="W343" s="4"/>
      <c r="X343" s="12"/>
      <c r="Y343" s="14"/>
      <c r="Z343" s="4"/>
      <c r="AA343" s="13"/>
      <c r="AB343" s="11"/>
      <c r="AC343" s="4"/>
      <c r="AD343" s="12"/>
      <c r="AE343" s="13"/>
      <c r="AF343" s="14">
        <v>5.0118999999999998</v>
      </c>
      <c r="AG343" s="133"/>
      <c r="AI343" s="84"/>
      <c r="AL343" s="64">
        <v>4.1739323500000003</v>
      </c>
      <c r="AM343" s="56">
        <v>14.19999999999995</v>
      </c>
      <c r="AN343" s="56">
        <v>16.16</v>
      </c>
      <c r="AO343" s="62">
        <v>22.100000000000009</v>
      </c>
      <c r="AQ343" s="64">
        <v>4.0815782166666672</v>
      </c>
      <c r="AR343" s="56">
        <v>14.179999999999991</v>
      </c>
      <c r="AS343" s="56">
        <v>15.65999999999992</v>
      </c>
      <c r="AT343" s="62">
        <v>19.81999999999999</v>
      </c>
      <c r="AV343" s="64">
        <v>3.728596533333334</v>
      </c>
      <c r="AW343" s="56">
        <v>13.54000000000006</v>
      </c>
      <c r="AX343" s="56">
        <v>15.000000000000041</v>
      </c>
      <c r="AY343" s="62">
        <v>19.70000000000001</v>
      </c>
      <c r="BA343" s="64">
        <v>3.1853369666666671</v>
      </c>
      <c r="BB343" s="56">
        <v>16.099999999999959</v>
      </c>
      <c r="BC343" s="56">
        <v>18.559999999999999</v>
      </c>
      <c r="BD343" s="62">
        <v>30.41999999999998</v>
      </c>
      <c r="BF343" s="64">
        <v>2.9248068333333328</v>
      </c>
      <c r="BG343" s="56">
        <v>19.899999999999981</v>
      </c>
      <c r="BH343" s="56">
        <v>26.75999999999998</v>
      </c>
      <c r="BI343" s="62">
        <v>56.12000000000004</v>
      </c>
      <c r="BJ343" s="72"/>
      <c r="BK343" s="51"/>
    </row>
    <row r="344" spans="1:63" x14ac:dyDescent="0.4">
      <c r="A344" s="11" t="s">
        <v>422</v>
      </c>
      <c r="B344" s="4"/>
      <c r="C344" s="4"/>
      <c r="D344" s="4"/>
      <c r="E344" s="12"/>
      <c r="G344" s="147" t="s">
        <v>422</v>
      </c>
      <c r="H344" s="159">
        <v>70.084999999999994</v>
      </c>
      <c r="I344" s="153">
        <v>70.31</v>
      </c>
      <c r="J344" s="153">
        <v>70.37</v>
      </c>
      <c r="K344" s="153">
        <v>70.349999999999994</v>
      </c>
      <c r="L344" s="153">
        <v>70.38</v>
      </c>
      <c r="M344" s="80">
        <f t="shared" si="10"/>
        <v>70.38</v>
      </c>
      <c r="N344" s="80">
        <f t="shared" si="11"/>
        <v>70.31</v>
      </c>
      <c r="O344" s="153">
        <v>21.09</v>
      </c>
      <c r="P344" s="153">
        <v>21.01</v>
      </c>
      <c r="Q344" s="153">
        <v>21.09</v>
      </c>
      <c r="R344" s="153">
        <v>21</v>
      </c>
      <c r="S344" s="4"/>
      <c r="U344" s="147" t="s">
        <v>422</v>
      </c>
      <c r="V344" s="11"/>
      <c r="W344" s="4"/>
      <c r="X344" s="12"/>
      <c r="Y344" s="14"/>
      <c r="Z344" s="4"/>
      <c r="AA344" s="13"/>
      <c r="AB344" s="11"/>
      <c r="AC344" s="4"/>
      <c r="AD344" s="12"/>
      <c r="AE344" s="13"/>
      <c r="AF344" s="14">
        <v>5.0201000000000002</v>
      </c>
      <c r="AG344" s="133"/>
      <c r="AI344" s="84"/>
      <c r="AL344" s="64">
        <v>4.1740170666666669</v>
      </c>
      <c r="AM344" s="56">
        <v>14.560000000000169</v>
      </c>
      <c r="AN344" s="56">
        <v>16.54</v>
      </c>
      <c r="AO344" s="62">
        <v>22.440000000000101</v>
      </c>
      <c r="AQ344" s="64">
        <v>4.0817553999999996</v>
      </c>
      <c r="AR344" s="56">
        <v>14.20000000000012</v>
      </c>
      <c r="AS344" s="56">
        <v>15.680000000000049</v>
      </c>
      <c r="AT344" s="62">
        <v>19.80000000000004</v>
      </c>
      <c r="AV344" s="64">
        <v>3.728784633333333</v>
      </c>
      <c r="AW344" s="56">
        <v>13.659999999999959</v>
      </c>
      <c r="AX344" s="56">
        <v>15.11999999999993</v>
      </c>
      <c r="AY344" s="62">
        <v>19.859999999999989</v>
      </c>
      <c r="BA344" s="64">
        <v>3.185988333333333</v>
      </c>
      <c r="BB344" s="56">
        <v>15.880000000000029</v>
      </c>
      <c r="BC344" s="56">
        <v>18.339999999999979</v>
      </c>
      <c r="BD344" s="62">
        <v>30.140000000000011</v>
      </c>
      <c r="BF344" s="64">
        <v>2.9271130166666661</v>
      </c>
      <c r="BG344" s="56">
        <v>19.78</v>
      </c>
      <c r="BH344" s="56">
        <v>26.540000000000049</v>
      </c>
      <c r="BI344" s="62">
        <v>55.880000000000059</v>
      </c>
      <c r="BJ344" s="72"/>
      <c r="BK344" s="51"/>
    </row>
    <row r="345" spans="1:63" x14ac:dyDescent="0.4">
      <c r="A345" s="11" t="s">
        <v>423</v>
      </c>
      <c r="B345" s="4"/>
      <c r="C345" s="4"/>
      <c r="D345" s="4"/>
      <c r="E345" s="12"/>
      <c r="G345" s="147" t="s">
        <v>423</v>
      </c>
      <c r="H345" s="159">
        <v>69.897999999999996</v>
      </c>
      <c r="I345" s="153">
        <v>70.36</v>
      </c>
      <c r="J345" s="153">
        <v>70.34</v>
      </c>
      <c r="K345" s="153">
        <v>70.28</v>
      </c>
      <c r="L345" s="153">
        <v>70.319999999999993</v>
      </c>
      <c r="M345" s="80">
        <f t="shared" si="10"/>
        <v>70.36</v>
      </c>
      <c r="N345" s="80">
        <f t="shared" si="11"/>
        <v>70.28</v>
      </c>
      <c r="O345" s="153">
        <v>21.17</v>
      </c>
      <c r="P345" s="153">
        <v>21.12</v>
      </c>
      <c r="Q345" s="153">
        <v>21.13</v>
      </c>
      <c r="R345" s="153">
        <v>21.02</v>
      </c>
      <c r="S345" s="4"/>
      <c r="U345" s="147" t="s">
        <v>423</v>
      </c>
      <c r="V345" s="11"/>
      <c r="W345" s="4"/>
      <c r="X345" s="12"/>
      <c r="Y345" s="14"/>
      <c r="Z345" s="4"/>
      <c r="AA345" s="13"/>
      <c r="AB345" s="11"/>
      <c r="AC345" s="4"/>
      <c r="AD345" s="12"/>
      <c r="AE345" s="13"/>
      <c r="AF345" s="14">
        <v>5.0125000000000002</v>
      </c>
      <c r="AG345" s="133"/>
      <c r="AI345" s="84"/>
      <c r="AL345" s="64">
        <v>4.1737288499999998</v>
      </c>
      <c r="AM345" s="56">
        <v>14.20000000000012</v>
      </c>
      <c r="AN345" s="56">
        <v>16.200000000000081</v>
      </c>
      <c r="AO345" s="62">
        <v>22.220000000000081</v>
      </c>
      <c r="AQ345" s="64">
        <v>4.0821284333333328</v>
      </c>
      <c r="AR345" s="56">
        <v>14.20000000000012</v>
      </c>
      <c r="AS345" s="56">
        <v>15.7</v>
      </c>
      <c r="AT345" s="62">
        <v>19.820000000000078</v>
      </c>
      <c r="AV345" s="64">
        <v>3.7296482833333329</v>
      </c>
      <c r="AW345" s="56">
        <v>13.57999999999997</v>
      </c>
      <c r="AX345" s="56">
        <v>15.039999999999941</v>
      </c>
      <c r="AY345" s="62">
        <v>19.78</v>
      </c>
      <c r="BA345" s="64">
        <v>3.1880278500000001</v>
      </c>
      <c r="BB345" s="56">
        <v>15.71999999999996</v>
      </c>
      <c r="BC345" s="56">
        <v>18.15999999999995</v>
      </c>
      <c r="BD345" s="62">
        <v>29.88</v>
      </c>
      <c r="BF345" s="64">
        <v>2.925836583333334</v>
      </c>
      <c r="BG345" s="56">
        <v>19.519999999999978</v>
      </c>
      <c r="BH345" s="56">
        <v>26.22</v>
      </c>
      <c r="BI345" s="62">
        <v>55.359999999999943</v>
      </c>
      <c r="BJ345" s="69"/>
      <c r="BK345" s="51"/>
    </row>
    <row r="346" spans="1:63" x14ac:dyDescent="0.4">
      <c r="A346" s="11" t="s">
        <v>424</v>
      </c>
      <c r="B346" s="4"/>
      <c r="C346" s="4"/>
      <c r="D346" s="4"/>
      <c r="E346" s="12"/>
      <c r="G346" s="147" t="s">
        <v>424</v>
      </c>
      <c r="H346" s="159">
        <v>70.033000000000001</v>
      </c>
      <c r="I346" s="153">
        <v>70.3</v>
      </c>
      <c r="J346" s="153">
        <v>70.3</v>
      </c>
      <c r="K346" s="153">
        <v>70.400000000000006</v>
      </c>
      <c r="L346" s="153">
        <v>70.319999999999993</v>
      </c>
      <c r="M346" s="80">
        <f t="shared" si="10"/>
        <v>70.400000000000006</v>
      </c>
      <c r="N346" s="80">
        <f t="shared" si="11"/>
        <v>70.3</v>
      </c>
      <c r="O346" s="153">
        <v>21.13</v>
      </c>
      <c r="P346" s="153">
        <v>21.12</v>
      </c>
      <c r="Q346" s="153">
        <v>21.17</v>
      </c>
      <c r="R346" s="153">
        <v>21.05</v>
      </c>
      <c r="S346" s="4"/>
      <c r="U346" s="147" t="s">
        <v>424</v>
      </c>
      <c r="V346" s="11"/>
      <c r="W346" s="4"/>
      <c r="X346" s="12"/>
      <c r="Y346" s="14"/>
      <c r="Z346" s="4"/>
      <c r="AA346" s="13"/>
      <c r="AB346" s="11"/>
      <c r="AC346" s="4"/>
      <c r="AD346" s="12"/>
      <c r="AE346" s="13"/>
      <c r="AF346" s="14">
        <v>5.0179</v>
      </c>
      <c r="AG346" s="133"/>
      <c r="AI346" s="84"/>
      <c r="AL346" s="64">
        <v>4.1732861166666666</v>
      </c>
      <c r="AM346" s="56">
        <v>14.37999999999988</v>
      </c>
      <c r="AN346" s="56">
        <v>16.379999999999839</v>
      </c>
      <c r="AO346" s="62">
        <v>22.499999999999961</v>
      </c>
      <c r="AQ346" s="64">
        <v>4.0827725499999996</v>
      </c>
      <c r="AR346" s="56">
        <v>14.219999999999899</v>
      </c>
      <c r="AS346" s="56">
        <v>15.7</v>
      </c>
      <c r="AT346" s="62">
        <v>19.799999999999951</v>
      </c>
      <c r="AV346" s="64">
        <v>3.7288709333333339</v>
      </c>
      <c r="AW346" s="56">
        <v>13.899999999999929</v>
      </c>
      <c r="AX346" s="56">
        <v>15.39999999999999</v>
      </c>
      <c r="AY346" s="62">
        <v>20.239999999999991</v>
      </c>
      <c r="BA346" s="64">
        <v>3.18334655</v>
      </c>
      <c r="BB346" s="56">
        <v>16.26000000000003</v>
      </c>
      <c r="BC346" s="56">
        <v>18.74000000000002</v>
      </c>
      <c r="BD346" s="62">
        <v>30.76000000000008</v>
      </c>
      <c r="BF346" s="64">
        <v>2.9220437833333328</v>
      </c>
      <c r="BG346" s="56">
        <v>20.12</v>
      </c>
      <c r="BH346" s="56">
        <v>27.120000000000029</v>
      </c>
      <c r="BI346" s="62">
        <v>56.780000000000008</v>
      </c>
      <c r="BJ346" s="72"/>
      <c r="BK346" s="51"/>
    </row>
    <row r="347" spans="1:63" x14ac:dyDescent="0.4">
      <c r="A347" s="11" t="s">
        <v>425</v>
      </c>
      <c r="B347" s="4"/>
      <c r="C347" s="4"/>
      <c r="D347" s="4"/>
      <c r="E347" s="12"/>
      <c r="G347" s="147" t="s">
        <v>425</v>
      </c>
      <c r="H347" s="159">
        <v>70.028000000000006</v>
      </c>
      <c r="I347" s="153">
        <v>70.39</v>
      </c>
      <c r="J347" s="153">
        <v>70.349999999999994</v>
      </c>
      <c r="K347" s="153">
        <v>70.37</v>
      </c>
      <c r="L347" s="153">
        <v>70.34</v>
      </c>
      <c r="M347" s="80">
        <f t="shared" si="10"/>
        <v>70.39</v>
      </c>
      <c r="N347" s="80">
        <f t="shared" si="11"/>
        <v>70.34</v>
      </c>
      <c r="O347" s="153">
        <v>21.16</v>
      </c>
      <c r="P347" s="153">
        <v>21.09</v>
      </c>
      <c r="Q347" s="153">
        <v>21.11</v>
      </c>
      <c r="R347" s="153">
        <v>21.09</v>
      </c>
      <c r="S347" s="4"/>
      <c r="U347" s="147" t="s">
        <v>425</v>
      </c>
      <c r="V347" s="11"/>
      <c r="W347" s="4"/>
      <c r="X347" s="12"/>
      <c r="Y347" s="14"/>
      <c r="Z347" s="4"/>
      <c r="AA347" s="13"/>
      <c r="AB347" s="11"/>
      <c r="AC347" s="4"/>
      <c r="AD347" s="12"/>
      <c r="AE347" s="13"/>
      <c r="AF347" s="14">
        <v>5.0143000000000004</v>
      </c>
      <c r="AG347" s="133"/>
      <c r="AI347" s="84"/>
      <c r="AL347" s="64">
        <v>4.1732889833333333</v>
      </c>
      <c r="AM347" s="56">
        <v>14.48</v>
      </c>
      <c r="AN347" s="56">
        <v>16.440000000000051</v>
      </c>
      <c r="AO347" s="62">
        <v>22.320000000000029</v>
      </c>
      <c r="AQ347" s="64">
        <v>4.0812230500000002</v>
      </c>
      <c r="AR347" s="56">
        <v>14.03999999999996</v>
      </c>
      <c r="AS347" s="56">
        <v>15.49999999999994</v>
      </c>
      <c r="AT347" s="62">
        <v>19.61999999999993</v>
      </c>
      <c r="AV347" s="64">
        <v>3.7284598833333331</v>
      </c>
      <c r="AW347" s="56">
        <v>13.45999999999998</v>
      </c>
      <c r="AX347" s="56">
        <v>14.919999999999961</v>
      </c>
      <c r="AY347" s="62">
        <v>19.620000000000019</v>
      </c>
      <c r="BA347" s="64">
        <v>3.18663615</v>
      </c>
      <c r="BB347" s="56">
        <v>16.199999999999989</v>
      </c>
      <c r="BC347" s="56">
        <v>18.65999999999994</v>
      </c>
      <c r="BD347" s="62">
        <v>30.559999999999921</v>
      </c>
      <c r="BF347" s="64">
        <v>2.9306286333333338</v>
      </c>
      <c r="BG347" s="56">
        <v>19.999999999999929</v>
      </c>
      <c r="BH347" s="56">
        <v>26.75999999999998</v>
      </c>
      <c r="BI347" s="62">
        <v>55.739999999999952</v>
      </c>
      <c r="BJ347" s="72"/>
      <c r="BK347" s="51"/>
    </row>
    <row r="348" spans="1:63" x14ac:dyDescent="0.4">
      <c r="A348" s="11" t="s">
        <v>426</v>
      </c>
      <c r="B348" s="4"/>
      <c r="C348" s="4"/>
      <c r="D348" s="4"/>
      <c r="E348" s="12"/>
      <c r="G348" s="147" t="s">
        <v>426</v>
      </c>
      <c r="H348" s="159">
        <v>70.117000000000004</v>
      </c>
      <c r="I348" s="153">
        <v>70.34</v>
      </c>
      <c r="J348" s="153">
        <v>70.33</v>
      </c>
      <c r="K348" s="153">
        <v>70.3</v>
      </c>
      <c r="L348" s="153">
        <v>70.36</v>
      </c>
      <c r="M348" s="80">
        <f t="shared" si="10"/>
        <v>70.36</v>
      </c>
      <c r="N348" s="80">
        <f t="shared" si="11"/>
        <v>70.3</v>
      </c>
      <c r="O348" s="153">
        <v>21.21</v>
      </c>
      <c r="P348" s="153">
        <v>21.09</v>
      </c>
      <c r="Q348" s="153">
        <v>21.14</v>
      </c>
      <c r="R348" s="153">
        <v>21.12</v>
      </c>
      <c r="S348" s="4"/>
      <c r="U348" s="147" t="s">
        <v>426</v>
      </c>
      <c r="V348" s="11"/>
      <c r="W348" s="4"/>
      <c r="X348" s="12"/>
      <c r="Y348" s="14"/>
      <c r="Z348" s="4"/>
      <c r="AA348" s="13"/>
      <c r="AB348" s="11"/>
      <c r="AC348" s="4"/>
      <c r="AD348" s="12"/>
      <c r="AE348" s="13"/>
      <c r="AF348" s="14">
        <v>5.0193000000000003</v>
      </c>
      <c r="AG348" s="133"/>
      <c r="AI348" s="84"/>
      <c r="AL348" s="64">
        <v>4.1735514833333331</v>
      </c>
      <c r="AM348" s="56">
        <v>14.56</v>
      </c>
      <c r="AN348" s="56">
        <v>16.559999999999949</v>
      </c>
      <c r="AO348" s="62">
        <v>22.65999999999995</v>
      </c>
      <c r="AQ348" s="64">
        <v>4.0815564999999996</v>
      </c>
      <c r="AR348" s="56">
        <v>14.03999999999996</v>
      </c>
      <c r="AS348" s="56">
        <v>15.520000000000071</v>
      </c>
      <c r="AT348" s="62">
        <v>19.620000000000019</v>
      </c>
      <c r="AV348" s="64">
        <v>3.7287088833333342</v>
      </c>
      <c r="AW348" s="56">
        <v>13.58000000000006</v>
      </c>
      <c r="AX348" s="56">
        <v>15.040000000000029</v>
      </c>
      <c r="AY348" s="62">
        <v>19.78</v>
      </c>
      <c r="BA348" s="64">
        <v>3.1858211500000002</v>
      </c>
      <c r="BB348" s="56">
        <v>16.04000000000001</v>
      </c>
      <c r="BC348" s="56">
        <v>18.480000000000011</v>
      </c>
      <c r="BD348" s="62">
        <v>30.339999999999989</v>
      </c>
      <c r="BF348" s="64">
        <v>2.927775533333334</v>
      </c>
      <c r="BG348" s="56">
        <v>19.859999999999989</v>
      </c>
      <c r="BH348" s="56">
        <v>26.53999999999996</v>
      </c>
      <c r="BI348" s="62">
        <v>55.6</v>
      </c>
      <c r="BJ348" s="72"/>
      <c r="BK348" s="51"/>
    </row>
    <row r="349" spans="1:63" x14ac:dyDescent="0.4">
      <c r="A349" s="11" t="s">
        <v>427</v>
      </c>
      <c r="B349" s="4"/>
      <c r="C349" s="4"/>
      <c r="D349" s="4"/>
      <c r="E349" s="12"/>
      <c r="G349" s="147" t="s">
        <v>427</v>
      </c>
      <c r="H349" s="159">
        <v>70.040999999999997</v>
      </c>
      <c r="I349" s="153">
        <v>70.31</v>
      </c>
      <c r="J349" s="153">
        <v>70.27</v>
      </c>
      <c r="K349" s="153">
        <v>70.349999999999994</v>
      </c>
      <c r="L349" s="153">
        <v>70.290000000000006</v>
      </c>
      <c r="M349" s="80">
        <f t="shared" si="10"/>
        <v>70.349999999999994</v>
      </c>
      <c r="N349" s="80">
        <f t="shared" si="11"/>
        <v>70.27</v>
      </c>
      <c r="O349" s="153">
        <v>21.15</v>
      </c>
      <c r="P349" s="153">
        <v>21.09</v>
      </c>
      <c r="Q349" s="153">
        <v>21.1</v>
      </c>
      <c r="R349" s="153">
        <v>21.02</v>
      </c>
      <c r="S349" s="4"/>
      <c r="U349" s="147" t="s">
        <v>427</v>
      </c>
      <c r="V349" s="11"/>
      <c r="W349" s="4"/>
      <c r="X349" s="12"/>
      <c r="Y349" s="14"/>
      <c r="Z349" s="4"/>
      <c r="AA349" s="13"/>
      <c r="AB349" s="11"/>
      <c r="AC349" s="4"/>
      <c r="AD349" s="12"/>
      <c r="AE349" s="13"/>
      <c r="AF349" s="14">
        <v>5.01</v>
      </c>
      <c r="AG349" s="133"/>
      <c r="AI349" s="84"/>
      <c r="AL349" s="64">
        <v>4.1735472499999986</v>
      </c>
      <c r="AM349" s="56">
        <v>13.899999999999929</v>
      </c>
      <c r="AN349" s="56">
        <v>15.839999999999851</v>
      </c>
      <c r="AO349" s="62">
        <v>21.8399999999999</v>
      </c>
      <c r="AQ349" s="64">
        <v>4.0829708166666663</v>
      </c>
      <c r="AR349" s="56">
        <v>13.57999999999997</v>
      </c>
      <c r="AS349" s="56">
        <v>15.000000000000041</v>
      </c>
      <c r="AT349" s="62">
        <v>19.020000000000081</v>
      </c>
      <c r="AV349" s="64">
        <v>3.730566533333334</v>
      </c>
      <c r="AW349" s="56">
        <v>13.15999999999997</v>
      </c>
      <c r="AX349" s="56">
        <v>14.57999999999995</v>
      </c>
      <c r="AY349" s="62">
        <v>19.21999999999997</v>
      </c>
      <c r="BA349" s="64">
        <v>3.1881703666666672</v>
      </c>
      <c r="BB349" s="56">
        <v>15.63999999999997</v>
      </c>
      <c r="BC349" s="56">
        <v>18.060000000000009</v>
      </c>
      <c r="BD349" s="62">
        <v>29.73999999999997</v>
      </c>
      <c r="BF349" s="64">
        <v>2.9235560833333341</v>
      </c>
      <c r="BG349" s="56">
        <v>19.620000000000019</v>
      </c>
      <c r="BH349" s="56">
        <v>26.40000000000002</v>
      </c>
      <c r="BI349" s="62">
        <v>55.78000000000003</v>
      </c>
      <c r="BJ349" s="72"/>
      <c r="BK349" s="51"/>
    </row>
    <row r="350" spans="1:63" x14ac:dyDescent="0.4">
      <c r="A350" s="11" t="s">
        <v>428</v>
      </c>
      <c r="B350" s="4"/>
      <c r="C350" s="4"/>
      <c r="D350" s="4"/>
      <c r="E350" s="12"/>
      <c r="G350" s="147" t="s">
        <v>428</v>
      </c>
      <c r="H350" s="159">
        <v>69.884</v>
      </c>
      <c r="I350" s="153">
        <v>70.39</v>
      </c>
      <c r="J350" s="153">
        <v>70.39</v>
      </c>
      <c r="K350" s="153">
        <v>70.39</v>
      </c>
      <c r="L350" s="153">
        <v>70.319999999999993</v>
      </c>
      <c r="M350" s="80">
        <f t="shared" si="10"/>
        <v>70.39</v>
      </c>
      <c r="N350" s="80">
        <f t="shared" si="11"/>
        <v>70.319999999999993</v>
      </c>
      <c r="O350" s="153">
        <v>21.19</v>
      </c>
      <c r="P350" s="153">
        <v>21.04</v>
      </c>
      <c r="Q350" s="153">
        <v>21.12</v>
      </c>
      <c r="R350" s="153">
        <v>21.07</v>
      </c>
      <c r="S350" s="4"/>
      <c r="U350" s="147" t="s">
        <v>428</v>
      </c>
      <c r="V350" s="11"/>
      <c r="W350" s="4"/>
      <c r="X350" s="12"/>
      <c r="Y350" s="14"/>
      <c r="Z350" s="4"/>
      <c r="AA350" s="13"/>
      <c r="AB350" s="11"/>
      <c r="AC350" s="4"/>
      <c r="AD350" s="12"/>
      <c r="AE350" s="13"/>
      <c r="AF350" s="14">
        <v>4.9992000000000001</v>
      </c>
      <c r="AG350" s="133"/>
      <c r="AI350" s="84"/>
      <c r="AL350" s="64">
        <v>4.173255283333333</v>
      </c>
      <c r="AM350" s="56">
        <v>13.899999999999929</v>
      </c>
      <c r="AN350" s="56">
        <v>15.859999999999991</v>
      </c>
      <c r="AO350" s="62">
        <v>21.77999999999987</v>
      </c>
      <c r="AQ350" s="64">
        <v>4.0825858999999998</v>
      </c>
      <c r="AR350" s="56">
        <v>13.86000000000003</v>
      </c>
      <c r="AS350" s="56">
        <v>15.30000000000005</v>
      </c>
      <c r="AT350" s="62">
        <v>19.380000000000042</v>
      </c>
      <c r="AV350" s="64">
        <v>3.7298577499999999</v>
      </c>
      <c r="AW350" s="56">
        <v>13.160000000000061</v>
      </c>
      <c r="AX350" s="56">
        <v>14.60000000000008</v>
      </c>
      <c r="AY350" s="62">
        <v>19.280000000000008</v>
      </c>
      <c r="BA350" s="64">
        <v>3.1875155500000001</v>
      </c>
      <c r="BB350" s="56">
        <v>15.58000000000002</v>
      </c>
      <c r="BC350" s="56">
        <v>18.00000000000006</v>
      </c>
      <c r="BD350" s="62">
        <v>29.8</v>
      </c>
      <c r="BF350" s="64">
        <v>2.930727033333334</v>
      </c>
      <c r="BG350" s="56">
        <v>19.339999999999961</v>
      </c>
      <c r="BH350" s="56">
        <v>26.18</v>
      </c>
      <c r="BI350" s="62">
        <v>55.339999999999989</v>
      </c>
      <c r="BJ350" s="72"/>
      <c r="BK350" s="51"/>
    </row>
    <row r="351" spans="1:63" x14ac:dyDescent="0.4">
      <c r="A351" s="11" t="s">
        <v>429</v>
      </c>
      <c r="B351" s="4"/>
      <c r="C351" s="4"/>
      <c r="D351" s="4"/>
      <c r="E351" s="12"/>
      <c r="G351" s="147" t="s">
        <v>429</v>
      </c>
      <c r="H351" s="159">
        <v>70.031000000000006</v>
      </c>
      <c r="I351" s="153">
        <v>70.27</v>
      </c>
      <c r="J351" s="153">
        <v>70.39</v>
      </c>
      <c r="K351" s="153">
        <v>70.33</v>
      </c>
      <c r="L351" s="153">
        <v>70.400000000000006</v>
      </c>
      <c r="M351" s="80">
        <f t="shared" si="10"/>
        <v>70.400000000000006</v>
      </c>
      <c r="N351" s="80">
        <f t="shared" si="11"/>
        <v>70.27</v>
      </c>
      <c r="O351" s="153">
        <v>21.21</v>
      </c>
      <c r="P351" s="153">
        <v>21.12</v>
      </c>
      <c r="Q351" s="153">
        <v>21.14</v>
      </c>
      <c r="R351" s="153">
        <v>21.13</v>
      </c>
      <c r="S351" s="4"/>
      <c r="U351" s="147" t="s">
        <v>429</v>
      </c>
      <c r="V351" s="11"/>
      <c r="W351" s="4"/>
      <c r="X351" s="12"/>
      <c r="Y351" s="14"/>
      <c r="Z351" s="4"/>
      <c r="AA351" s="13"/>
      <c r="AB351" s="11"/>
      <c r="AC351" s="4"/>
      <c r="AD351" s="12"/>
      <c r="AE351" s="13"/>
      <c r="AF351" s="14">
        <v>5.0115999999999996</v>
      </c>
      <c r="AG351" s="133"/>
      <c r="AI351" s="84"/>
      <c r="AL351" s="64">
        <v>4.1734934499999996</v>
      </c>
      <c r="AM351" s="56">
        <v>14.739999999999929</v>
      </c>
      <c r="AN351" s="56">
        <v>16.739999999999888</v>
      </c>
      <c r="AO351" s="62">
        <v>22.89999999999992</v>
      </c>
      <c r="AQ351" s="64">
        <v>4.0824922166666653</v>
      </c>
      <c r="AR351" s="56">
        <v>14.539999999999861</v>
      </c>
      <c r="AS351" s="56">
        <v>16.039999999999921</v>
      </c>
      <c r="AT351" s="62">
        <v>20.19999999999991</v>
      </c>
      <c r="AV351" s="64">
        <v>3.727862599999999</v>
      </c>
      <c r="AW351" s="56">
        <v>14.14</v>
      </c>
      <c r="AX351" s="56">
        <v>15.63999999999997</v>
      </c>
      <c r="AY351" s="62">
        <v>20.500000000000011</v>
      </c>
      <c r="BA351" s="64">
        <v>3.1773283999999999</v>
      </c>
      <c r="BB351" s="56">
        <v>16.439999999999969</v>
      </c>
      <c r="BC351" s="56">
        <v>18.98</v>
      </c>
      <c r="BD351" s="62">
        <v>31.13999999999999</v>
      </c>
      <c r="BF351" s="64">
        <v>2.9054740666666672</v>
      </c>
      <c r="BG351" s="56">
        <v>20.239999999999991</v>
      </c>
      <c r="BH351" s="56">
        <v>27.179999999999978</v>
      </c>
      <c r="BI351" s="62">
        <v>58.319999999999972</v>
      </c>
      <c r="BJ351" s="72"/>
      <c r="BK351" s="51"/>
    </row>
    <row r="352" spans="1:63" x14ac:dyDescent="0.4">
      <c r="A352" s="11" t="s">
        <v>430</v>
      </c>
      <c r="B352" s="4"/>
      <c r="C352" s="4"/>
      <c r="D352" s="4"/>
      <c r="E352" s="12"/>
      <c r="G352" s="147" t="s">
        <v>430</v>
      </c>
      <c r="H352" s="159">
        <v>70.081000000000003</v>
      </c>
      <c r="I352" s="153">
        <v>70.400000000000006</v>
      </c>
      <c r="J352" s="153">
        <v>70.38</v>
      </c>
      <c r="K352" s="153">
        <v>70.31</v>
      </c>
      <c r="L352" s="153">
        <v>70.319999999999993</v>
      </c>
      <c r="M352" s="80">
        <f t="shared" si="10"/>
        <v>70.400000000000006</v>
      </c>
      <c r="N352" s="80">
        <f t="shared" si="11"/>
        <v>70.31</v>
      </c>
      <c r="O352" s="153">
        <v>21.19</v>
      </c>
      <c r="P352" s="153">
        <v>21.14</v>
      </c>
      <c r="Q352" s="153">
        <v>21.12</v>
      </c>
      <c r="R352" s="153">
        <v>20.98</v>
      </c>
      <c r="S352" s="4"/>
      <c r="U352" s="147" t="s">
        <v>430</v>
      </c>
      <c r="V352" s="11"/>
      <c r="W352" s="4"/>
      <c r="X352" s="12"/>
      <c r="Y352" s="14"/>
      <c r="Z352" s="4"/>
      <c r="AA352" s="13"/>
      <c r="AB352" s="11"/>
      <c r="AC352" s="4"/>
      <c r="AD352" s="12"/>
      <c r="AE352" s="13"/>
      <c r="AF352" s="14">
        <v>5.0239000000000003</v>
      </c>
      <c r="AG352" s="133"/>
      <c r="AI352" s="84"/>
      <c r="AL352" s="64">
        <v>4.1734922499999998</v>
      </c>
      <c r="AM352" s="56">
        <v>14.499999999999959</v>
      </c>
      <c r="AN352" s="56">
        <v>16.479999999999961</v>
      </c>
      <c r="AO352" s="62">
        <v>22.339999999999979</v>
      </c>
      <c r="AQ352" s="64">
        <v>4.0832063666666656</v>
      </c>
      <c r="AR352" s="56">
        <v>14.340000000000151</v>
      </c>
      <c r="AS352" s="56">
        <v>15.82000000000008</v>
      </c>
      <c r="AT352" s="62">
        <v>19.960000000000111</v>
      </c>
      <c r="AV352" s="64">
        <v>3.7308845833333319</v>
      </c>
      <c r="AW352" s="56">
        <v>14.02000000000001</v>
      </c>
      <c r="AX352" s="56">
        <v>15.51999999999998</v>
      </c>
      <c r="AY352" s="62">
        <v>20.339999999999939</v>
      </c>
      <c r="BA352" s="64">
        <v>3.1891956833333328</v>
      </c>
      <c r="BB352" s="56">
        <v>16.5</v>
      </c>
      <c r="BC352" s="56">
        <v>19.020000000000081</v>
      </c>
      <c r="BD352" s="62">
        <v>30.960000000000051</v>
      </c>
      <c r="BF352" s="64">
        <v>2.9270723333333342</v>
      </c>
      <c r="BG352" s="56">
        <v>20.479999999999961</v>
      </c>
      <c r="BH352" s="56">
        <v>27.24000000000002</v>
      </c>
      <c r="BI352" s="62">
        <v>56.59999999999998</v>
      </c>
      <c r="BJ352" s="72"/>
      <c r="BK352" s="51"/>
    </row>
    <row r="353" spans="1:63" x14ac:dyDescent="0.4">
      <c r="A353" s="11" t="s">
        <v>431</v>
      </c>
      <c r="B353" s="4"/>
      <c r="C353" s="4"/>
      <c r="D353" s="4"/>
      <c r="E353" s="12"/>
      <c r="G353" s="147" t="s">
        <v>431</v>
      </c>
      <c r="H353" s="159">
        <v>70.088999999999999</v>
      </c>
      <c r="I353" s="153">
        <v>70.38</v>
      </c>
      <c r="J353" s="153">
        <v>70.31</v>
      </c>
      <c r="K353" s="153">
        <v>70.290000000000006</v>
      </c>
      <c r="L353" s="153">
        <v>70.34</v>
      </c>
      <c r="M353" s="80">
        <f t="shared" si="10"/>
        <v>70.38</v>
      </c>
      <c r="N353" s="80">
        <f t="shared" si="11"/>
        <v>70.290000000000006</v>
      </c>
      <c r="O353" s="153">
        <v>21.17</v>
      </c>
      <c r="P353" s="153">
        <v>21.08</v>
      </c>
      <c r="Q353" s="153">
        <v>21.07</v>
      </c>
      <c r="R353" s="153">
        <v>21.05</v>
      </c>
      <c r="S353" s="4"/>
      <c r="U353" s="147" t="s">
        <v>431</v>
      </c>
      <c r="V353" s="11"/>
      <c r="W353" s="4"/>
      <c r="X353" s="12"/>
      <c r="Y353" s="14"/>
      <c r="Z353" s="4"/>
      <c r="AA353" s="13"/>
      <c r="AB353" s="11"/>
      <c r="AC353" s="4"/>
      <c r="AD353" s="12"/>
      <c r="AE353" s="13"/>
      <c r="AF353" s="14">
        <v>5.0209000000000001</v>
      </c>
      <c r="AG353" s="133"/>
      <c r="AI353" s="84"/>
      <c r="AL353" s="64">
        <v>4.1733061666666664</v>
      </c>
      <c r="AM353" s="56">
        <v>14.460000000000051</v>
      </c>
      <c r="AN353" s="56">
        <v>16.460000000000012</v>
      </c>
      <c r="AO353" s="62">
        <v>22.520000000000099</v>
      </c>
      <c r="AQ353" s="64">
        <v>4.0838027666666656</v>
      </c>
      <c r="AR353" s="56">
        <v>14.41999999999997</v>
      </c>
      <c r="AS353" s="56">
        <v>15.87999999999994</v>
      </c>
      <c r="AT353" s="62">
        <v>20.02000000000006</v>
      </c>
      <c r="AV353" s="64">
        <v>3.7316630000000011</v>
      </c>
      <c r="AW353" s="56">
        <v>13.49999999999998</v>
      </c>
      <c r="AX353" s="56">
        <v>14.94</v>
      </c>
      <c r="AY353" s="62">
        <v>19.639999999999969</v>
      </c>
      <c r="BA353" s="64">
        <v>3.192630733333333</v>
      </c>
      <c r="BB353" s="56">
        <v>15.679999999999961</v>
      </c>
      <c r="BC353" s="56">
        <v>18.079999999999959</v>
      </c>
      <c r="BD353" s="62">
        <v>29.679999999999929</v>
      </c>
      <c r="BF353" s="64">
        <v>2.9259016500000001</v>
      </c>
      <c r="BG353" s="56">
        <v>19.660000000000011</v>
      </c>
      <c r="BH353" s="56">
        <v>26.480000000000011</v>
      </c>
      <c r="BI353" s="62">
        <v>56.06</v>
      </c>
      <c r="BJ353" s="72"/>
      <c r="BK353" s="51"/>
    </row>
    <row r="354" spans="1:63" x14ac:dyDescent="0.4">
      <c r="A354" s="11" t="s">
        <v>432</v>
      </c>
      <c r="B354" s="4"/>
      <c r="C354" s="4"/>
      <c r="D354" s="4"/>
      <c r="E354" s="12"/>
      <c r="G354" s="147" t="s">
        <v>432</v>
      </c>
      <c r="H354" s="159">
        <v>70.042000000000002</v>
      </c>
      <c r="I354" s="153">
        <v>70.39</v>
      </c>
      <c r="J354" s="153">
        <v>70.36</v>
      </c>
      <c r="K354" s="153">
        <v>70.34</v>
      </c>
      <c r="L354" s="153">
        <v>70.28</v>
      </c>
      <c r="M354" s="80">
        <f t="shared" si="10"/>
        <v>70.39</v>
      </c>
      <c r="N354" s="80">
        <f t="shared" si="11"/>
        <v>70.28</v>
      </c>
      <c r="O354" s="153">
        <v>21.2</v>
      </c>
      <c r="P354" s="153">
        <v>21.14</v>
      </c>
      <c r="Q354" s="153">
        <v>21.07</v>
      </c>
      <c r="R354" s="153">
        <v>21.02</v>
      </c>
      <c r="S354" s="4"/>
      <c r="U354" s="147" t="s">
        <v>432</v>
      </c>
      <c r="V354" s="11"/>
      <c r="W354" s="4"/>
      <c r="X354" s="12"/>
      <c r="Y354" s="14"/>
      <c r="Z354" s="4"/>
      <c r="AA354" s="13"/>
      <c r="AB354" s="11"/>
      <c r="AC354" s="4"/>
      <c r="AD354" s="12"/>
      <c r="AE354" s="13"/>
      <c r="AF354" s="14">
        <v>5.0223000000000004</v>
      </c>
      <c r="AG354" s="133"/>
      <c r="AI354" s="84"/>
      <c r="AL354" s="64">
        <v>4.1730769166666661</v>
      </c>
      <c r="AM354" s="56">
        <v>14.160000000000039</v>
      </c>
      <c r="AN354" s="56">
        <v>16.119999999999909</v>
      </c>
      <c r="AO354" s="62">
        <v>22.080000000000059</v>
      </c>
      <c r="AQ354" s="64">
        <v>4.0832021833333334</v>
      </c>
      <c r="AR354" s="56">
        <v>14.400000000000009</v>
      </c>
      <c r="AS354" s="56">
        <v>15.87999999999994</v>
      </c>
      <c r="AT354" s="62">
        <v>20.039999999999921</v>
      </c>
      <c r="AV354" s="64">
        <v>3.7305772666666659</v>
      </c>
      <c r="AW354" s="56">
        <v>13.640000000000009</v>
      </c>
      <c r="AX354" s="56">
        <v>15.120000000000021</v>
      </c>
      <c r="AY354" s="62">
        <v>19.840000000000039</v>
      </c>
      <c r="BA354" s="64">
        <v>3.189386616666666</v>
      </c>
      <c r="BB354" s="56">
        <v>15.940000000000071</v>
      </c>
      <c r="BC354" s="56">
        <v>18.40000000000002</v>
      </c>
      <c r="BD354" s="62">
        <v>30.200000000000049</v>
      </c>
      <c r="BF354" s="64">
        <v>2.930229933333333</v>
      </c>
      <c r="BG354" s="56">
        <v>19.660000000000011</v>
      </c>
      <c r="BH354" s="56">
        <v>26.499999999999972</v>
      </c>
      <c r="BI354" s="62">
        <v>55.619999999999962</v>
      </c>
      <c r="BJ354" s="72"/>
      <c r="BK354" s="51"/>
    </row>
    <row r="355" spans="1:63" x14ac:dyDescent="0.4">
      <c r="A355" s="11" t="s">
        <v>433</v>
      </c>
      <c r="B355" s="4"/>
      <c r="C355" s="4"/>
      <c r="D355" s="4"/>
      <c r="E355" s="12"/>
      <c r="G355" s="147" t="s">
        <v>433</v>
      </c>
      <c r="H355" s="159">
        <v>70.100999999999999</v>
      </c>
      <c r="I355" s="153">
        <v>70.349999999999994</v>
      </c>
      <c r="J355" s="153">
        <v>70.400000000000006</v>
      </c>
      <c r="K355" s="153">
        <v>70.290000000000006</v>
      </c>
      <c r="L355" s="153">
        <v>70.34</v>
      </c>
      <c r="M355" s="80">
        <f t="shared" si="10"/>
        <v>70.400000000000006</v>
      </c>
      <c r="N355" s="80">
        <f t="shared" si="11"/>
        <v>70.290000000000006</v>
      </c>
      <c r="O355" s="153">
        <v>21.16</v>
      </c>
      <c r="P355" s="153">
        <v>21.08</v>
      </c>
      <c r="Q355" s="153">
        <v>21.14</v>
      </c>
      <c r="R355" s="153">
        <v>21.09</v>
      </c>
      <c r="S355" s="4"/>
      <c r="U355" s="147" t="s">
        <v>433</v>
      </c>
      <c r="V355" s="11"/>
      <c r="W355" s="4"/>
      <c r="X355" s="12"/>
      <c r="Y355" s="14"/>
      <c r="Z355" s="4"/>
      <c r="AA355" s="13"/>
      <c r="AB355" s="11"/>
      <c r="AC355" s="4"/>
      <c r="AD355" s="12"/>
      <c r="AE355" s="13"/>
      <c r="AF355" s="14">
        <v>5.0204000000000004</v>
      </c>
      <c r="AG355" s="133"/>
      <c r="AI355" s="84"/>
      <c r="AL355" s="64">
        <v>4.1732302666666667</v>
      </c>
      <c r="AM355" s="56">
        <v>14.499999999999959</v>
      </c>
      <c r="AN355" s="56">
        <v>16.460000000000012</v>
      </c>
      <c r="AO355" s="62">
        <v>22.359999999999939</v>
      </c>
      <c r="AQ355" s="64">
        <v>4.0814062166666671</v>
      </c>
      <c r="AR355" s="56">
        <v>14.120000000000131</v>
      </c>
      <c r="AS355" s="56">
        <v>15.60000000000006</v>
      </c>
      <c r="AT355" s="62">
        <v>19.740000000000091</v>
      </c>
      <c r="AV355" s="64">
        <v>3.7289305833333328</v>
      </c>
      <c r="AW355" s="56">
        <v>13.44000000000003</v>
      </c>
      <c r="AX355" s="56">
        <v>14.9</v>
      </c>
      <c r="AY355" s="62">
        <v>19.620000000000019</v>
      </c>
      <c r="BA355" s="64">
        <v>3.1884273333333328</v>
      </c>
      <c r="BB355" s="56">
        <v>16.04000000000001</v>
      </c>
      <c r="BC355" s="56">
        <v>18.499999999999961</v>
      </c>
      <c r="BD355" s="62">
        <v>30.279999999999951</v>
      </c>
      <c r="BF355" s="64">
        <v>2.9261175833333328</v>
      </c>
      <c r="BG355" s="56">
        <v>19.899999999999981</v>
      </c>
      <c r="BH355" s="56">
        <v>26.6</v>
      </c>
      <c r="BI355" s="62">
        <v>55.64</v>
      </c>
      <c r="BJ355" s="69"/>
      <c r="BK355" s="51"/>
    </row>
    <row r="356" spans="1:63" x14ac:dyDescent="0.4">
      <c r="A356" s="11" t="s">
        <v>434</v>
      </c>
      <c r="B356" s="4"/>
      <c r="C356" s="4"/>
      <c r="D356" s="4"/>
      <c r="E356" s="12"/>
      <c r="G356" s="147" t="s">
        <v>434</v>
      </c>
      <c r="H356" s="159">
        <v>70.16</v>
      </c>
      <c r="I356" s="153">
        <v>70.38</v>
      </c>
      <c r="J356" s="153">
        <v>70.37</v>
      </c>
      <c r="K356" s="153">
        <v>70.36</v>
      </c>
      <c r="L356" s="153">
        <v>70.36</v>
      </c>
      <c r="M356" s="80">
        <f t="shared" si="10"/>
        <v>70.38</v>
      </c>
      <c r="N356" s="80">
        <f t="shared" si="11"/>
        <v>70.36</v>
      </c>
      <c r="O356" s="153">
        <v>21.2</v>
      </c>
      <c r="P356" s="153">
        <v>21.17</v>
      </c>
      <c r="Q356" s="153">
        <v>21.1</v>
      </c>
      <c r="R356" s="153">
        <v>21.01</v>
      </c>
      <c r="S356" s="4"/>
      <c r="U356" s="147" t="s">
        <v>434</v>
      </c>
      <c r="V356" s="11"/>
      <c r="W356" s="4"/>
      <c r="X356" s="12"/>
      <c r="Y356" s="14"/>
      <c r="Z356" s="4"/>
      <c r="AA356" s="13"/>
      <c r="AB356" s="11"/>
      <c r="AC356" s="4"/>
      <c r="AD356" s="12"/>
      <c r="AE356" s="13"/>
      <c r="AF356" s="14">
        <v>5.0303000000000004</v>
      </c>
      <c r="AG356" s="133"/>
      <c r="AI356" s="84"/>
      <c r="AL356" s="64">
        <v>4.1733462000000001</v>
      </c>
      <c r="AM356" s="56">
        <v>14.00000000000006</v>
      </c>
      <c r="AN356" s="56">
        <v>15.939999999999969</v>
      </c>
      <c r="AO356" s="62">
        <v>22.00000000000006</v>
      </c>
      <c r="AQ356" s="64">
        <v>4.0818494333333337</v>
      </c>
      <c r="AR356" s="56">
        <v>13.68000000000009</v>
      </c>
      <c r="AS356" s="56">
        <v>15.11999999999993</v>
      </c>
      <c r="AT356" s="62">
        <v>19.09999999999998</v>
      </c>
      <c r="AV356" s="64">
        <v>3.7283492833333329</v>
      </c>
      <c r="AW356" s="56">
        <v>13.37999999999999</v>
      </c>
      <c r="AX356" s="56">
        <v>14.84000000000005</v>
      </c>
      <c r="AY356" s="62">
        <v>19.520000000000071</v>
      </c>
      <c r="BA356" s="64">
        <v>3.18568725</v>
      </c>
      <c r="BB356" s="56">
        <v>16.139999999999951</v>
      </c>
      <c r="BC356" s="56">
        <v>18.579999999999949</v>
      </c>
      <c r="BD356" s="62">
        <v>30.379999999999981</v>
      </c>
      <c r="BF356" s="64">
        <v>2.9168623500000002</v>
      </c>
      <c r="BG356" s="56">
        <v>19.93999999999998</v>
      </c>
      <c r="BH356" s="56">
        <v>26.679999999999989</v>
      </c>
      <c r="BI356" s="62">
        <v>56.299999999999983</v>
      </c>
      <c r="BJ356" s="70"/>
      <c r="BK356" s="51"/>
    </row>
    <row r="357" spans="1:63" x14ac:dyDescent="0.4">
      <c r="A357" s="11" t="s">
        <v>435</v>
      </c>
      <c r="B357" s="4"/>
      <c r="C357" s="4"/>
      <c r="D357" s="4"/>
      <c r="E357" s="12"/>
      <c r="G357" s="147" t="s">
        <v>435</v>
      </c>
      <c r="H357" s="159">
        <v>70.034999999999997</v>
      </c>
      <c r="I357" s="153">
        <v>70.319999999999993</v>
      </c>
      <c r="J357" s="153">
        <v>70.31</v>
      </c>
      <c r="K357" s="153">
        <v>70.38</v>
      </c>
      <c r="L357" s="153">
        <v>70.38</v>
      </c>
      <c r="M357" s="80">
        <f t="shared" si="10"/>
        <v>70.38</v>
      </c>
      <c r="N357" s="80">
        <f t="shared" si="11"/>
        <v>70.31</v>
      </c>
      <c r="O357" s="153">
        <v>21.13</v>
      </c>
      <c r="P357" s="153">
        <v>21.02</v>
      </c>
      <c r="Q357" s="153">
        <v>21.16</v>
      </c>
      <c r="R357" s="153">
        <v>21.08</v>
      </c>
      <c r="S357" s="4"/>
      <c r="U357" s="147" t="s">
        <v>435</v>
      </c>
      <c r="V357" s="11"/>
      <c r="W357" s="4"/>
      <c r="X357" s="12"/>
      <c r="Y357" s="14"/>
      <c r="Z357" s="4"/>
      <c r="AA357" s="13"/>
      <c r="AB357" s="11"/>
      <c r="AC357" s="4"/>
      <c r="AD357" s="12"/>
      <c r="AE357" s="13"/>
      <c r="AF357" s="14">
        <v>5.0176999999999996</v>
      </c>
      <c r="AG357" s="133"/>
      <c r="AI357" s="84"/>
      <c r="AL357" s="64">
        <v>4.1729685166666668</v>
      </c>
      <c r="AM357" s="56">
        <v>15.04000000000012</v>
      </c>
      <c r="AN357" s="56">
        <v>17.040000000000081</v>
      </c>
      <c r="AO357" s="62">
        <v>23.099999999999991</v>
      </c>
      <c r="AQ357" s="64">
        <v>4.0807010500000001</v>
      </c>
      <c r="AR357" s="56">
        <v>14.499999999999959</v>
      </c>
      <c r="AS357" s="56">
        <v>16.019999999999971</v>
      </c>
      <c r="AT357" s="62">
        <v>20.180000000000039</v>
      </c>
      <c r="AV357" s="64">
        <v>3.7284796833333318</v>
      </c>
      <c r="AW357" s="56">
        <v>14.119999999999949</v>
      </c>
      <c r="AX357" s="56">
        <v>15.63999999999997</v>
      </c>
      <c r="AY357" s="62">
        <v>20.500000000000011</v>
      </c>
      <c r="BA357" s="64">
        <v>3.190344683333334</v>
      </c>
      <c r="BB357" s="56">
        <v>16.239999999999991</v>
      </c>
      <c r="BC357" s="56">
        <v>18.699999999999939</v>
      </c>
      <c r="BD357" s="62">
        <v>30.399999999999942</v>
      </c>
      <c r="BF357" s="64">
        <v>2.9212520999999998</v>
      </c>
      <c r="BG357" s="56">
        <v>20.219999999999949</v>
      </c>
      <c r="BH357" s="56">
        <v>26.999999999999961</v>
      </c>
      <c r="BI357" s="62">
        <v>56.48</v>
      </c>
      <c r="BJ357" s="70"/>
      <c r="BK357" s="51"/>
    </row>
    <row r="358" spans="1:63" x14ac:dyDescent="0.4">
      <c r="A358" s="11" t="s">
        <v>436</v>
      </c>
      <c r="B358" s="4"/>
      <c r="C358" s="4"/>
      <c r="D358" s="4"/>
      <c r="E358" s="12"/>
      <c r="G358" s="147" t="s">
        <v>436</v>
      </c>
      <c r="H358" s="159">
        <v>70.063000000000002</v>
      </c>
      <c r="I358" s="153">
        <v>70.38</v>
      </c>
      <c r="J358" s="153">
        <v>70.39</v>
      </c>
      <c r="K358" s="153">
        <v>70.34</v>
      </c>
      <c r="L358" s="153">
        <v>70.34</v>
      </c>
      <c r="M358" s="80">
        <f t="shared" si="10"/>
        <v>70.39</v>
      </c>
      <c r="N358" s="80">
        <f t="shared" si="11"/>
        <v>70.34</v>
      </c>
      <c r="O358" s="153">
        <v>21.15</v>
      </c>
      <c r="P358" s="153">
        <v>21.13</v>
      </c>
      <c r="Q358" s="153">
        <v>21.15</v>
      </c>
      <c r="R358" s="153">
        <v>21.06</v>
      </c>
      <c r="S358" s="4"/>
      <c r="U358" s="147" t="s">
        <v>436</v>
      </c>
      <c r="V358" s="11"/>
      <c r="W358" s="4"/>
      <c r="X358" s="12"/>
      <c r="Y358" s="14"/>
      <c r="Z358" s="4"/>
      <c r="AA358" s="13"/>
      <c r="AB358" s="11"/>
      <c r="AC358" s="4"/>
      <c r="AD358" s="12"/>
      <c r="AE358" s="13"/>
      <c r="AF358" s="14">
        <v>5.0143000000000004</v>
      </c>
      <c r="AG358" s="133"/>
      <c r="AI358" s="84"/>
      <c r="AL358" s="64">
        <v>4.1731859833333331</v>
      </c>
      <c r="AM358" s="56">
        <v>14.86000000000001</v>
      </c>
      <c r="AN358" s="56">
        <v>16.879999999999921</v>
      </c>
      <c r="AO358" s="62">
        <v>22.879999999999971</v>
      </c>
      <c r="AQ358" s="64">
        <v>4.0823716499999998</v>
      </c>
      <c r="AR358" s="56">
        <v>14.41999999999997</v>
      </c>
      <c r="AS358" s="56">
        <v>15.920000000000019</v>
      </c>
      <c r="AT358" s="62">
        <v>20.039999999999921</v>
      </c>
      <c r="AV358" s="64">
        <v>3.7299554499999998</v>
      </c>
      <c r="AW358" s="56">
        <v>13.879999999999979</v>
      </c>
      <c r="AX358" s="56">
        <v>15.33999999999995</v>
      </c>
      <c r="AY358" s="62">
        <v>20.12</v>
      </c>
      <c r="BA358" s="64">
        <v>3.188287466666667</v>
      </c>
      <c r="BB358" s="56">
        <v>16.14000000000004</v>
      </c>
      <c r="BC358" s="56">
        <v>18.599999999999991</v>
      </c>
      <c r="BD358" s="62">
        <v>30.400000000000031</v>
      </c>
      <c r="BF358" s="64">
        <v>2.923069416666666</v>
      </c>
      <c r="BG358" s="56">
        <v>20.019999999999971</v>
      </c>
      <c r="BH358" s="56">
        <v>26.839999999999971</v>
      </c>
      <c r="BI358" s="62">
        <v>56.44</v>
      </c>
      <c r="BJ358" s="70"/>
      <c r="BK358" s="51"/>
    </row>
    <row r="359" spans="1:63" x14ac:dyDescent="0.4">
      <c r="A359" s="11" t="s">
        <v>437</v>
      </c>
      <c r="B359" s="4"/>
      <c r="C359" s="4"/>
      <c r="D359" s="4"/>
      <c r="E359" s="12"/>
      <c r="G359" s="147" t="s">
        <v>437</v>
      </c>
      <c r="H359" s="159">
        <v>70.087000000000003</v>
      </c>
      <c r="I359" s="153">
        <v>70.37</v>
      </c>
      <c r="J359" s="153">
        <v>70.349999999999994</v>
      </c>
      <c r="K359" s="153">
        <v>70.36</v>
      </c>
      <c r="L359" s="153">
        <v>70.37</v>
      </c>
      <c r="M359" s="80">
        <f t="shared" si="10"/>
        <v>70.37</v>
      </c>
      <c r="N359" s="80">
        <f t="shared" si="11"/>
        <v>70.349999999999994</v>
      </c>
      <c r="O359" s="153">
        <v>21.19</v>
      </c>
      <c r="P359" s="153">
        <v>21.12</v>
      </c>
      <c r="Q359" s="153">
        <v>21.12</v>
      </c>
      <c r="R359" s="153">
        <v>21.1</v>
      </c>
      <c r="S359" s="4"/>
      <c r="U359" s="147" t="s">
        <v>437</v>
      </c>
      <c r="V359" s="11"/>
      <c r="W359" s="4"/>
      <c r="X359" s="12"/>
      <c r="Y359" s="14"/>
      <c r="Z359" s="4"/>
      <c r="AA359" s="13"/>
      <c r="AB359" s="11"/>
      <c r="AC359" s="4"/>
      <c r="AD359" s="12"/>
      <c r="AE359" s="13"/>
      <c r="AF359" s="14">
        <v>5.016</v>
      </c>
      <c r="AG359" s="133"/>
      <c r="AI359" s="84"/>
      <c r="AL359" s="64">
        <v>4.1739015000000004</v>
      </c>
      <c r="AM359" s="56">
        <v>14.299999999999891</v>
      </c>
      <c r="AN359" s="56">
        <v>16.259999999999941</v>
      </c>
      <c r="AO359" s="62">
        <v>22.19999999999995</v>
      </c>
      <c r="AQ359" s="64">
        <v>4.081297283333333</v>
      </c>
      <c r="AR359" s="56">
        <v>13.79999999999999</v>
      </c>
      <c r="AS359" s="56">
        <v>15.21999999999988</v>
      </c>
      <c r="AT359" s="62">
        <v>19.25999999999997</v>
      </c>
      <c r="AV359" s="64">
        <v>3.728760133333334</v>
      </c>
      <c r="AW359" s="56">
        <v>13.11999999999998</v>
      </c>
      <c r="AX359" s="56">
        <v>14.52</v>
      </c>
      <c r="AY359" s="62">
        <v>19.159999999999929</v>
      </c>
      <c r="BA359" s="64">
        <v>3.1869933333333331</v>
      </c>
      <c r="BB359" s="56">
        <v>15.29999999999996</v>
      </c>
      <c r="BC359" s="56">
        <v>17.68000000000001</v>
      </c>
      <c r="BD359" s="62">
        <v>29.300000000000011</v>
      </c>
      <c r="BF359" s="64">
        <v>2.923935516666667</v>
      </c>
      <c r="BG359" s="56">
        <v>19.119999999999941</v>
      </c>
      <c r="BH359" s="56">
        <v>25.899999999999949</v>
      </c>
      <c r="BI359" s="62">
        <v>55.319999999999943</v>
      </c>
      <c r="BJ359" s="70"/>
      <c r="BK359" s="51"/>
    </row>
    <row r="360" spans="1:63" x14ac:dyDescent="0.4">
      <c r="A360" s="11" t="s">
        <v>438</v>
      </c>
      <c r="B360" s="4"/>
      <c r="C360" s="4"/>
      <c r="D360" s="4"/>
      <c r="E360" s="12"/>
      <c r="G360" s="147" t="s">
        <v>438</v>
      </c>
      <c r="H360" s="159">
        <v>69.915000000000006</v>
      </c>
      <c r="I360" s="153">
        <v>70.39</v>
      </c>
      <c r="J360" s="153">
        <v>70.31</v>
      </c>
      <c r="K360" s="153">
        <v>70.319999999999993</v>
      </c>
      <c r="L360" s="153">
        <v>70.28</v>
      </c>
      <c r="M360" s="80">
        <f t="shared" si="10"/>
        <v>70.39</v>
      </c>
      <c r="N360" s="80">
        <f t="shared" si="11"/>
        <v>70.28</v>
      </c>
      <c r="O360" s="153">
        <v>21.2</v>
      </c>
      <c r="P360" s="153">
        <v>21.07</v>
      </c>
      <c r="Q360" s="153">
        <v>21.15</v>
      </c>
      <c r="R360" s="153">
        <v>21.08</v>
      </c>
      <c r="S360" s="4"/>
      <c r="U360" s="147" t="s">
        <v>438</v>
      </c>
      <c r="V360" s="11"/>
      <c r="W360" s="4"/>
      <c r="X360" s="12"/>
      <c r="Y360" s="14"/>
      <c r="Z360" s="4"/>
      <c r="AA360" s="13"/>
      <c r="AB360" s="11"/>
      <c r="AC360" s="4"/>
      <c r="AD360" s="12"/>
      <c r="AE360" s="13"/>
      <c r="AF360" s="14">
        <v>5.0124000000000004</v>
      </c>
      <c r="AG360" s="133"/>
      <c r="AI360" s="84"/>
      <c r="AL360" s="64">
        <v>4.1732909666666664</v>
      </c>
      <c r="AM360" s="56">
        <v>14.400000000000009</v>
      </c>
      <c r="AN360" s="56">
        <v>16.36000000000006</v>
      </c>
      <c r="AO360" s="62">
        <v>22.300000000000079</v>
      </c>
      <c r="AQ360" s="64">
        <v>4.0812718499999994</v>
      </c>
      <c r="AR360" s="56">
        <v>14.179999999999991</v>
      </c>
      <c r="AS360" s="56">
        <v>15.6600000000001</v>
      </c>
      <c r="AT360" s="62">
        <v>19.760000000000041</v>
      </c>
      <c r="AV360" s="64">
        <v>3.728433383333333</v>
      </c>
      <c r="AW360" s="56">
        <v>13.439999999999941</v>
      </c>
      <c r="AX360" s="56">
        <v>14.87999999999996</v>
      </c>
      <c r="AY360" s="62">
        <v>19.559999999999981</v>
      </c>
      <c r="BA360" s="64">
        <v>3.1862522333333332</v>
      </c>
      <c r="BB360" s="56">
        <v>15.799999999999949</v>
      </c>
      <c r="BC360" s="56">
        <v>18.19999999999995</v>
      </c>
      <c r="BD360" s="62">
        <v>29.95999999999999</v>
      </c>
      <c r="BF360" s="64">
        <v>2.9247360833333329</v>
      </c>
      <c r="BG360" s="56">
        <v>19.559999999999981</v>
      </c>
      <c r="BH360" s="56">
        <v>26.359999999999939</v>
      </c>
      <c r="BI360" s="62">
        <v>55.659999999999947</v>
      </c>
      <c r="BJ360" s="70"/>
      <c r="BK360" s="51"/>
    </row>
    <row r="361" spans="1:63" x14ac:dyDescent="0.4">
      <c r="A361" s="11" t="s">
        <v>439</v>
      </c>
      <c r="B361" s="4"/>
      <c r="C361" s="4"/>
      <c r="D361" s="4"/>
      <c r="E361" s="12"/>
      <c r="G361" s="147" t="s">
        <v>439</v>
      </c>
      <c r="H361" s="159">
        <v>70.037000000000006</v>
      </c>
      <c r="I361" s="153">
        <v>70.349999999999994</v>
      </c>
      <c r="J361" s="153">
        <v>70.27</v>
      </c>
      <c r="K361" s="153">
        <v>70.33</v>
      </c>
      <c r="L361" s="153">
        <v>70.34</v>
      </c>
      <c r="M361" s="80">
        <f t="shared" si="10"/>
        <v>70.349999999999994</v>
      </c>
      <c r="N361" s="80">
        <f t="shared" si="11"/>
        <v>70.27</v>
      </c>
      <c r="O361" s="153">
        <v>21.15</v>
      </c>
      <c r="P361" s="153">
        <v>21.12</v>
      </c>
      <c r="Q361" s="153">
        <v>21.17</v>
      </c>
      <c r="R361" s="153">
        <v>21.06</v>
      </c>
      <c r="S361" s="4"/>
      <c r="U361" s="147" t="s">
        <v>439</v>
      </c>
      <c r="V361" s="11"/>
      <c r="W361" s="4"/>
      <c r="X361" s="12"/>
      <c r="Y361" s="14"/>
      <c r="Z361" s="4"/>
      <c r="AA361" s="13"/>
      <c r="AB361" s="11"/>
      <c r="AC361" s="4"/>
      <c r="AD361" s="12"/>
      <c r="AE361" s="13"/>
      <c r="AF361" s="14">
        <v>5.0023999999999997</v>
      </c>
      <c r="AG361" s="133"/>
      <c r="AI361" s="84"/>
      <c r="AL361" s="64">
        <v>4.1734505500000001</v>
      </c>
      <c r="AM361" s="56">
        <v>15.039999999999941</v>
      </c>
      <c r="AN361" s="56">
        <v>17.079999999999981</v>
      </c>
      <c r="AO361" s="62">
        <v>23.279999999999919</v>
      </c>
      <c r="AQ361" s="64">
        <v>4.0816455666666656</v>
      </c>
      <c r="AR361" s="56">
        <v>14.56</v>
      </c>
      <c r="AS361" s="56">
        <v>16.080000000000009</v>
      </c>
      <c r="AT361" s="62">
        <v>20.19999999999991</v>
      </c>
      <c r="AV361" s="64">
        <v>3.727828966666666</v>
      </c>
      <c r="AW361" s="56">
        <v>14.200000000000029</v>
      </c>
      <c r="AX361" s="56">
        <v>15.71999999999996</v>
      </c>
      <c r="AY361" s="62">
        <v>20.55999999999996</v>
      </c>
      <c r="BA361" s="64">
        <v>3.180389583333334</v>
      </c>
      <c r="BB361" s="56">
        <v>16.379999999999932</v>
      </c>
      <c r="BC361" s="56">
        <v>18.87999999999996</v>
      </c>
      <c r="BD361" s="62">
        <v>30.940000000000008</v>
      </c>
      <c r="BF361" s="64">
        <v>2.9127291333333329</v>
      </c>
      <c r="BG361" s="56">
        <v>20.26000000000003</v>
      </c>
      <c r="BH361" s="56">
        <v>26.920000000000051</v>
      </c>
      <c r="BI361" s="62">
        <v>56.920000000000037</v>
      </c>
      <c r="BJ361" s="70"/>
      <c r="BK361" s="51"/>
    </row>
    <row r="362" spans="1:63" x14ac:dyDescent="0.4">
      <c r="A362" s="11" t="s">
        <v>440</v>
      </c>
      <c r="B362" s="4"/>
      <c r="C362" s="4"/>
      <c r="D362" s="4"/>
      <c r="E362" s="12"/>
      <c r="G362" s="147" t="s">
        <v>440</v>
      </c>
      <c r="H362" s="159">
        <v>70.08</v>
      </c>
      <c r="I362" s="153">
        <v>70.31</v>
      </c>
      <c r="J362" s="153">
        <v>70.349999999999994</v>
      </c>
      <c r="K362" s="153">
        <v>70.27</v>
      </c>
      <c r="L362" s="153">
        <v>70.27</v>
      </c>
      <c r="M362" s="80">
        <f t="shared" si="10"/>
        <v>70.349999999999994</v>
      </c>
      <c r="N362" s="80">
        <f t="shared" si="11"/>
        <v>70.27</v>
      </c>
      <c r="O362" s="153">
        <v>21.14</v>
      </c>
      <c r="P362" s="153">
        <v>20.99</v>
      </c>
      <c r="Q362" s="153">
        <v>21.12</v>
      </c>
      <c r="R362" s="153">
        <v>21</v>
      </c>
      <c r="S362" s="4"/>
      <c r="U362" s="147" t="s">
        <v>440</v>
      </c>
      <c r="V362" s="11"/>
      <c r="W362" s="4"/>
      <c r="X362" s="12"/>
      <c r="Y362" s="14"/>
      <c r="Z362" s="4"/>
      <c r="AA362" s="13"/>
      <c r="AB362" s="11"/>
      <c r="AC362" s="4"/>
      <c r="AD362" s="12"/>
      <c r="AE362" s="13"/>
      <c r="AF362" s="14">
        <v>5.0152999999999999</v>
      </c>
      <c r="AG362" s="133"/>
      <c r="AI362" s="84"/>
      <c r="AL362" s="64">
        <v>4.1734019333333334</v>
      </c>
      <c r="AM362" s="56">
        <v>14.700000000000021</v>
      </c>
      <c r="AN362" s="56">
        <v>16.699999999999982</v>
      </c>
      <c r="AO362" s="62">
        <v>22.760000000000069</v>
      </c>
      <c r="AQ362" s="64">
        <v>4.0817168499999994</v>
      </c>
      <c r="AR362" s="56">
        <v>14.220000000000081</v>
      </c>
      <c r="AS362" s="56">
        <v>15.680000000000049</v>
      </c>
      <c r="AT362" s="62">
        <v>19.840000000000039</v>
      </c>
      <c r="AV362" s="64">
        <v>3.7286756333333342</v>
      </c>
      <c r="AW362" s="56">
        <v>13.66000000000005</v>
      </c>
      <c r="AX362" s="56">
        <v>15.140000000000059</v>
      </c>
      <c r="AY362" s="62">
        <v>19.880000000000031</v>
      </c>
      <c r="BA362" s="64">
        <v>3.1851837000000001</v>
      </c>
      <c r="BB362" s="56">
        <v>15.440000000000079</v>
      </c>
      <c r="BC362" s="56">
        <v>17.820000000000039</v>
      </c>
      <c r="BD362" s="62">
        <v>29.540000000000081</v>
      </c>
      <c r="BF362" s="64">
        <v>2.923911566666666</v>
      </c>
      <c r="BG362" s="56">
        <v>19.119999999999941</v>
      </c>
      <c r="BH362" s="56">
        <v>25.779999999999959</v>
      </c>
      <c r="BI362" s="62">
        <v>54.97999999999994</v>
      </c>
      <c r="BJ362" s="70"/>
      <c r="BK362" s="51"/>
    </row>
    <row r="363" spans="1:63" x14ac:dyDescent="0.4">
      <c r="A363" s="11" t="s">
        <v>441</v>
      </c>
      <c r="B363" s="4"/>
      <c r="C363" s="4"/>
      <c r="D363" s="4"/>
      <c r="E363" s="12"/>
      <c r="G363" s="147" t="s">
        <v>441</v>
      </c>
      <c r="H363" s="159">
        <v>70.037000000000006</v>
      </c>
      <c r="I363" s="153">
        <v>70.38</v>
      </c>
      <c r="J363" s="153">
        <v>70.319999999999993</v>
      </c>
      <c r="K363" s="153">
        <v>70.290000000000006</v>
      </c>
      <c r="L363" s="153">
        <v>70.34</v>
      </c>
      <c r="M363" s="80">
        <f t="shared" si="10"/>
        <v>70.38</v>
      </c>
      <c r="N363" s="80">
        <f t="shared" si="11"/>
        <v>70.290000000000006</v>
      </c>
      <c r="O363" s="153">
        <v>21.13</v>
      </c>
      <c r="P363" s="153">
        <v>21.09</v>
      </c>
      <c r="Q363" s="153">
        <v>21.04</v>
      </c>
      <c r="R363" s="153">
        <v>21.03</v>
      </c>
      <c r="S363" s="4"/>
      <c r="U363" s="147" t="s">
        <v>441</v>
      </c>
      <c r="V363" s="11"/>
      <c r="W363" s="4"/>
      <c r="X363" s="12"/>
      <c r="Y363" s="14"/>
      <c r="Z363" s="4"/>
      <c r="AA363" s="13"/>
      <c r="AB363" s="11"/>
      <c r="AC363" s="4"/>
      <c r="AD363" s="12"/>
      <c r="AE363" s="13"/>
      <c r="AF363" s="14">
        <v>5.0185000000000004</v>
      </c>
      <c r="AG363" s="133"/>
      <c r="AI363" s="84"/>
      <c r="AL363" s="64">
        <v>4.1735994500000002</v>
      </c>
      <c r="AM363" s="56">
        <v>14.279999999999941</v>
      </c>
      <c r="AN363" s="56">
        <v>16.279999999999891</v>
      </c>
      <c r="AO363" s="62">
        <v>22.21999999999991</v>
      </c>
      <c r="AQ363" s="64">
        <v>4.0820407000000003</v>
      </c>
      <c r="AR363" s="56">
        <v>14.279999999999941</v>
      </c>
      <c r="AS363" s="56">
        <v>15.759999999999859</v>
      </c>
      <c r="AT363" s="62">
        <v>19.919999999999941</v>
      </c>
      <c r="AV363" s="64">
        <v>3.729514316666668</v>
      </c>
      <c r="AW363" s="56">
        <v>13.68</v>
      </c>
      <c r="AX363" s="56">
        <v>15.17999999999997</v>
      </c>
      <c r="AY363" s="62">
        <v>19.93999999999998</v>
      </c>
      <c r="BA363" s="64">
        <v>3.1881173666666669</v>
      </c>
      <c r="BB363" s="56">
        <v>16.520000000000049</v>
      </c>
      <c r="BC363" s="56">
        <v>19.019999999999989</v>
      </c>
      <c r="BD363" s="62">
        <v>30.960000000000051</v>
      </c>
      <c r="BF363" s="64">
        <v>2.9245776000000001</v>
      </c>
      <c r="BG363" s="56">
        <v>20.420000000000019</v>
      </c>
      <c r="BH363" s="56">
        <v>27.25999999999997</v>
      </c>
      <c r="BI363" s="62">
        <v>56.759999999999962</v>
      </c>
      <c r="BJ363" s="70"/>
      <c r="BK363" s="51"/>
    </row>
    <row r="364" spans="1:63" x14ac:dyDescent="0.4">
      <c r="A364" s="11" t="s">
        <v>442</v>
      </c>
      <c r="B364" s="4"/>
      <c r="C364" s="4"/>
      <c r="D364" s="4"/>
      <c r="E364" s="12"/>
      <c r="G364" s="147" t="s">
        <v>442</v>
      </c>
      <c r="H364" s="159">
        <v>70.143000000000001</v>
      </c>
      <c r="I364" s="153">
        <v>70.37</v>
      </c>
      <c r="J364" s="153">
        <v>70.3</v>
      </c>
      <c r="K364" s="153">
        <v>70.349999999999994</v>
      </c>
      <c r="L364" s="153">
        <v>70.28</v>
      </c>
      <c r="M364" s="80">
        <f t="shared" si="10"/>
        <v>70.37</v>
      </c>
      <c r="N364" s="80">
        <f t="shared" si="11"/>
        <v>70.28</v>
      </c>
      <c r="O364" s="153">
        <v>21.16</v>
      </c>
      <c r="P364" s="153">
        <v>21.13</v>
      </c>
      <c r="Q364" s="153">
        <v>21.08</v>
      </c>
      <c r="R364" s="153">
        <v>21</v>
      </c>
      <c r="S364" s="4"/>
      <c r="U364" s="147" t="s">
        <v>442</v>
      </c>
      <c r="V364" s="11"/>
      <c r="W364" s="4"/>
      <c r="X364" s="12"/>
      <c r="Y364" s="14"/>
      <c r="Z364" s="4"/>
      <c r="AA364" s="13"/>
      <c r="AB364" s="11"/>
      <c r="AC364" s="4"/>
      <c r="AD364" s="12"/>
      <c r="AE364" s="13"/>
      <c r="AF364" s="14">
        <v>5.0195999999999996</v>
      </c>
      <c r="AG364" s="133"/>
      <c r="AI364" s="84"/>
      <c r="AL364" s="64">
        <v>4.1735954833333331</v>
      </c>
      <c r="AM364" s="56">
        <v>14.13999999999991</v>
      </c>
      <c r="AN364" s="56">
        <v>16.099999999999959</v>
      </c>
      <c r="AO364" s="62">
        <v>22.119999999999958</v>
      </c>
      <c r="AQ364" s="64">
        <v>4.0833392000000002</v>
      </c>
      <c r="AR364" s="56">
        <v>14.1</v>
      </c>
      <c r="AS364" s="56">
        <v>15.5800000000001</v>
      </c>
      <c r="AT364" s="62">
        <v>19.720000000000049</v>
      </c>
      <c r="AV364" s="64">
        <v>3.7305889666666658</v>
      </c>
      <c r="AW364" s="56">
        <v>13.320000000000039</v>
      </c>
      <c r="AX364" s="56">
        <v>14.780000000000021</v>
      </c>
      <c r="AY364" s="62">
        <v>19.47999999999999</v>
      </c>
      <c r="BA364" s="64">
        <v>3.1897565499999989</v>
      </c>
      <c r="BB364" s="56">
        <v>15.78</v>
      </c>
      <c r="BC364" s="56">
        <v>18.18</v>
      </c>
      <c r="BD364" s="62">
        <v>29.919999999999991</v>
      </c>
      <c r="BF364" s="64">
        <v>2.923376333333334</v>
      </c>
      <c r="BG364" s="56">
        <v>19.559999999999981</v>
      </c>
      <c r="BH364" s="56">
        <v>26.480000000000011</v>
      </c>
      <c r="BI364" s="62">
        <v>56.459999999999951</v>
      </c>
      <c r="BJ364" s="70"/>
      <c r="BK364" s="51"/>
    </row>
    <row r="365" spans="1:63" ht="18" thickBot="1" x14ac:dyDescent="0.45">
      <c r="A365" s="16" t="s">
        <v>443</v>
      </c>
      <c r="B365" s="17"/>
      <c r="C365" s="17"/>
      <c r="D365" s="17"/>
      <c r="E365" s="18"/>
      <c r="G365" s="147" t="s">
        <v>443</v>
      </c>
      <c r="H365" s="159">
        <v>70.111999999999995</v>
      </c>
      <c r="I365" s="153">
        <v>70.28</v>
      </c>
      <c r="J365" s="153">
        <v>70.34</v>
      </c>
      <c r="K365" s="153">
        <v>70.34</v>
      </c>
      <c r="L365" s="153">
        <v>70.349999999999994</v>
      </c>
      <c r="M365" s="80">
        <f t="shared" si="10"/>
        <v>70.349999999999994</v>
      </c>
      <c r="N365" s="80">
        <f t="shared" si="11"/>
        <v>70.28</v>
      </c>
      <c r="O365" s="153">
        <v>21.18</v>
      </c>
      <c r="P365" s="153">
        <v>21.03</v>
      </c>
      <c r="Q365" s="153">
        <v>21.13</v>
      </c>
      <c r="R365" s="153">
        <v>21.06</v>
      </c>
      <c r="S365" s="4"/>
      <c r="U365" s="147" t="s">
        <v>443</v>
      </c>
      <c r="V365" s="16"/>
      <c r="W365" s="17"/>
      <c r="X365" s="18"/>
      <c r="Y365" s="29"/>
      <c r="Z365" s="17"/>
      <c r="AA365" s="30"/>
      <c r="AB365" s="16"/>
      <c r="AC365" s="17"/>
      <c r="AD365" s="18"/>
      <c r="AE365" s="13"/>
      <c r="AF365" s="14">
        <v>5.0198</v>
      </c>
      <c r="AG365" s="133"/>
      <c r="AI365" s="84"/>
      <c r="AL365" s="64">
        <v>4.1736215000000003</v>
      </c>
      <c r="AM365" s="56">
        <v>13.999999999999879</v>
      </c>
      <c r="AN365" s="56">
        <v>15.99999999999984</v>
      </c>
      <c r="AO365" s="62">
        <v>21.879999999999988</v>
      </c>
      <c r="AQ365" s="64">
        <v>4.0825570166666658</v>
      </c>
      <c r="AR365" s="56">
        <v>13.840000000000069</v>
      </c>
      <c r="AS365" s="56">
        <v>15.32</v>
      </c>
      <c r="AT365" s="62">
        <v>19.40000000000008</v>
      </c>
      <c r="AV365" s="64">
        <v>3.730177616666666</v>
      </c>
      <c r="AW365" s="56">
        <v>13.37999999999999</v>
      </c>
      <c r="AX365" s="56">
        <v>14.820000000000009</v>
      </c>
      <c r="AY365" s="62">
        <v>19.56000000000007</v>
      </c>
      <c r="BA365" s="64">
        <v>3.1890215999999998</v>
      </c>
      <c r="BB365" s="56">
        <v>16.099999999999959</v>
      </c>
      <c r="BC365" s="56">
        <v>18.53999999999996</v>
      </c>
      <c r="BD365" s="62">
        <v>30.339999999999989</v>
      </c>
      <c r="BF365" s="64">
        <v>2.921671400000001</v>
      </c>
      <c r="BG365" s="56">
        <v>19.859999999999989</v>
      </c>
      <c r="BH365" s="56">
        <v>26.69999999999995</v>
      </c>
      <c r="BI365" s="62">
        <v>56.320000000000007</v>
      </c>
      <c r="BJ365" s="93"/>
      <c r="BK365" s="94"/>
    </row>
    <row r="366" spans="1:63" x14ac:dyDescent="0.4">
      <c r="A366" s="11" t="s">
        <v>444</v>
      </c>
      <c r="B366" s="4"/>
      <c r="C366" s="4"/>
      <c r="D366" s="4"/>
      <c r="E366" s="12"/>
      <c r="G366" s="147" t="s">
        <v>444</v>
      </c>
      <c r="H366" s="159">
        <v>70.043000000000006</v>
      </c>
      <c r="I366" s="153">
        <v>70.36</v>
      </c>
      <c r="J366" s="153">
        <v>70.400000000000006</v>
      </c>
      <c r="K366" s="153">
        <v>70.34</v>
      </c>
      <c r="L366" s="153">
        <v>70.31</v>
      </c>
      <c r="M366" s="80">
        <f t="shared" si="10"/>
        <v>70.400000000000006</v>
      </c>
      <c r="N366" s="80">
        <f t="shared" si="11"/>
        <v>70.31</v>
      </c>
      <c r="O366" s="153">
        <v>21.22</v>
      </c>
      <c r="P366" s="153">
        <v>21.17</v>
      </c>
      <c r="Q366" s="153">
        <v>21.13</v>
      </c>
      <c r="R366" s="153">
        <v>21.11</v>
      </c>
      <c r="S366" s="4"/>
      <c r="U366" s="147" t="s">
        <v>444</v>
      </c>
      <c r="V366" s="11"/>
      <c r="W366" s="4"/>
      <c r="X366" s="12"/>
      <c r="Y366" s="14"/>
      <c r="Z366" s="4"/>
      <c r="AA366" s="13"/>
      <c r="AB366" s="11"/>
      <c r="AC366" s="4"/>
      <c r="AD366" s="12"/>
      <c r="AE366" s="13"/>
      <c r="AF366" s="14">
        <v>5.0233999999999996</v>
      </c>
      <c r="AG366" s="133"/>
      <c r="AI366" s="84"/>
      <c r="AL366" s="64">
        <v>4.1741258500000002</v>
      </c>
      <c r="AM366" s="56">
        <v>13.57999999999997</v>
      </c>
      <c r="AN366" s="56">
        <v>15.479999999999981</v>
      </c>
      <c r="AO366" s="62">
        <v>21.52000000000012</v>
      </c>
      <c r="AQ366" s="64">
        <v>4.0822875500000011</v>
      </c>
      <c r="AR366" s="56">
        <v>13.34</v>
      </c>
      <c r="AS366" s="56">
        <v>14.739999999999929</v>
      </c>
      <c r="AT366" s="62">
        <v>18.65999999999994</v>
      </c>
      <c r="AV366" s="64">
        <v>3.7287582833333341</v>
      </c>
      <c r="AW366" s="56">
        <v>13.060000000000031</v>
      </c>
      <c r="AX366" s="56">
        <v>14.48</v>
      </c>
      <c r="AY366" s="62">
        <v>19.120000000000029</v>
      </c>
      <c r="BA366" s="64">
        <v>3.1857213166666671</v>
      </c>
      <c r="BB366" s="56">
        <v>15.479999999999981</v>
      </c>
      <c r="BC366" s="56">
        <v>17.879999999999981</v>
      </c>
      <c r="BD366" s="62">
        <v>29.539999999999988</v>
      </c>
      <c r="BF366" s="64">
        <v>2.9150678333333331</v>
      </c>
      <c r="BG366" s="56">
        <v>19.32</v>
      </c>
      <c r="BH366" s="56">
        <v>25.92000000000008</v>
      </c>
      <c r="BI366" s="62">
        <v>55.540000000000063</v>
      </c>
      <c r="BJ366" s="70"/>
      <c r="BK366" s="51"/>
    </row>
    <row r="367" spans="1:63" x14ac:dyDescent="0.4">
      <c r="A367" s="11" t="s">
        <v>445</v>
      </c>
      <c r="B367" s="4"/>
      <c r="C367" s="4"/>
      <c r="D367" s="4"/>
      <c r="E367" s="12"/>
      <c r="G367" s="147" t="s">
        <v>445</v>
      </c>
      <c r="H367" s="159">
        <v>70.012</v>
      </c>
      <c r="I367" s="153">
        <v>70.37</v>
      </c>
      <c r="J367" s="153">
        <v>70.31</v>
      </c>
      <c r="K367" s="153">
        <v>70.33</v>
      </c>
      <c r="L367" s="153">
        <v>70.28</v>
      </c>
      <c r="M367" s="80">
        <f t="shared" si="10"/>
        <v>70.37</v>
      </c>
      <c r="N367" s="80">
        <f t="shared" si="11"/>
        <v>70.28</v>
      </c>
      <c r="O367" s="153">
        <v>21.16</v>
      </c>
      <c r="P367" s="153">
        <v>21.12</v>
      </c>
      <c r="Q367" s="153">
        <v>21.16</v>
      </c>
      <c r="R367" s="153">
        <v>21.1</v>
      </c>
      <c r="S367" s="4"/>
      <c r="U367" s="147" t="s">
        <v>445</v>
      </c>
      <c r="V367" s="11"/>
      <c r="W367" s="4"/>
      <c r="X367" s="12"/>
      <c r="Y367" s="14"/>
      <c r="Z367" s="4"/>
      <c r="AA367" s="13"/>
      <c r="AB367" s="11"/>
      <c r="AC367" s="4"/>
      <c r="AD367" s="12"/>
      <c r="AE367" s="13"/>
      <c r="AF367" s="14">
        <v>5.0096999999999996</v>
      </c>
      <c r="AG367" s="133"/>
      <c r="AI367" s="84"/>
      <c r="AL367" s="64">
        <v>4.1729758666666674</v>
      </c>
      <c r="AM367" s="56">
        <v>14.160000000000039</v>
      </c>
      <c r="AN367" s="56">
        <v>16.10000000000014</v>
      </c>
      <c r="AO367" s="62">
        <v>22.020000000000021</v>
      </c>
      <c r="AQ367" s="64">
        <v>4.0820859333333317</v>
      </c>
      <c r="AR367" s="56">
        <v>13.91999999999989</v>
      </c>
      <c r="AS367" s="56">
        <v>15.37999999999986</v>
      </c>
      <c r="AT367" s="62">
        <v>19.45999999999994</v>
      </c>
      <c r="AV367" s="64">
        <v>3.7293636166666659</v>
      </c>
      <c r="AW367" s="56">
        <v>13.44000000000003</v>
      </c>
      <c r="AX367" s="56">
        <v>14.880000000000051</v>
      </c>
      <c r="AY367" s="62">
        <v>19.58000000000002</v>
      </c>
      <c r="BA367" s="64">
        <v>3.1899579500000002</v>
      </c>
      <c r="BB367" s="56">
        <v>15.80000000000004</v>
      </c>
      <c r="BC367" s="56">
        <v>18.24000000000003</v>
      </c>
      <c r="BD367" s="62">
        <v>29.919999999999991</v>
      </c>
      <c r="BF367" s="64">
        <v>2.92653125</v>
      </c>
      <c r="BG367" s="56">
        <v>19.639999999999969</v>
      </c>
      <c r="BH367" s="56">
        <v>26.459999999999969</v>
      </c>
      <c r="BI367" s="62">
        <v>55.959999999999972</v>
      </c>
      <c r="BJ367" s="70"/>
      <c r="BK367" s="51"/>
    </row>
    <row r="368" spans="1:63" x14ac:dyDescent="0.4">
      <c r="A368" s="11" t="s">
        <v>446</v>
      </c>
      <c r="B368" s="4"/>
      <c r="C368" s="4"/>
      <c r="D368" s="4"/>
      <c r="E368" s="12"/>
      <c r="G368" s="147" t="s">
        <v>446</v>
      </c>
      <c r="H368" s="159">
        <v>70.052000000000007</v>
      </c>
      <c r="I368" s="153">
        <v>70.27</v>
      </c>
      <c r="J368" s="153">
        <v>70.400000000000006</v>
      </c>
      <c r="K368" s="153">
        <v>70.38</v>
      </c>
      <c r="L368" s="153">
        <v>70.36</v>
      </c>
      <c r="M368" s="80">
        <f t="shared" si="10"/>
        <v>70.400000000000006</v>
      </c>
      <c r="N368" s="80">
        <f t="shared" si="11"/>
        <v>70.27</v>
      </c>
      <c r="O368" s="153">
        <v>21.13</v>
      </c>
      <c r="P368" s="153">
        <v>21.1</v>
      </c>
      <c r="Q368" s="153">
        <v>21.13</v>
      </c>
      <c r="R368" s="153">
        <v>21.1</v>
      </c>
      <c r="S368" s="4"/>
      <c r="U368" s="147" t="s">
        <v>446</v>
      </c>
      <c r="V368" s="11"/>
      <c r="W368" s="4"/>
      <c r="X368" s="12"/>
      <c r="Y368" s="14"/>
      <c r="Z368" s="4"/>
      <c r="AA368" s="13"/>
      <c r="AB368" s="11"/>
      <c r="AC368" s="4"/>
      <c r="AD368" s="12"/>
      <c r="AE368" s="13"/>
      <c r="AF368" s="14">
        <v>5.0250000000000004</v>
      </c>
      <c r="AG368" s="133"/>
      <c r="AI368" s="84"/>
      <c r="AL368" s="64">
        <v>4.1732549833333339</v>
      </c>
      <c r="AM368" s="56">
        <v>14.67999999999989</v>
      </c>
      <c r="AN368" s="56">
        <v>16.719999999999931</v>
      </c>
      <c r="AO368" s="62">
        <v>22.89999999999992</v>
      </c>
      <c r="AQ368" s="64">
        <v>4.0838213833333334</v>
      </c>
      <c r="AR368" s="56">
        <v>14.700000000000021</v>
      </c>
      <c r="AS368" s="56">
        <v>16.220000000000031</v>
      </c>
      <c r="AT368" s="62">
        <v>20.460000000000012</v>
      </c>
      <c r="AV368" s="64">
        <v>3.7310314999999998</v>
      </c>
      <c r="AW368" s="56">
        <v>14.179999999999991</v>
      </c>
      <c r="AX368" s="56">
        <v>15.72000000000005</v>
      </c>
      <c r="AY368" s="62">
        <v>20.58</v>
      </c>
      <c r="BA368" s="64">
        <v>3.1876395166666671</v>
      </c>
      <c r="BB368" s="56">
        <v>16.48000000000005</v>
      </c>
      <c r="BC368" s="56">
        <v>19.019999999999989</v>
      </c>
      <c r="BD368" s="62">
        <v>31.040000000000049</v>
      </c>
      <c r="BF368" s="64">
        <v>2.9228062499999998</v>
      </c>
      <c r="BG368" s="56">
        <v>20.500000000000011</v>
      </c>
      <c r="BH368" s="56">
        <v>27.320000000000011</v>
      </c>
      <c r="BI368" s="62">
        <v>57.24</v>
      </c>
      <c r="BJ368" s="70"/>
      <c r="BK368" s="51"/>
    </row>
    <row r="369" spans="1:63" x14ac:dyDescent="0.4">
      <c r="A369" s="11" t="s">
        <v>447</v>
      </c>
      <c r="B369" s="4"/>
      <c r="C369" s="4"/>
      <c r="D369" s="4"/>
      <c r="E369" s="12"/>
      <c r="G369" s="147" t="s">
        <v>447</v>
      </c>
      <c r="H369" s="159">
        <v>70.203000000000003</v>
      </c>
      <c r="I369" s="153">
        <v>70.319999999999993</v>
      </c>
      <c r="J369" s="153">
        <v>70.290000000000006</v>
      </c>
      <c r="K369" s="153">
        <v>70.290000000000006</v>
      </c>
      <c r="L369" s="153">
        <v>70.3</v>
      </c>
      <c r="M369" s="80">
        <f t="shared" si="10"/>
        <v>70.319999999999993</v>
      </c>
      <c r="N369" s="80">
        <f t="shared" si="11"/>
        <v>70.290000000000006</v>
      </c>
      <c r="O369" s="153">
        <v>21.17</v>
      </c>
      <c r="P369" s="153">
        <v>21.13</v>
      </c>
      <c r="Q369" s="153">
        <v>21.15</v>
      </c>
      <c r="R369" s="153">
        <v>21.1</v>
      </c>
      <c r="S369" s="4"/>
      <c r="U369" s="147" t="s">
        <v>447</v>
      </c>
      <c r="V369" s="11"/>
      <c r="W369" s="4"/>
      <c r="X369" s="12"/>
      <c r="Y369" s="14"/>
      <c r="Z369" s="4"/>
      <c r="AA369" s="13"/>
      <c r="AB369" s="11"/>
      <c r="AC369" s="4"/>
      <c r="AD369" s="12"/>
      <c r="AE369" s="13"/>
      <c r="AF369" s="14">
        <v>5.0084999999999997</v>
      </c>
      <c r="AG369" s="133"/>
      <c r="AI369" s="84"/>
      <c r="AL369" s="64">
        <v>4.1728021666666661</v>
      </c>
      <c r="AM369" s="56">
        <v>14.719999999999979</v>
      </c>
      <c r="AN369" s="56">
        <v>16.719999999999931</v>
      </c>
      <c r="AO369" s="62">
        <v>22.799999999999979</v>
      </c>
      <c r="AQ369" s="64">
        <v>4.0827506000000007</v>
      </c>
      <c r="AR369" s="56">
        <v>14.5999999999999</v>
      </c>
      <c r="AS369" s="56">
        <v>16.139999999999869</v>
      </c>
      <c r="AT369" s="62">
        <v>20.359999999999982</v>
      </c>
      <c r="AV369" s="64">
        <v>3.7297069</v>
      </c>
      <c r="AW369" s="56">
        <v>13.91999999999998</v>
      </c>
      <c r="AX369" s="56">
        <v>15.39999999999999</v>
      </c>
      <c r="AY369" s="62">
        <v>20.220000000000041</v>
      </c>
      <c r="BA369" s="64">
        <v>3.1868381833333328</v>
      </c>
      <c r="BB369" s="56">
        <v>16.319999999999979</v>
      </c>
      <c r="BC369" s="56">
        <v>18.820000000000011</v>
      </c>
      <c r="BD369" s="62">
        <v>30.799999999999979</v>
      </c>
      <c r="BF369" s="64">
        <v>2.9275019333333332</v>
      </c>
      <c r="BG369" s="56">
        <v>20.2</v>
      </c>
      <c r="BH369" s="56">
        <v>26.959999999999962</v>
      </c>
      <c r="BI369" s="62">
        <v>56.320000000000007</v>
      </c>
      <c r="BJ369" s="70"/>
      <c r="BK369" s="51"/>
    </row>
    <row r="370" spans="1:63" x14ac:dyDescent="0.4">
      <c r="A370" s="11" t="s">
        <v>448</v>
      </c>
      <c r="B370" s="4"/>
      <c r="C370" s="4"/>
      <c r="D370" s="4"/>
      <c r="E370" s="12"/>
      <c r="G370" s="147" t="s">
        <v>448</v>
      </c>
      <c r="H370" s="159">
        <v>69.989000000000004</v>
      </c>
      <c r="I370" s="153">
        <v>70.34</v>
      </c>
      <c r="J370" s="153">
        <v>70.36</v>
      </c>
      <c r="K370" s="153">
        <v>70.36</v>
      </c>
      <c r="L370" s="153">
        <v>70.31</v>
      </c>
      <c r="M370" s="80">
        <f t="shared" si="10"/>
        <v>70.36</v>
      </c>
      <c r="N370" s="80">
        <f t="shared" si="11"/>
        <v>70.31</v>
      </c>
      <c r="O370" s="153">
        <v>21.13</v>
      </c>
      <c r="P370" s="153">
        <v>21.05</v>
      </c>
      <c r="Q370" s="153">
        <v>21.11</v>
      </c>
      <c r="R370" s="153">
        <v>21.03</v>
      </c>
      <c r="S370" s="4"/>
      <c r="U370" s="147" t="s">
        <v>448</v>
      </c>
      <c r="V370" s="11"/>
      <c r="W370" s="4"/>
      <c r="X370" s="12"/>
      <c r="Y370" s="14"/>
      <c r="Z370" s="4"/>
      <c r="AA370" s="13"/>
      <c r="AB370" s="11"/>
      <c r="AC370" s="4"/>
      <c r="AD370" s="12"/>
      <c r="AE370" s="13"/>
      <c r="AF370" s="14">
        <v>5.0175000000000001</v>
      </c>
      <c r="AG370" s="133"/>
      <c r="AI370" s="84"/>
      <c r="AL370" s="64">
        <v>4.1728759833333324</v>
      </c>
      <c r="AM370" s="56">
        <v>14.36000000000011</v>
      </c>
      <c r="AN370" s="56">
        <v>16.319999999999979</v>
      </c>
      <c r="AO370" s="62">
        <v>22.300000000000079</v>
      </c>
      <c r="AQ370" s="64">
        <v>4.0800781666666666</v>
      </c>
      <c r="AR370" s="56">
        <v>14.03999999999996</v>
      </c>
      <c r="AS370" s="56">
        <v>15.519999999999889</v>
      </c>
      <c r="AT370" s="62">
        <v>19.679999999999961</v>
      </c>
      <c r="AV370" s="64">
        <v>3.728028066666667</v>
      </c>
      <c r="AW370" s="56">
        <v>13.49999999999998</v>
      </c>
      <c r="AX370" s="56">
        <v>14.97999999999999</v>
      </c>
      <c r="AY370" s="62">
        <v>19.739999999999998</v>
      </c>
      <c r="BA370" s="64">
        <v>3.1887407666666658</v>
      </c>
      <c r="BB370" s="56">
        <v>15.799999999999949</v>
      </c>
      <c r="BC370" s="56">
        <v>18.219999999999992</v>
      </c>
      <c r="BD370" s="62">
        <v>29.85999999999995</v>
      </c>
      <c r="BF370" s="64">
        <v>2.9213524666666659</v>
      </c>
      <c r="BG370" s="56">
        <v>19.58000000000002</v>
      </c>
      <c r="BH370" s="56">
        <v>26.28000000000004</v>
      </c>
      <c r="BI370" s="62">
        <v>55.440000000000033</v>
      </c>
      <c r="BJ370" s="70"/>
      <c r="BK370" s="51"/>
    </row>
    <row r="371" spans="1:63" x14ac:dyDescent="0.4">
      <c r="A371" s="11" t="s">
        <v>449</v>
      </c>
      <c r="B371" s="4"/>
      <c r="C371" s="4"/>
      <c r="D371" s="4"/>
      <c r="E371" s="12"/>
      <c r="G371" s="147" t="s">
        <v>449</v>
      </c>
      <c r="H371" s="159">
        <v>70.058999999999997</v>
      </c>
      <c r="I371" s="153">
        <v>70.39</v>
      </c>
      <c r="J371" s="153">
        <v>70.37</v>
      </c>
      <c r="K371" s="153">
        <v>70.34</v>
      </c>
      <c r="L371" s="153">
        <v>70.349999999999994</v>
      </c>
      <c r="M371" s="80">
        <f t="shared" si="10"/>
        <v>70.39</v>
      </c>
      <c r="N371" s="80">
        <f t="shared" si="11"/>
        <v>70.34</v>
      </c>
      <c r="O371" s="153">
        <v>21.21</v>
      </c>
      <c r="P371" s="153">
        <v>21.08</v>
      </c>
      <c r="Q371" s="153">
        <v>21.16</v>
      </c>
      <c r="R371" s="153">
        <v>21.1</v>
      </c>
      <c r="S371" s="4"/>
      <c r="U371" s="147" t="s">
        <v>449</v>
      </c>
      <c r="V371" s="11"/>
      <c r="W371" s="4"/>
      <c r="X371" s="12"/>
      <c r="Y371" s="14"/>
      <c r="Z371" s="4"/>
      <c r="AA371" s="13"/>
      <c r="AB371" s="11"/>
      <c r="AC371" s="4"/>
      <c r="AD371" s="12"/>
      <c r="AE371" s="13"/>
      <c r="AF371" s="14">
        <v>5.0193000000000003</v>
      </c>
      <c r="AG371" s="133"/>
      <c r="AI371" s="84"/>
      <c r="AL371" s="64">
        <v>4.1725935666666656</v>
      </c>
      <c r="AM371" s="56">
        <v>13.52000000000011</v>
      </c>
      <c r="AN371" s="56">
        <v>15.420000000000121</v>
      </c>
      <c r="AO371" s="62">
        <v>21.419999999999991</v>
      </c>
      <c r="AQ371" s="64">
        <v>4.0816830666666659</v>
      </c>
      <c r="AR371" s="56">
        <v>13.159999999999879</v>
      </c>
      <c r="AS371" s="56">
        <v>14.56</v>
      </c>
      <c r="AT371" s="62">
        <v>18.499999999999961</v>
      </c>
      <c r="AV371" s="64">
        <v>3.72771695</v>
      </c>
      <c r="AW371" s="56">
        <v>12.819999999999959</v>
      </c>
      <c r="AX371" s="56">
        <v>14.21999999999999</v>
      </c>
      <c r="AY371" s="62">
        <v>18.819999999999929</v>
      </c>
      <c r="BA371" s="64">
        <v>3.1848497999999998</v>
      </c>
      <c r="BB371" s="56">
        <v>15.09999999999998</v>
      </c>
      <c r="BC371" s="56">
        <v>17.480000000000029</v>
      </c>
      <c r="BD371" s="62">
        <v>29.140000000000029</v>
      </c>
      <c r="BF371" s="64">
        <v>2.9267209833333339</v>
      </c>
      <c r="BG371" s="56">
        <v>18.900000000000009</v>
      </c>
      <c r="BH371" s="56">
        <v>25.340000000000011</v>
      </c>
      <c r="BI371" s="62">
        <v>53.699999999999989</v>
      </c>
      <c r="BJ371" s="70"/>
      <c r="BK371" s="51"/>
    </row>
    <row r="372" spans="1:63" x14ac:dyDescent="0.4">
      <c r="A372" s="11" t="s">
        <v>450</v>
      </c>
      <c r="B372" s="4"/>
      <c r="C372" s="4"/>
      <c r="D372" s="4"/>
      <c r="E372" s="12"/>
      <c r="G372" s="147" t="s">
        <v>450</v>
      </c>
      <c r="H372" s="159">
        <v>70.069999999999993</v>
      </c>
      <c r="I372" s="153">
        <v>70.319999999999993</v>
      </c>
      <c r="J372" s="153">
        <v>70.3</v>
      </c>
      <c r="K372" s="153">
        <v>70.319999999999993</v>
      </c>
      <c r="L372" s="153">
        <v>70.37</v>
      </c>
      <c r="M372" s="80">
        <f t="shared" si="10"/>
        <v>70.37</v>
      </c>
      <c r="N372" s="80">
        <f t="shared" si="11"/>
        <v>70.3</v>
      </c>
      <c r="O372" s="153">
        <v>21.22</v>
      </c>
      <c r="P372" s="153">
        <v>21.13</v>
      </c>
      <c r="Q372" s="153">
        <v>21.15</v>
      </c>
      <c r="R372" s="153">
        <v>21.08</v>
      </c>
      <c r="S372" s="4"/>
      <c r="U372" s="147" t="s">
        <v>450</v>
      </c>
      <c r="V372" s="11"/>
      <c r="W372" s="4"/>
      <c r="X372" s="12"/>
      <c r="Y372" s="14"/>
      <c r="Z372" s="4"/>
      <c r="AA372" s="13"/>
      <c r="AB372" s="11"/>
      <c r="AC372" s="4"/>
      <c r="AD372" s="12"/>
      <c r="AE372" s="13"/>
      <c r="AF372" s="14">
        <v>5.0194999999999999</v>
      </c>
      <c r="AG372" s="133"/>
      <c r="AI372" s="84"/>
      <c r="AL372" s="64">
        <v>4.1727371333333334</v>
      </c>
      <c r="AM372" s="56">
        <v>15.32</v>
      </c>
      <c r="AN372" s="56">
        <v>17.319999999999961</v>
      </c>
      <c r="AO372" s="62">
        <v>23.5199999999999</v>
      </c>
      <c r="AQ372" s="64">
        <v>4.0793734666666666</v>
      </c>
      <c r="AR372" s="56">
        <v>14.5999999999999</v>
      </c>
      <c r="AS372" s="56">
        <v>16.07999999999992</v>
      </c>
      <c r="AT372" s="62">
        <v>20.29999999999994</v>
      </c>
      <c r="AV372" s="64">
        <v>3.7268793666666671</v>
      </c>
      <c r="AW372" s="56">
        <v>13.72</v>
      </c>
      <c r="AX372" s="56">
        <v>15.20000000000001</v>
      </c>
      <c r="AY372" s="62">
        <v>19.980000000000061</v>
      </c>
      <c r="BA372" s="64">
        <v>3.1858529166666671</v>
      </c>
      <c r="BB372" s="56">
        <v>16.259999999999941</v>
      </c>
      <c r="BC372" s="56">
        <v>18.499999999999961</v>
      </c>
      <c r="BD372" s="62">
        <v>30.279999999999951</v>
      </c>
      <c r="BF372" s="64">
        <v>2.9230434999999999</v>
      </c>
      <c r="BG372" s="56">
        <v>20.080000000000009</v>
      </c>
      <c r="BH372" s="56">
        <v>26.74000000000003</v>
      </c>
      <c r="BI372" s="62">
        <v>55.78000000000003</v>
      </c>
      <c r="BJ372" s="70"/>
      <c r="BK372" s="51"/>
    </row>
    <row r="373" spans="1:63" x14ac:dyDescent="0.4">
      <c r="A373" s="11" t="s">
        <v>451</v>
      </c>
      <c r="B373" s="4"/>
      <c r="C373" s="4"/>
      <c r="D373" s="4"/>
      <c r="E373" s="12"/>
      <c r="G373" s="147" t="s">
        <v>451</v>
      </c>
      <c r="H373" s="159">
        <v>70.182000000000002</v>
      </c>
      <c r="I373" s="153">
        <v>70.27</v>
      </c>
      <c r="J373" s="153">
        <v>70.290000000000006</v>
      </c>
      <c r="K373" s="153">
        <v>70.28</v>
      </c>
      <c r="L373" s="153">
        <v>70.28</v>
      </c>
      <c r="M373" s="80">
        <f t="shared" si="10"/>
        <v>70.290000000000006</v>
      </c>
      <c r="N373" s="80">
        <f t="shared" si="11"/>
        <v>70.27</v>
      </c>
      <c r="O373" s="153">
        <v>21.12</v>
      </c>
      <c r="P373" s="153">
        <v>21.08</v>
      </c>
      <c r="Q373" s="153">
        <v>21.11</v>
      </c>
      <c r="R373" s="153">
        <v>21.1</v>
      </c>
      <c r="S373" s="4"/>
      <c r="U373" s="147" t="s">
        <v>451</v>
      </c>
      <c r="V373" s="11"/>
      <c r="W373" s="4"/>
      <c r="X373" s="12"/>
      <c r="Y373" s="14"/>
      <c r="Z373" s="4"/>
      <c r="AA373" s="13"/>
      <c r="AB373" s="11"/>
      <c r="AC373" s="4"/>
      <c r="AD373" s="12"/>
      <c r="AE373" s="13"/>
      <c r="AF373" s="14">
        <v>5.0263999999999998</v>
      </c>
      <c r="AG373" s="133"/>
      <c r="AI373" s="84"/>
      <c r="AL373" s="64">
        <v>4.1725586666666663</v>
      </c>
      <c r="AM373" s="56">
        <v>14.340000000000151</v>
      </c>
      <c r="AN373" s="56">
        <v>16.32000000000016</v>
      </c>
      <c r="AO373" s="62">
        <v>22.34000000000016</v>
      </c>
      <c r="AQ373" s="64">
        <v>4.0810482666666674</v>
      </c>
      <c r="AR373" s="56">
        <v>14.1</v>
      </c>
      <c r="AS373" s="56">
        <v>15.5800000000001</v>
      </c>
      <c r="AT373" s="62">
        <v>19.739999999999998</v>
      </c>
      <c r="AV373" s="64">
        <v>3.7284060999999999</v>
      </c>
      <c r="AW373" s="56">
        <v>13.480000000000031</v>
      </c>
      <c r="AX373" s="56">
        <v>14.919999999999961</v>
      </c>
      <c r="AY373" s="62">
        <v>19.679999999999961</v>
      </c>
      <c r="BA373" s="64">
        <v>3.187225016666666</v>
      </c>
      <c r="BB373" s="56">
        <v>15.54000000000002</v>
      </c>
      <c r="BC373" s="56">
        <v>17.95999999999998</v>
      </c>
      <c r="BD373" s="62">
        <v>29.61999999999998</v>
      </c>
      <c r="BF373" s="64">
        <v>2.91838</v>
      </c>
      <c r="BG373" s="56">
        <v>19.559999999999981</v>
      </c>
      <c r="BH373" s="56">
        <v>26.379999999999981</v>
      </c>
      <c r="BI373" s="62">
        <v>56.559999999999988</v>
      </c>
      <c r="BJ373" s="70"/>
      <c r="BK373" s="51"/>
    </row>
    <row r="374" spans="1:63" x14ac:dyDescent="0.4">
      <c r="A374" s="11" t="s">
        <v>452</v>
      </c>
      <c r="B374" s="4"/>
      <c r="C374" s="4"/>
      <c r="D374" s="4"/>
      <c r="E374" s="12"/>
      <c r="G374" s="147" t="s">
        <v>452</v>
      </c>
      <c r="H374" s="159">
        <v>70.064999999999998</v>
      </c>
      <c r="I374" s="153">
        <v>70.38</v>
      </c>
      <c r="J374" s="153">
        <v>70.36</v>
      </c>
      <c r="K374" s="153">
        <v>70.33</v>
      </c>
      <c r="L374" s="153">
        <v>70.28</v>
      </c>
      <c r="M374" s="80">
        <f t="shared" si="10"/>
        <v>70.38</v>
      </c>
      <c r="N374" s="80">
        <f t="shared" si="11"/>
        <v>70.28</v>
      </c>
      <c r="O374" s="153">
        <v>21.18</v>
      </c>
      <c r="P374" s="153">
        <v>21.06</v>
      </c>
      <c r="Q374" s="153">
        <v>21.1</v>
      </c>
      <c r="R374" s="153">
        <v>21.05</v>
      </c>
      <c r="S374" s="4"/>
      <c r="U374" s="147" t="s">
        <v>452</v>
      </c>
      <c r="V374" s="11"/>
      <c r="W374" s="4"/>
      <c r="X374" s="12"/>
      <c r="Y374" s="14"/>
      <c r="Z374" s="4"/>
      <c r="AA374" s="13"/>
      <c r="AB374" s="11"/>
      <c r="AC374" s="4"/>
      <c r="AD374" s="12"/>
      <c r="AE374" s="13"/>
      <c r="AF374" s="14">
        <v>5.0148000000000001</v>
      </c>
      <c r="AG374" s="133"/>
      <c r="AI374" s="84"/>
      <c r="AL374" s="64">
        <v>4.1730006666666668</v>
      </c>
      <c r="AM374" s="56">
        <v>14.1</v>
      </c>
      <c r="AN374" s="56">
        <v>16.040000000000099</v>
      </c>
      <c r="AO374" s="62">
        <v>22.080000000000059</v>
      </c>
      <c r="AQ374" s="64">
        <v>4.0821786333333332</v>
      </c>
      <c r="AR374" s="56">
        <v>14.00000000000006</v>
      </c>
      <c r="AS374" s="56">
        <v>15.50000000000011</v>
      </c>
      <c r="AT374" s="62">
        <v>19.660000000000011</v>
      </c>
      <c r="AV374" s="64">
        <v>3.7303270333333338</v>
      </c>
      <c r="AW374" s="56">
        <v>13.49999999999998</v>
      </c>
      <c r="AX374" s="56">
        <v>14.94</v>
      </c>
      <c r="AY374" s="62">
        <v>19.679999999999961</v>
      </c>
      <c r="BA374" s="64">
        <v>3.1913670000000001</v>
      </c>
      <c r="BB374" s="56">
        <v>15.40000000000008</v>
      </c>
      <c r="BC374" s="56">
        <v>17.800000000000079</v>
      </c>
      <c r="BD374" s="62">
        <v>29.280000000000062</v>
      </c>
      <c r="BF374" s="64">
        <v>2.9190377666666669</v>
      </c>
      <c r="BG374" s="56">
        <v>19.420000000000041</v>
      </c>
      <c r="BH374" s="56">
        <v>26.080000000000059</v>
      </c>
      <c r="BI374" s="62">
        <v>55.800000000000068</v>
      </c>
      <c r="BJ374" s="70"/>
      <c r="BK374" s="51"/>
    </row>
    <row r="375" spans="1:63" x14ac:dyDescent="0.4">
      <c r="A375" s="11" t="s">
        <v>453</v>
      </c>
      <c r="B375" s="4"/>
      <c r="C375" s="4"/>
      <c r="D375" s="4"/>
      <c r="E375" s="12"/>
      <c r="G375" s="147" t="s">
        <v>453</v>
      </c>
      <c r="H375" s="159">
        <v>69.95</v>
      </c>
      <c r="I375" s="153">
        <v>70.33</v>
      </c>
      <c r="J375" s="153">
        <v>70.33</v>
      </c>
      <c r="K375" s="153">
        <v>70.290000000000006</v>
      </c>
      <c r="L375" s="153">
        <v>70.33</v>
      </c>
      <c r="M375" s="80">
        <f t="shared" si="10"/>
        <v>70.33</v>
      </c>
      <c r="N375" s="80">
        <f t="shared" si="11"/>
        <v>70.290000000000006</v>
      </c>
      <c r="O375" s="153">
        <v>21.19</v>
      </c>
      <c r="P375" s="153">
        <v>21.14</v>
      </c>
      <c r="Q375" s="153">
        <v>21.1</v>
      </c>
      <c r="R375" s="153">
        <v>21.09</v>
      </c>
      <c r="S375" s="4"/>
      <c r="U375" s="147" t="s">
        <v>453</v>
      </c>
      <c r="V375" s="11"/>
      <c r="W375" s="4"/>
      <c r="X375" s="12"/>
      <c r="Y375" s="14"/>
      <c r="Z375" s="4"/>
      <c r="AA375" s="13"/>
      <c r="AB375" s="11"/>
      <c r="AC375" s="4"/>
      <c r="AD375" s="12"/>
      <c r="AE375" s="13"/>
      <c r="AF375" s="14">
        <v>5.0164</v>
      </c>
      <c r="AG375" s="133"/>
      <c r="AI375" s="84"/>
      <c r="AL375" s="64">
        <v>4.1727791999999999</v>
      </c>
      <c r="AM375" s="56">
        <v>14.920000000000041</v>
      </c>
      <c r="AN375" s="56">
        <v>16.900000000000048</v>
      </c>
      <c r="AO375" s="62">
        <v>22.959999999999962</v>
      </c>
      <c r="AQ375" s="64">
        <v>4.0803687499999999</v>
      </c>
      <c r="AR375" s="56">
        <v>14.380000000000059</v>
      </c>
      <c r="AS375" s="56">
        <v>15.859999999999991</v>
      </c>
      <c r="AT375" s="62">
        <v>20.04000000000001</v>
      </c>
      <c r="AV375" s="64">
        <v>3.7277482833333329</v>
      </c>
      <c r="AW375" s="56">
        <v>13.69999999999996</v>
      </c>
      <c r="AX375" s="56">
        <v>15.139999999999979</v>
      </c>
      <c r="AY375" s="62">
        <v>19.899999999999981</v>
      </c>
      <c r="BA375" s="64">
        <v>3.1861546500000002</v>
      </c>
      <c r="BB375" s="56">
        <v>15.51999999999998</v>
      </c>
      <c r="BC375" s="56">
        <v>17.91999999999998</v>
      </c>
      <c r="BD375" s="62">
        <v>29.60000000000003</v>
      </c>
      <c r="BF375" s="64">
        <v>2.925072716666667</v>
      </c>
      <c r="BG375" s="56">
        <v>19.399999999999999</v>
      </c>
      <c r="BH375" s="56">
        <v>26.020000000000021</v>
      </c>
      <c r="BI375" s="62">
        <v>54.92000000000008</v>
      </c>
      <c r="BJ375" s="70"/>
      <c r="BK375" s="51"/>
    </row>
    <row r="376" spans="1:63" x14ac:dyDescent="0.4">
      <c r="A376" s="11" t="s">
        <v>454</v>
      </c>
      <c r="B376" s="4"/>
      <c r="C376" s="4"/>
      <c r="D376" s="4"/>
      <c r="E376" s="12"/>
      <c r="G376" s="147" t="s">
        <v>454</v>
      </c>
      <c r="H376" s="159">
        <v>70.073999999999998</v>
      </c>
      <c r="I376" s="153">
        <v>70.319999999999993</v>
      </c>
      <c r="J376" s="153">
        <v>70.349999999999994</v>
      </c>
      <c r="K376" s="153">
        <v>70.349999999999994</v>
      </c>
      <c r="L376" s="153">
        <v>70.28</v>
      </c>
      <c r="M376" s="80">
        <f t="shared" si="10"/>
        <v>70.349999999999994</v>
      </c>
      <c r="N376" s="80">
        <f t="shared" si="11"/>
        <v>70.28</v>
      </c>
      <c r="O376" s="153">
        <v>21.12</v>
      </c>
      <c r="P376" s="153">
        <v>21.11</v>
      </c>
      <c r="Q376" s="153">
        <v>21.16</v>
      </c>
      <c r="R376" s="153">
        <v>21.06</v>
      </c>
      <c r="S376" s="4"/>
      <c r="U376" s="147" t="s">
        <v>454</v>
      </c>
      <c r="V376" s="11"/>
      <c r="W376" s="4"/>
      <c r="X376" s="12"/>
      <c r="Y376" s="14"/>
      <c r="Z376" s="4"/>
      <c r="AA376" s="13"/>
      <c r="AB376" s="11"/>
      <c r="AC376" s="4"/>
      <c r="AD376" s="12"/>
      <c r="AE376" s="13"/>
      <c r="AF376" s="14">
        <v>5.0114999999999998</v>
      </c>
      <c r="AG376" s="133"/>
      <c r="AI376" s="84"/>
      <c r="AL376" s="64">
        <v>4.1725813500000006</v>
      </c>
      <c r="AM376" s="56">
        <v>13.640000000000009</v>
      </c>
      <c r="AN376" s="56">
        <v>15.55999999999997</v>
      </c>
      <c r="AO376" s="62">
        <v>21.56000000000002</v>
      </c>
      <c r="AQ376" s="64">
        <v>4.0830978333333343</v>
      </c>
      <c r="AR376" s="56">
        <v>13.51999999999993</v>
      </c>
      <c r="AS376" s="56">
        <v>14.94</v>
      </c>
      <c r="AT376" s="62">
        <v>18.919999999999959</v>
      </c>
      <c r="AV376" s="64">
        <v>3.72971655</v>
      </c>
      <c r="AW376" s="56">
        <v>13.239999999999959</v>
      </c>
      <c r="AX376" s="56">
        <v>14.66000000000003</v>
      </c>
      <c r="AY376" s="62">
        <v>19.339999999999961</v>
      </c>
      <c r="BA376" s="64">
        <v>3.184938766666666</v>
      </c>
      <c r="BB376" s="56">
        <v>15.71999999999996</v>
      </c>
      <c r="BC376" s="56">
        <v>18.09999999999992</v>
      </c>
      <c r="BD376" s="62">
        <v>29.85999999999995</v>
      </c>
      <c r="BF376" s="64">
        <v>2.9139238999999999</v>
      </c>
      <c r="BG376" s="56">
        <v>19.620000000000019</v>
      </c>
      <c r="BH376" s="56">
        <v>26.41999999999998</v>
      </c>
      <c r="BI376" s="62">
        <v>56.639999999999979</v>
      </c>
      <c r="BJ376" s="70"/>
      <c r="BK376" s="51"/>
    </row>
    <row r="377" spans="1:63" x14ac:dyDescent="0.4">
      <c r="A377" s="11" t="s">
        <v>455</v>
      </c>
      <c r="B377" s="4"/>
      <c r="C377" s="4"/>
      <c r="D377" s="4"/>
      <c r="E377" s="12"/>
      <c r="G377" s="147" t="s">
        <v>455</v>
      </c>
      <c r="H377" s="159">
        <v>70.052999999999997</v>
      </c>
      <c r="I377" s="153">
        <v>70.319999999999993</v>
      </c>
      <c r="J377" s="153">
        <v>70.349999999999994</v>
      </c>
      <c r="K377" s="153">
        <v>70.34</v>
      </c>
      <c r="L377" s="153">
        <v>70.38</v>
      </c>
      <c r="M377" s="80">
        <f t="shared" si="10"/>
        <v>70.38</v>
      </c>
      <c r="N377" s="80">
        <f t="shared" si="11"/>
        <v>70.319999999999993</v>
      </c>
      <c r="O377" s="153">
        <v>21.18</v>
      </c>
      <c r="P377" s="153">
        <v>21.07</v>
      </c>
      <c r="Q377" s="153">
        <v>21.15</v>
      </c>
      <c r="R377" s="153">
        <v>21.07</v>
      </c>
      <c r="S377" s="4"/>
      <c r="U377" s="147" t="s">
        <v>455</v>
      </c>
      <c r="V377" s="11"/>
      <c r="W377" s="4"/>
      <c r="X377" s="12"/>
      <c r="Y377" s="14"/>
      <c r="Z377" s="4"/>
      <c r="AA377" s="13"/>
      <c r="AB377" s="11"/>
      <c r="AC377" s="4"/>
      <c r="AD377" s="12"/>
      <c r="AE377" s="13"/>
      <c r="AF377" s="14">
        <v>5.0221999999999998</v>
      </c>
      <c r="AG377" s="133"/>
      <c r="AI377" s="84"/>
      <c r="AL377" s="64">
        <v>4.1725055500000003</v>
      </c>
      <c r="AM377" s="56">
        <v>14.340000000000151</v>
      </c>
      <c r="AN377" s="56">
        <v>16.34000000000011</v>
      </c>
      <c r="AO377" s="62">
        <v>22.460000000000061</v>
      </c>
      <c r="AQ377" s="64">
        <v>4.0833206000000004</v>
      </c>
      <c r="AR377" s="56">
        <v>14.30000000000007</v>
      </c>
      <c r="AS377" s="56">
        <v>15.80000000000013</v>
      </c>
      <c r="AT377" s="62">
        <v>19.980000000000061</v>
      </c>
      <c r="AV377" s="64">
        <v>3.7304854500000002</v>
      </c>
      <c r="AW377" s="56">
        <v>13.57999999999997</v>
      </c>
      <c r="AX377" s="56">
        <v>15.039999999999941</v>
      </c>
      <c r="AY377" s="62">
        <v>19.78</v>
      </c>
      <c r="BA377" s="64">
        <v>3.1871544166666661</v>
      </c>
      <c r="BB377" s="56">
        <v>15.71999999999996</v>
      </c>
      <c r="BC377" s="56">
        <v>18.15999999999995</v>
      </c>
      <c r="BD377" s="62">
        <v>29.980000000000029</v>
      </c>
      <c r="BF377" s="64">
        <v>2.9269581666666671</v>
      </c>
      <c r="BG377" s="56">
        <v>19.460000000000029</v>
      </c>
      <c r="BH377" s="56">
        <v>26.18</v>
      </c>
      <c r="BI377" s="62">
        <v>55.379999999999981</v>
      </c>
      <c r="BJ377" s="70"/>
      <c r="BK377" s="51"/>
    </row>
    <row r="378" spans="1:63" x14ac:dyDescent="0.4">
      <c r="A378" s="11" t="s">
        <v>456</v>
      </c>
      <c r="B378" s="4"/>
      <c r="C378" s="4"/>
      <c r="D378" s="4"/>
      <c r="E378" s="12"/>
      <c r="G378" s="147" t="s">
        <v>456</v>
      </c>
      <c r="H378" s="159">
        <v>70.055000000000007</v>
      </c>
      <c r="I378" s="153">
        <v>70.36</v>
      </c>
      <c r="J378" s="153">
        <v>70.290000000000006</v>
      </c>
      <c r="K378" s="153">
        <v>70.28</v>
      </c>
      <c r="L378" s="153">
        <v>70.349999999999994</v>
      </c>
      <c r="M378" s="80">
        <f t="shared" si="10"/>
        <v>70.36</v>
      </c>
      <c r="N378" s="80">
        <f t="shared" si="11"/>
        <v>70.28</v>
      </c>
      <c r="O378" s="153">
        <v>21.14</v>
      </c>
      <c r="P378" s="153">
        <v>21.13</v>
      </c>
      <c r="Q378" s="153">
        <v>21.13</v>
      </c>
      <c r="R378" s="153">
        <v>21.08</v>
      </c>
      <c r="S378" s="4"/>
      <c r="U378" s="147" t="s">
        <v>456</v>
      </c>
      <c r="V378" s="11"/>
      <c r="W378" s="4"/>
      <c r="X378" s="12"/>
      <c r="Y378" s="14"/>
      <c r="Z378" s="4"/>
      <c r="AA378" s="13"/>
      <c r="AB378" s="11"/>
      <c r="AC378" s="4"/>
      <c r="AD378" s="12"/>
      <c r="AE378" s="13"/>
      <c r="AF378" s="14">
        <v>5.0151000000000003</v>
      </c>
      <c r="AG378" s="133"/>
      <c r="AI378" s="84"/>
      <c r="AL378" s="64">
        <v>4.1725823000000002</v>
      </c>
      <c r="AM378" s="56">
        <v>14.60000000000008</v>
      </c>
      <c r="AN378" s="56">
        <v>16.61999999999999</v>
      </c>
      <c r="AO378" s="62">
        <v>22.680000000000081</v>
      </c>
      <c r="AQ378" s="64">
        <v>4.0823222500000007</v>
      </c>
      <c r="AR378" s="56">
        <v>14.499999999999959</v>
      </c>
      <c r="AS378" s="56">
        <v>16.000000000000011</v>
      </c>
      <c r="AT378" s="62">
        <v>20.239999999999991</v>
      </c>
      <c r="AV378" s="64">
        <v>3.7299689499999999</v>
      </c>
      <c r="AW378" s="56">
        <v>13.99999999999997</v>
      </c>
      <c r="AX378" s="56">
        <v>15.50000000000002</v>
      </c>
      <c r="AY378" s="62">
        <v>20.340000000000021</v>
      </c>
      <c r="BA378" s="64">
        <v>3.1894272333333329</v>
      </c>
      <c r="BB378" s="56">
        <v>16.199999999999989</v>
      </c>
      <c r="BC378" s="56">
        <v>18.680000000000071</v>
      </c>
      <c r="BD378" s="62">
        <v>30.480000000000022</v>
      </c>
      <c r="BF378" s="64">
        <v>2.9240399166666671</v>
      </c>
      <c r="BG378" s="56">
        <v>20.12</v>
      </c>
      <c r="BH378" s="56">
        <v>26.860000000000021</v>
      </c>
      <c r="BI378" s="62">
        <v>56.160000000000032</v>
      </c>
      <c r="BJ378" s="70"/>
      <c r="BK378" s="51"/>
    </row>
    <row r="379" spans="1:63" x14ac:dyDescent="0.4">
      <c r="A379" s="11" t="s">
        <v>457</v>
      </c>
      <c r="B379" s="4"/>
      <c r="C379" s="4"/>
      <c r="D379" s="4"/>
      <c r="E379" s="12"/>
      <c r="G379" s="147" t="s">
        <v>457</v>
      </c>
      <c r="H379" s="159">
        <v>70.075999999999993</v>
      </c>
      <c r="I379" s="153">
        <v>70.27</v>
      </c>
      <c r="J379" s="153">
        <v>70.349999999999994</v>
      </c>
      <c r="K379" s="153">
        <v>70.39</v>
      </c>
      <c r="L379" s="153">
        <v>70.34</v>
      </c>
      <c r="M379" s="80">
        <f t="shared" si="10"/>
        <v>70.39</v>
      </c>
      <c r="N379" s="80">
        <f t="shared" si="11"/>
        <v>70.27</v>
      </c>
      <c r="O379" s="153">
        <v>21.17</v>
      </c>
      <c r="P379" s="153">
        <v>21.01</v>
      </c>
      <c r="Q379" s="153">
        <v>21.13</v>
      </c>
      <c r="R379" s="153">
        <v>21.09</v>
      </c>
      <c r="S379" s="4"/>
      <c r="U379" s="147" t="s">
        <v>457</v>
      </c>
      <c r="V379" s="11"/>
      <c r="W379" s="4"/>
      <c r="X379" s="12"/>
      <c r="Y379" s="14"/>
      <c r="Z379" s="4"/>
      <c r="AA379" s="13"/>
      <c r="AB379" s="11"/>
      <c r="AC379" s="4"/>
      <c r="AD379" s="12"/>
      <c r="AE379" s="13"/>
      <c r="AF379" s="14">
        <v>5.0122</v>
      </c>
      <c r="AG379" s="133"/>
      <c r="AI379" s="84"/>
      <c r="AL379" s="64">
        <v>4.1723824500000006</v>
      </c>
      <c r="AM379" s="56">
        <v>14.619999999999861</v>
      </c>
      <c r="AN379" s="56">
        <v>16.599999999999859</v>
      </c>
      <c r="AO379" s="62">
        <v>22.619999999999859</v>
      </c>
      <c r="AQ379" s="64">
        <v>4.0820821833333323</v>
      </c>
      <c r="AR379" s="56">
        <v>14.280000000000109</v>
      </c>
      <c r="AS379" s="56">
        <v>15.760000000000041</v>
      </c>
      <c r="AT379" s="62">
        <v>19.960000000000019</v>
      </c>
      <c r="AV379" s="64">
        <v>3.7290607333333341</v>
      </c>
      <c r="AW379" s="56">
        <v>13.73999999999995</v>
      </c>
      <c r="AX379" s="56">
        <v>15.20000000000001</v>
      </c>
      <c r="AY379" s="62">
        <v>19.95999999999993</v>
      </c>
      <c r="BA379" s="64">
        <v>3.1871941833333328</v>
      </c>
      <c r="BB379" s="56">
        <v>16.27999999999998</v>
      </c>
      <c r="BC379" s="56">
        <v>18.820000000000011</v>
      </c>
      <c r="BD379" s="62">
        <v>30.78000000000003</v>
      </c>
      <c r="BF379" s="64">
        <v>2.9301219500000002</v>
      </c>
      <c r="BG379" s="56">
        <v>20.14000000000005</v>
      </c>
      <c r="BH379" s="56">
        <v>26.98</v>
      </c>
      <c r="BI379" s="62">
        <v>56.179999999999993</v>
      </c>
      <c r="BJ379" s="70"/>
      <c r="BK379" s="51"/>
    </row>
    <row r="380" spans="1:63" x14ac:dyDescent="0.4">
      <c r="A380" s="11" t="s">
        <v>458</v>
      </c>
      <c r="B380" s="4"/>
      <c r="C380" s="4"/>
      <c r="D380" s="4"/>
      <c r="E380" s="12"/>
      <c r="G380" s="147" t="s">
        <v>458</v>
      </c>
      <c r="H380" s="159">
        <v>70.016999999999996</v>
      </c>
      <c r="I380" s="153">
        <v>70.319999999999993</v>
      </c>
      <c r="J380" s="153">
        <v>70.349999999999994</v>
      </c>
      <c r="K380" s="153">
        <v>70.33</v>
      </c>
      <c r="L380" s="153">
        <v>70.34</v>
      </c>
      <c r="M380" s="80">
        <f t="shared" si="10"/>
        <v>70.349999999999994</v>
      </c>
      <c r="N380" s="80">
        <f t="shared" si="11"/>
        <v>70.319999999999993</v>
      </c>
      <c r="O380" s="153">
        <v>21.17</v>
      </c>
      <c r="P380" s="153">
        <v>21.09</v>
      </c>
      <c r="Q380" s="153">
        <v>21.12</v>
      </c>
      <c r="R380" s="153">
        <v>21.08</v>
      </c>
      <c r="S380" s="4"/>
      <c r="U380" s="147" t="s">
        <v>458</v>
      </c>
      <c r="V380" s="11"/>
      <c r="W380" s="4"/>
      <c r="X380" s="12"/>
      <c r="Y380" s="14"/>
      <c r="Z380" s="4"/>
      <c r="AA380" s="13"/>
      <c r="AB380" s="11"/>
      <c r="AC380" s="4"/>
      <c r="AD380" s="12"/>
      <c r="AE380" s="13"/>
      <c r="AF380" s="14">
        <v>5.0149999999999997</v>
      </c>
      <c r="AG380" s="133"/>
      <c r="AI380" s="84"/>
      <c r="AL380" s="64">
        <v>4.1722465166666662</v>
      </c>
      <c r="AM380" s="56">
        <v>14.24000000000003</v>
      </c>
      <c r="AN380" s="56">
        <v>16.220000000000031</v>
      </c>
      <c r="AO380" s="62">
        <v>22.19999999999995</v>
      </c>
      <c r="AQ380" s="64">
        <v>4.0832199166666658</v>
      </c>
      <c r="AR380" s="56">
        <v>14.1</v>
      </c>
      <c r="AS380" s="56">
        <v>15.5800000000001</v>
      </c>
      <c r="AT380" s="62">
        <v>19.740000000000091</v>
      </c>
      <c r="AV380" s="64">
        <v>3.7304857500000002</v>
      </c>
      <c r="AW380" s="56">
        <v>13.60000000000001</v>
      </c>
      <c r="AX380" s="56">
        <v>15.059999999999979</v>
      </c>
      <c r="AY380" s="62">
        <v>19.83999999999995</v>
      </c>
      <c r="BA380" s="64">
        <v>3.1882800833333338</v>
      </c>
      <c r="BB380" s="56">
        <v>15.84000000000003</v>
      </c>
      <c r="BC380" s="56">
        <v>18.28000000000003</v>
      </c>
      <c r="BD380" s="62">
        <v>30.16000000000005</v>
      </c>
      <c r="BF380" s="64">
        <v>2.929060816666667</v>
      </c>
      <c r="BG380" s="56">
        <v>19.56000000000007</v>
      </c>
      <c r="BH380" s="56">
        <v>26.28000000000004</v>
      </c>
      <c r="BI380" s="62">
        <v>55.340000000000067</v>
      </c>
      <c r="BJ380" s="70"/>
      <c r="BK380" s="51"/>
    </row>
    <row r="381" spans="1:63" x14ac:dyDescent="0.4">
      <c r="A381" s="11" t="s">
        <v>459</v>
      </c>
      <c r="B381" s="4"/>
      <c r="C381" s="4"/>
      <c r="D381" s="4"/>
      <c r="E381" s="12"/>
      <c r="G381" s="147" t="s">
        <v>459</v>
      </c>
      <c r="H381" s="159">
        <v>70.096000000000004</v>
      </c>
      <c r="I381" s="153">
        <v>70.39</v>
      </c>
      <c r="J381" s="153">
        <v>70.319999999999993</v>
      </c>
      <c r="K381" s="153">
        <v>70.39</v>
      </c>
      <c r="L381" s="153">
        <v>70.39</v>
      </c>
      <c r="M381" s="80">
        <f t="shared" si="10"/>
        <v>70.39</v>
      </c>
      <c r="N381" s="80">
        <f t="shared" si="11"/>
        <v>70.319999999999993</v>
      </c>
      <c r="O381" s="153">
        <v>21.16</v>
      </c>
      <c r="P381" s="153">
        <v>21.11</v>
      </c>
      <c r="Q381" s="153">
        <v>21.11</v>
      </c>
      <c r="R381" s="153">
        <v>21.08</v>
      </c>
      <c r="S381" s="4"/>
      <c r="U381" s="147" t="s">
        <v>459</v>
      </c>
      <c r="V381" s="11"/>
      <c r="W381" s="4"/>
      <c r="X381" s="12"/>
      <c r="Y381" s="14"/>
      <c r="Z381" s="4"/>
      <c r="AA381" s="13"/>
      <c r="AB381" s="11"/>
      <c r="AC381" s="4"/>
      <c r="AD381" s="12"/>
      <c r="AE381" s="13"/>
      <c r="AF381" s="14">
        <v>5.0159000000000002</v>
      </c>
      <c r="AG381" s="133"/>
      <c r="AI381" s="84"/>
      <c r="AL381" s="64">
        <v>4.1723808</v>
      </c>
      <c r="AM381" s="56">
        <v>13.81999999999994</v>
      </c>
      <c r="AN381" s="56">
        <v>15.71999999999996</v>
      </c>
      <c r="AO381" s="62">
        <v>21.72000000000001</v>
      </c>
      <c r="AQ381" s="64">
        <v>4.0810505833333339</v>
      </c>
      <c r="AR381" s="56">
        <v>13.320000000000039</v>
      </c>
      <c r="AS381" s="56">
        <v>14.719999999999979</v>
      </c>
      <c r="AT381" s="62">
        <v>18.680000000000071</v>
      </c>
      <c r="AV381" s="64">
        <v>3.7270706333333332</v>
      </c>
      <c r="AW381" s="56">
        <v>12.95999999999999</v>
      </c>
      <c r="AX381" s="56">
        <v>14.33999999999997</v>
      </c>
      <c r="AY381" s="62">
        <v>18.98</v>
      </c>
      <c r="BA381" s="64">
        <v>3.1840264166666672</v>
      </c>
      <c r="BB381" s="56">
        <v>15.220000000000059</v>
      </c>
      <c r="BC381" s="56">
        <v>17.600000000000019</v>
      </c>
      <c r="BD381" s="62">
        <v>29.280000000000062</v>
      </c>
      <c r="BF381" s="64">
        <v>2.927151016666667</v>
      </c>
      <c r="BG381" s="56">
        <v>18.87999999999996</v>
      </c>
      <c r="BH381" s="56">
        <v>25.45999999999999</v>
      </c>
      <c r="BI381" s="62">
        <v>53.739999999999988</v>
      </c>
      <c r="BJ381" s="70"/>
      <c r="BK381" s="51"/>
    </row>
    <row r="382" spans="1:63" x14ac:dyDescent="0.4">
      <c r="A382" s="11" t="s">
        <v>460</v>
      </c>
      <c r="B382" s="4"/>
      <c r="C382" s="4"/>
      <c r="D382" s="4"/>
      <c r="E382" s="12"/>
      <c r="G382" s="147" t="s">
        <v>460</v>
      </c>
      <c r="H382" s="159">
        <v>70.052999999999997</v>
      </c>
      <c r="I382" s="153">
        <v>70.3</v>
      </c>
      <c r="J382" s="153">
        <v>70.28</v>
      </c>
      <c r="K382" s="153">
        <v>70.28</v>
      </c>
      <c r="L382" s="153">
        <v>70.27</v>
      </c>
      <c r="M382" s="80">
        <f t="shared" si="10"/>
        <v>70.3</v>
      </c>
      <c r="N382" s="80">
        <f t="shared" si="11"/>
        <v>70.27</v>
      </c>
      <c r="O382" s="153">
        <v>21.09</v>
      </c>
      <c r="P382" s="153">
        <v>21.05</v>
      </c>
      <c r="Q382" s="153">
        <v>21.16</v>
      </c>
      <c r="R382" s="153">
        <v>21.06</v>
      </c>
      <c r="S382" s="4"/>
      <c r="U382" s="147" t="s">
        <v>460</v>
      </c>
      <c r="V382" s="11"/>
      <c r="W382" s="4"/>
      <c r="X382" s="12"/>
      <c r="Y382" s="14"/>
      <c r="Z382" s="4"/>
      <c r="AA382" s="13"/>
      <c r="AB382" s="11"/>
      <c r="AC382" s="4"/>
      <c r="AD382" s="12"/>
      <c r="AE382" s="13"/>
      <c r="AF382" s="14">
        <v>5.0079000000000002</v>
      </c>
      <c r="AG382" s="133"/>
      <c r="AI382" s="84"/>
      <c r="AL382" s="64">
        <v>4.1722975333333334</v>
      </c>
      <c r="AM382" s="56">
        <v>14.20000000000012</v>
      </c>
      <c r="AN382" s="56">
        <v>16.14000000000004</v>
      </c>
      <c r="AO382" s="62">
        <v>22.100000000000009</v>
      </c>
      <c r="AQ382" s="64">
        <v>4.0810780333333341</v>
      </c>
      <c r="AR382" s="56">
        <v>13.86000000000003</v>
      </c>
      <c r="AS382" s="56">
        <v>15.30000000000005</v>
      </c>
      <c r="AT382" s="62">
        <v>19.36</v>
      </c>
      <c r="AV382" s="64">
        <v>3.7286879333333331</v>
      </c>
      <c r="AW382" s="56">
        <v>13.14000000000002</v>
      </c>
      <c r="AX382" s="56">
        <v>14.57999999999995</v>
      </c>
      <c r="AY382" s="62">
        <v>19.240000000000009</v>
      </c>
      <c r="BA382" s="64">
        <v>3.1871272333333329</v>
      </c>
      <c r="BB382" s="56">
        <v>15.20000000000001</v>
      </c>
      <c r="BC382" s="56">
        <v>17.580000000000059</v>
      </c>
      <c r="BD382" s="62">
        <v>29.140000000000029</v>
      </c>
      <c r="BF382" s="64">
        <v>2.9239680333333329</v>
      </c>
      <c r="BG382" s="56">
        <v>19.019999999999989</v>
      </c>
      <c r="BH382" s="56">
        <v>25.539999999999981</v>
      </c>
      <c r="BI382" s="62">
        <v>54.459999999999987</v>
      </c>
      <c r="BJ382" s="70"/>
      <c r="BK382" s="51"/>
    </row>
    <row r="383" spans="1:63" x14ac:dyDescent="0.4">
      <c r="A383" s="11" t="s">
        <v>461</v>
      </c>
      <c r="B383" s="4"/>
      <c r="C383" s="4"/>
      <c r="D383" s="4"/>
      <c r="E383" s="12"/>
      <c r="G383" s="147" t="s">
        <v>461</v>
      </c>
      <c r="H383" s="159">
        <v>70.028000000000006</v>
      </c>
      <c r="I383" s="153">
        <v>70.28</v>
      </c>
      <c r="J383" s="153">
        <v>70.36</v>
      </c>
      <c r="K383" s="153">
        <v>70.28</v>
      </c>
      <c r="L383" s="153">
        <v>70.31</v>
      </c>
      <c r="M383" s="80">
        <f t="shared" si="10"/>
        <v>70.36</v>
      </c>
      <c r="N383" s="80">
        <f t="shared" si="11"/>
        <v>70.28</v>
      </c>
      <c r="O383" s="153">
        <v>21.2</v>
      </c>
      <c r="P383" s="153">
        <v>21.18</v>
      </c>
      <c r="Q383" s="153">
        <v>21.08</v>
      </c>
      <c r="R383" s="153">
        <v>21.04</v>
      </c>
      <c r="S383" s="4"/>
      <c r="U383" s="147" t="s">
        <v>461</v>
      </c>
      <c r="V383" s="11"/>
      <c r="W383" s="4"/>
      <c r="X383" s="12"/>
      <c r="Y383" s="14"/>
      <c r="Z383" s="4"/>
      <c r="AA383" s="13"/>
      <c r="AB383" s="11"/>
      <c r="AC383" s="4"/>
      <c r="AD383" s="12"/>
      <c r="AE383" s="136"/>
      <c r="AF383" s="14">
        <v>5.0049999999999999</v>
      </c>
      <c r="AG383" s="133"/>
      <c r="AI383" s="84"/>
      <c r="AL383" s="64">
        <v>4.172641483333333</v>
      </c>
      <c r="AM383" s="56">
        <v>15.06000000000007</v>
      </c>
      <c r="AN383" s="56">
        <v>17.099999999999941</v>
      </c>
      <c r="AO383" s="62">
        <v>23.280000000000101</v>
      </c>
      <c r="AQ383" s="64">
        <v>4.0817594666666661</v>
      </c>
      <c r="AR383" s="56">
        <v>14.56</v>
      </c>
      <c r="AS383" s="56">
        <v>16.040000000000099</v>
      </c>
      <c r="AT383" s="62">
        <v>20.220000000000041</v>
      </c>
      <c r="AV383" s="64">
        <v>3.7286438</v>
      </c>
      <c r="AW383" s="56">
        <v>13.859999999999941</v>
      </c>
      <c r="AX383" s="56">
        <v>15.33999999999995</v>
      </c>
      <c r="AY383" s="62">
        <v>20.12</v>
      </c>
      <c r="BA383" s="64">
        <v>3.1862734333333331</v>
      </c>
      <c r="BB383" s="56">
        <v>16.259999999999941</v>
      </c>
      <c r="BC383" s="56">
        <v>18.739999999999931</v>
      </c>
      <c r="BD383" s="62">
        <v>30.65999999999995</v>
      </c>
      <c r="BF383" s="64">
        <v>2.9299279</v>
      </c>
      <c r="BG383" s="56">
        <v>20.14000000000005</v>
      </c>
      <c r="BH383" s="56">
        <v>27.00000000000005</v>
      </c>
      <c r="BI383" s="62">
        <v>56.099999999999987</v>
      </c>
      <c r="BJ383" s="70"/>
      <c r="BK383" s="51"/>
    </row>
    <row r="384" spans="1:63" x14ac:dyDescent="0.4">
      <c r="A384" s="11" t="s">
        <v>462</v>
      </c>
      <c r="B384" s="4"/>
      <c r="C384" s="4"/>
      <c r="D384" s="4"/>
      <c r="E384" s="12"/>
      <c r="G384" s="147" t="s">
        <v>462</v>
      </c>
      <c r="H384" s="159">
        <v>70.052000000000007</v>
      </c>
      <c r="I384" s="153">
        <v>70.38</v>
      </c>
      <c r="J384" s="153">
        <v>70.27</v>
      </c>
      <c r="K384" s="153">
        <v>70.38</v>
      </c>
      <c r="L384" s="153">
        <v>70.31</v>
      </c>
      <c r="M384" s="80">
        <f t="shared" si="10"/>
        <v>70.38</v>
      </c>
      <c r="N384" s="80">
        <f t="shared" si="11"/>
        <v>70.27</v>
      </c>
      <c r="O384" s="153">
        <v>21.13</v>
      </c>
      <c r="P384" s="153">
        <v>21.07</v>
      </c>
      <c r="Q384" s="153">
        <v>21.11</v>
      </c>
      <c r="R384" s="153">
        <v>21.01</v>
      </c>
      <c r="S384" s="4"/>
      <c r="U384" s="147" t="s">
        <v>462</v>
      </c>
      <c r="V384" s="11"/>
      <c r="W384" s="4"/>
      <c r="X384" s="12"/>
      <c r="Y384" s="14"/>
      <c r="Z384" s="4"/>
      <c r="AA384" s="13"/>
      <c r="AB384" s="11"/>
      <c r="AC384" s="4"/>
      <c r="AD384" s="12"/>
      <c r="AE384" s="13"/>
      <c r="AF384" s="14">
        <v>5.0236999999999998</v>
      </c>
      <c r="AG384" s="133"/>
      <c r="AI384" s="84"/>
      <c r="AL384" s="64">
        <v>4.1725904666666667</v>
      </c>
      <c r="AM384" s="56">
        <v>14.179999999999991</v>
      </c>
      <c r="AN384" s="56">
        <v>16.16</v>
      </c>
      <c r="AO384" s="62">
        <v>22.19999999999995</v>
      </c>
      <c r="AQ384" s="64">
        <v>4.082393016666666</v>
      </c>
      <c r="AR384" s="56">
        <v>14.08000000000005</v>
      </c>
      <c r="AS384" s="56">
        <v>15.54000000000002</v>
      </c>
      <c r="AT384" s="62">
        <v>19.699999999999921</v>
      </c>
      <c r="AV384" s="64">
        <v>3.7292384666666658</v>
      </c>
      <c r="AW384" s="56">
        <v>13.319999999999951</v>
      </c>
      <c r="AX384" s="56">
        <v>14.75999999999997</v>
      </c>
      <c r="AY384" s="62">
        <v>19.47999999999999</v>
      </c>
      <c r="BA384" s="64">
        <v>3.185036433333333</v>
      </c>
      <c r="BB384" s="56">
        <v>15.80000000000004</v>
      </c>
      <c r="BC384" s="56">
        <v>18.219999999999992</v>
      </c>
      <c r="BD384" s="62">
        <v>30.100000000000019</v>
      </c>
      <c r="BF384" s="64">
        <v>2.927730383333333</v>
      </c>
      <c r="BG384" s="56">
        <v>19.45999999999994</v>
      </c>
      <c r="BH384" s="56">
        <v>26.22</v>
      </c>
      <c r="BI384" s="62">
        <v>55.239999999999952</v>
      </c>
      <c r="BJ384" s="70"/>
      <c r="BK384" s="51"/>
    </row>
    <row r="385" spans="1:63" x14ac:dyDescent="0.4">
      <c r="A385" s="11" t="s">
        <v>463</v>
      </c>
      <c r="B385" s="4"/>
      <c r="C385" s="4"/>
      <c r="D385" s="4"/>
      <c r="E385" s="12"/>
      <c r="G385" s="147" t="s">
        <v>463</v>
      </c>
      <c r="H385" s="159">
        <v>70.051000000000002</v>
      </c>
      <c r="I385" s="153">
        <v>70.290000000000006</v>
      </c>
      <c r="J385" s="153">
        <v>70.36</v>
      </c>
      <c r="K385" s="153">
        <v>70.349999999999994</v>
      </c>
      <c r="L385" s="153">
        <v>70.38</v>
      </c>
      <c r="M385" s="80">
        <f t="shared" si="10"/>
        <v>70.38</v>
      </c>
      <c r="N385" s="80">
        <f t="shared" si="11"/>
        <v>70.290000000000006</v>
      </c>
      <c r="O385" s="153">
        <v>21.11</v>
      </c>
      <c r="P385" s="153">
        <v>21.05</v>
      </c>
      <c r="Q385" s="153">
        <v>21.11</v>
      </c>
      <c r="R385" s="153">
        <v>21.05</v>
      </c>
      <c r="S385" s="4"/>
      <c r="U385" s="147" t="s">
        <v>463</v>
      </c>
      <c r="V385" s="11"/>
      <c r="W385" s="4"/>
      <c r="X385" s="12"/>
      <c r="Y385" s="14"/>
      <c r="Z385" s="4"/>
      <c r="AA385" s="13"/>
      <c r="AB385" s="11"/>
      <c r="AC385" s="4"/>
      <c r="AD385" s="12"/>
      <c r="AE385" s="13"/>
      <c r="AF385" s="14">
        <v>5.0149999999999997</v>
      </c>
      <c r="AG385" s="133"/>
      <c r="AI385" s="84"/>
      <c r="AL385" s="64">
        <v>4.1727265499999993</v>
      </c>
      <c r="AM385" s="56">
        <v>14.279999999999941</v>
      </c>
      <c r="AN385" s="56">
        <v>16.259999999999941</v>
      </c>
      <c r="AO385" s="62">
        <v>22.21999999999991</v>
      </c>
      <c r="AQ385" s="64">
        <v>4.0818209000000003</v>
      </c>
      <c r="AR385" s="56">
        <v>14.279999999999941</v>
      </c>
      <c r="AS385" s="56">
        <v>15.78</v>
      </c>
      <c r="AT385" s="62">
        <v>19.960000000000019</v>
      </c>
      <c r="AV385" s="64">
        <v>3.729537533333334</v>
      </c>
      <c r="AW385" s="56">
        <v>13.44000000000003</v>
      </c>
      <c r="AX385" s="56">
        <v>14.880000000000051</v>
      </c>
      <c r="AY385" s="62">
        <v>19.599999999999969</v>
      </c>
      <c r="BA385" s="64">
        <v>3.1887815499999999</v>
      </c>
      <c r="BB385" s="56">
        <v>16.05999999999996</v>
      </c>
      <c r="BC385" s="56">
        <v>18.499999999999961</v>
      </c>
      <c r="BD385" s="62">
        <v>30.279999999999951</v>
      </c>
      <c r="BF385" s="64">
        <v>2.9262686333333341</v>
      </c>
      <c r="BG385" s="56">
        <v>19.840000000000039</v>
      </c>
      <c r="BH385" s="56">
        <v>26.560000000000009</v>
      </c>
      <c r="BI385" s="62">
        <v>55.620000000000047</v>
      </c>
      <c r="BJ385" s="70"/>
      <c r="BK385" s="51"/>
    </row>
    <row r="386" spans="1:63" x14ac:dyDescent="0.4">
      <c r="A386" s="11" t="s">
        <v>464</v>
      </c>
      <c r="B386" s="4"/>
      <c r="C386" s="4"/>
      <c r="D386" s="4"/>
      <c r="E386" s="12"/>
      <c r="G386" s="147" t="s">
        <v>464</v>
      </c>
      <c r="H386" s="159">
        <v>70.007999999999996</v>
      </c>
      <c r="I386" s="153">
        <v>70.37</v>
      </c>
      <c r="J386" s="153">
        <v>70.37</v>
      </c>
      <c r="K386" s="153">
        <v>70.31</v>
      </c>
      <c r="L386" s="153">
        <v>70.290000000000006</v>
      </c>
      <c r="M386" s="80">
        <f t="shared" si="10"/>
        <v>70.37</v>
      </c>
      <c r="N386" s="80">
        <f t="shared" si="11"/>
        <v>70.290000000000006</v>
      </c>
      <c r="O386" s="153">
        <v>21.17</v>
      </c>
      <c r="P386" s="153">
        <v>21.15</v>
      </c>
      <c r="Q386" s="153">
        <v>21.12</v>
      </c>
      <c r="R386" s="153">
        <v>21.11</v>
      </c>
      <c r="S386" s="4"/>
      <c r="U386" s="147" t="s">
        <v>464</v>
      </c>
      <c r="V386" s="11"/>
      <c r="W386" s="4"/>
      <c r="X386" s="12"/>
      <c r="Y386" s="14"/>
      <c r="Z386" s="4"/>
      <c r="AA386" s="13"/>
      <c r="AB386" s="11"/>
      <c r="AC386" s="4"/>
      <c r="AD386" s="12"/>
      <c r="AE386" s="13"/>
      <c r="AF386" s="14">
        <v>5.0282</v>
      </c>
      <c r="AG386" s="133"/>
      <c r="AI386" s="84"/>
      <c r="AL386" s="64">
        <v>4.1725458833333331</v>
      </c>
      <c r="AM386" s="56">
        <v>14.1</v>
      </c>
      <c r="AN386" s="56">
        <v>16.040000000000099</v>
      </c>
      <c r="AO386" s="62">
        <v>22.100000000000009</v>
      </c>
      <c r="AQ386" s="64">
        <v>4.0817039333333316</v>
      </c>
      <c r="AR386" s="56">
        <v>13.999999999999879</v>
      </c>
      <c r="AS386" s="56">
        <v>15.4399999999999</v>
      </c>
      <c r="AT386" s="62">
        <v>19.49999999999994</v>
      </c>
      <c r="AV386" s="64">
        <v>3.7278590166666672</v>
      </c>
      <c r="AW386" s="56">
        <v>13.49999999999998</v>
      </c>
      <c r="AX386" s="56">
        <v>14.919999999999961</v>
      </c>
      <c r="AY386" s="62">
        <v>19.679999999999961</v>
      </c>
      <c r="BA386" s="64">
        <v>3.181988</v>
      </c>
      <c r="BB386" s="56">
        <v>15.240000000000011</v>
      </c>
      <c r="BC386" s="56">
        <v>17.620000000000061</v>
      </c>
      <c r="BD386" s="62">
        <v>29.300000000000011</v>
      </c>
      <c r="BF386" s="64">
        <v>2.9189622000000011</v>
      </c>
      <c r="BG386" s="56">
        <v>19.08000000000003</v>
      </c>
      <c r="BH386" s="56">
        <v>25.70000000000006</v>
      </c>
      <c r="BI386" s="62">
        <v>55.04000000000007</v>
      </c>
      <c r="BJ386" s="70"/>
      <c r="BK386" s="51"/>
    </row>
    <row r="387" spans="1:63" x14ac:dyDescent="0.4">
      <c r="A387" s="11" t="s">
        <v>465</v>
      </c>
      <c r="B387" s="4"/>
      <c r="C387" s="4"/>
      <c r="D387" s="4"/>
      <c r="E387" s="12"/>
      <c r="G387" s="147" t="s">
        <v>465</v>
      </c>
      <c r="H387" s="159">
        <v>70.162999999999997</v>
      </c>
      <c r="I387" s="153">
        <v>70.37</v>
      </c>
      <c r="J387" s="153">
        <v>70.37</v>
      </c>
      <c r="K387" s="153">
        <v>70.400000000000006</v>
      </c>
      <c r="L387" s="153">
        <v>70.319999999999993</v>
      </c>
      <c r="M387" s="80">
        <f t="shared" si="10"/>
        <v>70.400000000000006</v>
      </c>
      <c r="N387" s="80">
        <f t="shared" si="11"/>
        <v>70.319999999999993</v>
      </c>
      <c r="O387" s="153">
        <v>21.18</v>
      </c>
      <c r="P387" s="153">
        <v>21.1</v>
      </c>
      <c r="Q387" s="153">
        <v>21.12</v>
      </c>
      <c r="R387" s="153">
        <v>21.04</v>
      </c>
      <c r="S387" s="4"/>
      <c r="U387" s="147" t="s">
        <v>465</v>
      </c>
      <c r="V387" s="11"/>
      <c r="W387" s="4"/>
      <c r="X387" s="12"/>
      <c r="Y387" s="14"/>
      <c r="Z387" s="4"/>
      <c r="AA387" s="13"/>
      <c r="AB387" s="11"/>
      <c r="AC387" s="4"/>
      <c r="AD387" s="12"/>
      <c r="AE387" s="13"/>
      <c r="AF387" s="14">
        <v>5.0202999999999998</v>
      </c>
      <c r="AG387" s="133"/>
      <c r="AI387" s="84"/>
      <c r="AL387" s="64">
        <v>4.1725740666666677</v>
      </c>
      <c r="AM387" s="56">
        <v>14.880000000000139</v>
      </c>
      <c r="AN387" s="56">
        <v>16.880000000000091</v>
      </c>
      <c r="AO387" s="62">
        <v>23.000000000000039</v>
      </c>
      <c r="AQ387" s="64">
        <v>4.0809179666666662</v>
      </c>
      <c r="AR387" s="56">
        <v>14.460000000000051</v>
      </c>
      <c r="AS387" s="56">
        <v>15.960000000000109</v>
      </c>
      <c r="AT387" s="62">
        <v>20.180000000000039</v>
      </c>
      <c r="AV387" s="64">
        <v>3.7282715999999998</v>
      </c>
      <c r="AW387" s="56">
        <v>13.72</v>
      </c>
      <c r="AX387" s="56">
        <v>15.18000000000006</v>
      </c>
      <c r="AY387" s="62">
        <v>19.980000000000061</v>
      </c>
      <c r="BA387" s="64">
        <v>3.189189649999999</v>
      </c>
      <c r="BB387" s="56">
        <v>15.760000000000041</v>
      </c>
      <c r="BC387" s="56">
        <v>18.18</v>
      </c>
      <c r="BD387" s="62">
        <v>29.84</v>
      </c>
      <c r="BF387" s="64">
        <v>2.9274753499999999</v>
      </c>
      <c r="BG387" s="56">
        <v>19.660000000000011</v>
      </c>
      <c r="BH387" s="56">
        <v>26.28000000000004</v>
      </c>
      <c r="BI387" s="62">
        <v>55.000000000000071</v>
      </c>
      <c r="BJ387" s="70"/>
      <c r="BK387" s="51"/>
    </row>
    <row r="388" spans="1:63" x14ac:dyDescent="0.4">
      <c r="A388" s="11" t="s">
        <v>1435</v>
      </c>
      <c r="B388" s="4"/>
      <c r="C388" s="4"/>
      <c r="D388" s="4"/>
      <c r="E388" s="12"/>
      <c r="G388" s="147" t="s">
        <v>1385</v>
      </c>
      <c r="H388" s="159">
        <v>70.088999999999999</v>
      </c>
      <c r="I388" s="153">
        <v>70.319999999999993</v>
      </c>
      <c r="J388" s="153">
        <v>70.37</v>
      </c>
      <c r="K388" s="153">
        <v>70.31</v>
      </c>
      <c r="L388" s="153">
        <v>70.39</v>
      </c>
      <c r="M388" s="80">
        <f t="shared" si="10"/>
        <v>70.39</v>
      </c>
      <c r="N388" s="80">
        <f t="shared" si="11"/>
        <v>70.31</v>
      </c>
      <c r="O388" s="153">
        <v>21.16</v>
      </c>
      <c r="P388" s="153">
        <v>20.99</v>
      </c>
      <c r="Q388" s="153">
        <v>21.12</v>
      </c>
      <c r="R388" s="153">
        <v>21.11</v>
      </c>
      <c r="S388" s="4"/>
      <c r="U388" s="147" t="s">
        <v>1385</v>
      </c>
      <c r="V388" s="11"/>
      <c r="W388" s="4"/>
      <c r="X388" s="12"/>
      <c r="Y388" s="14"/>
      <c r="Z388" s="4"/>
      <c r="AA388" s="13"/>
      <c r="AB388" s="11"/>
      <c r="AC388" s="4"/>
      <c r="AD388" s="12"/>
      <c r="AE388" s="13"/>
      <c r="AF388" s="14">
        <v>5.0175000000000001</v>
      </c>
      <c r="AG388" s="133"/>
      <c r="AI388" s="84"/>
      <c r="AL388" s="64">
        <v>4.1727863166666674</v>
      </c>
      <c r="AM388" s="56">
        <v>14.459999999999869</v>
      </c>
      <c r="AN388" s="56">
        <v>16.41999999999992</v>
      </c>
      <c r="AO388" s="62">
        <v>22.339999999999979</v>
      </c>
      <c r="AQ388" s="64">
        <v>4.0832015499999992</v>
      </c>
      <c r="AR388" s="56">
        <v>14.220000000000081</v>
      </c>
      <c r="AS388" s="56">
        <v>15.7</v>
      </c>
      <c r="AT388" s="62">
        <v>19.840000000000039</v>
      </c>
      <c r="AV388" s="64">
        <v>3.7305869999999999</v>
      </c>
      <c r="AW388" s="56">
        <v>13.480000000000031</v>
      </c>
      <c r="AX388" s="56">
        <v>14.94</v>
      </c>
      <c r="AY388" s="62">
        <v>19.660000000000011</v>
      </c>
      <c r="BA388" s="64">
        <v>3.18883355</v>
      </c>
      <c r="BB388" s="56">
        <v>15.799999999999949</v>
      </c>
      <c r="BC388" s="56">
        <v>18.219999999999992</v>
      </c>
      <c r="BD388" s="62">
        <v>29.999999999999979</v>
      </c>
      <c r="BF388" s="64">
        <v>2.9280872833333329</v>
      </c>
      <c r="BG388" s="56">
        <v>19.49999999999994</v>
      </c>
      <c r="BH388" s="56">
        <v>26.22</v>
      </c>
      <c r="BI388" s="62">
        <v>55.220000000000013</v>
      </c>
      <c r="BJ388" s="70"/>
      <c r="BK388" s="51"/>
    </row>
    <row r="389" spans="1:63" x14ac:dyDescent="0.4">
      <c r="A389" s="11" t="s">
        <v>466</v>
      </c>
      <c r="B389" s="4"/>
      <c r="C389" s="4"/>
      <c r="D389" s="4"/>
      <c r="E389" s="12"/>
      <c r="G389" s="147" t="s">
        <v>466</v>
      </c>
      <c r="H389" s="159">
        <v>70.049000000000007</v>
      </c>
      <c r="I389" s="153">
        <v>70.38</v>
      </c>
      <c r="J389" s="153">
        <v>70.33</v>
      </c>
      <c r="K389" s="153">
        <v>70.37</v>
      </c>
      <c r="L389" s="153">
        <v>70.37</v>
      </c>
      <c r="M389" s="80">
        <f t="shared" si="10"/>
        <v>70.38</v>
      </c>
      <c r="N389" s="80">
        <f t="shared" si="11"/>
        <v>70.33</v>
      </c>
      <c r="O389" s="153">
        <v>21.12</v>
      </c>
      <c r="P389" s="153">
        <v>21.01</v>
      </c>
      <c r="Q389" s="153">
        <v>21.1</v>
      </c>
      <c r="R389" s="153">
        <v>21.06</v>
      </c>
      <c r="S389" s="4"/>
      <c r="U389" s="147" t="s">
        <v>466</v>
      </c>
      <c r="V389" s="11"/>
      <c r="W389" s="4"/>
      <c r="X389" s="12"/>
      <c r="Y389" s="14"/>
      <c r="Z389" s="4"/>
      <c r="AA389" s="13"/>
      <c r="AB389" s="11"/>
      <c r="AC389" s="4"/>
      <c r="AD389" s="12"/>
      <c r="AE389" s="13"/>
      <c r="AF389" s="14">
        <v>5.0130999999999997</v>
      </c>
      <c r="AG389" s="133"/>
      <c r="AI389" s="84"/>
      <c r="AL389" s="64">
        <v>4.1725252333333334</v>
      </c>
      <c r="AM389" s="56">
        <v>14.340000000000151</v>
      </c>
      <c r="AN389" s="56">
        <v>16.300000000000029</v>
      </c>
      <c r="AO389" s="62">
        <v>22.200000000000131</v>
      </c>
      <c r="AQ389" s="64">
        <v>4.0822075000000009</v>
      </c>
      <c r="AR389" s="56">
        <v>14.25999999999998</v>
      </c>
      <c r="AS389" s="56">
        <v>15.740000000000091</v>
      </c>
      <c r="AT389" s="62">
        <v>19.960000000000019</v>
      </c>
      <c r="AV389" s="64">
        <v>3.7290606999999989</v>
      </c>
      <c r="AW389" s="56">
        <v>13.68</v>
      </c>
      <c r="AX389" s="56">
        <v>15.120000000000021</v>
      </c>
      <c r="AY389" s="62">
        <v>19.859999999999989</v>
      </c>
      <c r="BA389" s="64">
        <v>3.1867508500000001</v>
      </c>
      <c r="BB389" s="56">
        <v>15.899999999999981</v>
      </c>
      <c r="BC389" s="56">
        <v>18.359999999999928</v>
      </c>
      <c r="BD389" s="62">
        <v>30.159999999999961</v>
      </c>
      <c r="BF389" s="64">
        <v>2.928110466666666</v>
      </c>
      <c r="BG389" s="56">
        <v>19.899999999999981</v>
      </c>
      <c r="BH389" s="56">
        <v>26.679999999999989</v>
      </c>
      <c r="BI389" s="62">
        <v>55.899999999999928</v>
      </c>
      <c r="BJ389" s="70"/>
      <c r="BK389" s="51"/>
    </row>
    <row r="390" spans="1:63" x14ac:dyDescent="0.4">
      <c r="A390" s="11" t="s">
        <v>467</v>
      </c>
      <c r="B390" s="4"/>
      <c r="C390" s="4"/>
      <c r="D390" s="4"/>
      <c r="E390" s="12"/>
      <c r="G390" s="147" t="s">
        <v>467</v>
      </c>
      <c r="H390" s="159">
        <v>70.117999999999995</v>
      </c>
      <c r="I390" s="153">
        <v>70.28</v>
      </c>
      <c r="J390" s="153">
        <v>70.39</v>
      </c>
      <c r="K390" s="153">
        <v>70.34</v>
      </c>
      <c r="L390" s="153">
        <v>70.38</v>
      </c>
      <c r="M390" s="80">
        <f t="shared" ref="M390:M453" si="12">MAX(I390:L390)</f>
        <v>70.39</v>
      </c>
      <c r="N390" s="80">
        <f t="shared" ref="N390:N453" si="13">MIN(I390:L390)</f>
        <v>70.28</v>
      </c>
      <c r="O390" s="153">
        <v>21.18</v>
      </c>
      <c r="P390" s="153">
        <v>21.16</v>
      </c>
      <c r="Q390" s="153">
        <v>21.14</v>
      </c>
      <c r="R390" s="153">
        <v>21.06</v>
      </c>
      <c r="S390" s="4"/>
      <c r="U390" s="147" t="s">
        <v>467</v>
      </c>
      <c r="V390" s="11"/>
      <c r="W390" s="4"/>
      <c r="X390" s="12"/>
      <c r="Y390" s="14"/>
      <c r="Z390" s="4"/>
      <c r="AA390" s="13"/>
      <c r="AB390" s="11"/>
      <c r="AC390" s="4"/>
      <c r="AD390" s="12"/>
      <c r="AE390" s="13"/>
      <c r="AF390" s="14">
        <v>5.0465999999999998</v>
      </c>
      <c r="AG390" s="133"/>
      <c r="AI390" s="84"/>
      <c r="AL390" s="64">
        <v>4.1726003166666672</v>
      </c>
      <c r="AM390" s="56">
        <v>14.41999999999997</v>
      </c>
      <c r="AN390" s="56">
        <v>16.36000000000006</v>
      </c>
      <c r="AO390" s="62">
        <v>22.499999999999961</v>
      </c>
      <c r="AQ390" s="64">
        <v>4.0828424000000014</v>
      </c>
      <c r="AR390" s="56">
        <v>14.08000000000005</v>
      </c>
      <c r="AS390" s="56">
        <v>15.54000000000002</v>
      </c>
      <c r="AT390" s="62">
        <v>19.720000000000049</v>
      </c>
      <c r="AV390" s="64">
        <v>3.7294730500000011</v>
      </c>
      <c r="AW390" s="56">
        <v>13.72</v>
      </c>
      <c r="AX390" s="56">
        <v>15.17999999999997</v>
      </c>
      <c r="AY390" s="62">
        <v>19.979999999999979</v>
      </c>
      <c r="BA390" s="64">
        <v>3.1858475333333329</v>
      </c>
      <c r="BB390" s="56">
        <v>16.319999999999979</v>
      </c>
      <c r="BC390" s="56">
        <v>18.799999999999969</v>
      </c>
      <c r="BD390" s="62">
        <v>30.839999999999979</v>
      </c>
      <c r="BF390" s="64">
        <v>2.9304525166666671</v>
      </c>
      <c r="BG390" s="56">
        <v>19.880000000000031</v>
      </c>
      <c r="BH390" s="56">
        <v>26.799999999999979</v>
      </c>
      <c r="BI390" s="62">
        <v>55.74000000000003</v>
      </c>
      <c r="BJ390" s="70"/>
      <c r="BK390" s="51"/>
    </row>
    <row r="391" spans="1:63" x14ac:dyDescent="0.4">
      <c r="A391" s="11" t="s">
        <v>468</v>
      </c>
      <c r="B391" s="4"/>
      <c r="C391" s="4"/>
      <c r="D391" s="4"/>
      <c r="E391" s="12"/>
      <c r="G391" s="147" t="s">
        <v>468</v>
      </c>
      <c r="H391" s="159">
        <v>70.022000000000006</v>
      </c>
      <c r="I391" s="153">
        <v>70.31</v>
      </c>
      <c r="J391" s="153">
        <v>70.39</v>
      </c>
      <c r="K391" s="153">
        <v>70.319999999999993</v>
      </c>
      <c r="L391" s="153">
        <v>70.27</v>
      </c>
      <c r="M391" s="80">
        <f t="shared" si="12"/>
        <v>70.39</v>
      </c>
      <c r="N391" s="80">
        <f t="shared" si="13"/>
        <v>70.27</v>
      </c>
      <c r="O391" s="153">
        <v>21.14</v>
      </c>
      <c r="P391" s="153">
        <v>21.03</v>
      </c>
      <c r="Q391" s="153">
        <v>21.12</v>
      </c>
      <c r="R391" s="153">
        <v>21.06</v>
      </c>
      <c r="S391" s="4"/>
      <c r="U391" s="147" t="s">
        <v>468</v>
      </c>
      <c r="V391" s="11"/>
      <c r="W391" s="4"/>
      <c r="X391" s="12"/>
      <c r="Y391" s="14"/>
      <c r="Z391" s="4"/>
      <c r="AA391" s="13"/>
      <c r="AB391" s="11"/>
      <c r="AC391" s="4"/>
      <c r="AD391" s="12"/>
      <c r="AE391" s="13"/>
      <c r="AF391" s="14">
        <v>5.0330000000000004</v>
      </c>
      <c r="AG391" s="133"/>
      <c r="AI391" s="84"/>
      <c r="AL391" s="64">
        <v>4.1731502166666674</v>
      </c>
      <c r="AM391" s="56">
        <v>13.679999999999909</v>
      </c>
      <c r="AN391" s="56">
        <v>15.579999999999931</v>
      </c>
      <c r="AO391" s="62">
        <v>21.640000000000011</v>
      </c>
      <c r="AQ391" s="64">
        <v>4.0816694999999994</v>
      </c>
      <c r="AR391" s="56">
        <v>13.239999999999871</v>
      </c>
      <c r="AS391" s="56">
        <v>14.5999999999999</v>
      </c>
      <c r="AT391" s="62">
        <v>18.499999999999961</v>
      </c>
      <c r="AV391" s="64">
        <v>3.7293585166666658</v>
      </c>
      <c r="AW391" s="56">
        <v>12.92</v>
      </c>
      <c r="AX391" s="56">
        <v>14.299999999999979</v>
      </c>
      <c r="AY391" s="62">
        <v>18.900000000000009</v>
      </c>
      <c r="BA391" s="64">
        <v>3.1915179333333339</v>
      </c>
      <c r="BB391" s="56">
        <v>15.84000000000003</v>
      </c>
      <c r="BC391" s="56">
        <v>18.19999999999995</v>
      </c>
      <c r="BD391" s="62">
        <v>29.779999999999959</v>
      </c>
      <c r="BF391" s="64">
        <v>2.9337989499999999</v>
      </c>
      <c r="BG391" s="56">
        <v>19.739999999999998</v>
      </c>
      <c r="BH391" s="56">
        <v>26.799999999999979</v>
      </c>
      <c r="BI391" s="62">
        <v>56.44</v>
      </c>
      <c r="BJ391" s="70"/>
      <c r="BK391" s="51"/>
    </row>
    <row r="392" spans="1:63" x14ac:dyDescent="0.4">
      <c r="A392" s="11" t="s">
        <v>469</v>
      </c>
      <c r="B392" s="4"/>
      <c r="C392" s="4"/>
      <c r="D392" s="4"/>
      <c r="E392" s="12"/>
      <c r="G392" s="147" t="s">
        <v>469</v>
      </c>
      <c r="H392" s="159">
        <v>70.188000000000002</v>
      </c>
      <c r="I392" s="153">
        <v>70.39</v>
      </c>
      <c r="J392" s="153">
        <v>70.28</v>
      </c>
      <c r="K392" s="153">
        <v>70.31</v>
      </c>
      <c r="L392" s="153">
        <v>70.39</v>
      </c>
      <c r="M392" s="80">
        <f t="shared" si="12"/>
        <v>70.39</v>
      </c>
      <c r="N392" s="80">
        <f t="shared" si="13"/>
        <v>70.28</v>
      </c>
      <c r="O392" s="153">
        <v>21.21</v>
      </c>
      <c r="P392" s="153">
        <v>21.12</v>
      </c>
      <c r="Q392" s="153">
        <v>21.13</v>
      </c>
      <c r="R392" s="153">
        <v>21.08</v>
      </c>
      <c r="S392" s="4"/>
      <c r="U392" s="147" t="s">
        <v>469</v>
      </c>
      <c r="V392" s="11"/>
      <c r="W392" s="4"/>
      <c r="X392" s="12"/>
      <c r="Y392" s="14"/>
      <c r="Z392" s="4"/>
      <c r="AA392" s="13"/>
      <c r="AB392" s="11"/>
      <c r="AC392" s="4"/>
      <c r="AD392" s="12"/>
      <c r="AE392" s="13"/>
      <c r="AF392" s="14">
        <v>5.0180999999999996</v>
      </c>
      <c r="AG392" s="133"/>
      <c r="AI392" s="84"/>
      <c r="AL392" s="64">
        <v>4.1727619333333328</v>
      </c>
      <c r="AM392" s="56">
        <v>14.43999999999992</v>
      </c>
      <c r="AN392" s="56">
        <v>16.39999999999997</v>
      </c>
      <c r="AO392" s="62">
        <v>22.41999999999997</v>
      </c>
      <c r="AQ392" s="64">
        <v>4.0813503833333344</v>
      </c>
      <c r="AR392" s="56">
        <v>14.140000000000089</v>
      </c>
      <c r="AS392" s="56">
        <v>15.60000000000006</v>
      </c>
      <c r="AT392" s="62">
        <v>19.740000000000091</v>
      </c>
      <c r="AV392" s="64">
        <v>3.7294239166666672</v>
      </c>
      <c r="AW392" s="56">
        <v>13.639999999999921</v>
      </c>
      <c r="AX392" s="56">
        <v>15.07999999999994</v>
      </c>
      <c r="AY392" s="62">
        <v>19.83999999999995</v>
      </c>
      <c r="BA392" s="64">
        <v>3.1911249666666661</v>
      </c>
      <c r="BB392" s="56">
        <v>16.58000000000008</v>
      </c>
      <c r="BC392" s="56">
        <v>19.020000000000081</v>
      </c>
      <c r="BD392" s="62">
        <v>30.880000000000059</v>
      </c>
      <c r="BF392" s="64">
        <v>2.9441825333333331</v>
      </c>
      <c r="BG392" s="56">
        <v>20.51999999999996</v>
      </c>
      <c r="BH392" s="56">
        <v>27.579999999999941</v>
      </c>
      <c r="BI392" s="62">
        <v>56.619999999999933</v>
      </c>
      <c r="BJ392" s="70"/>
      <c r="BK392" s="51"/>
    </row>
    <row r="393" spans="1:63" x14ac:dyDescent="0.4">
      <c r="A393" s="11" t="s">
        <v>470</v>
      </c>
      <c r="B393" s="4"/>
      <c r="C393" s="4"/>
      <c r="D393" s="4"/>
      <c r="E393" s="12"/>
      <c r="G393" s="147" t="s">
        <v>470</v>
      </c>
      <c r="H393" s="159">
        <v>70.051000000000002</v>
      </c>
      <c r="I393" s="153">
        <v>70.39</v>
      </c>
      <c r="J393" s="153">
        <v>70.34</v>
      </c>
      <c r="K393" s="153">
        <v>70.349999999999994</v>
      </c>
      <c r="L393" s="153">
        <v>70.33</v>
      </c>
      <c r="M393" s="80">
        <f t="shared" si="12"/>
        <v>70.39</v>
      </c>
      <c r="N393" s="80">
        <f t="shared" si="13"/>
        <v>70.33</v>
      </c>
      <c r="O393" s="153">
        <v>21.14</v>
      </c>
      <c r="P393" s="153">
        <v>21.1</v>
      </c>
      <c r="Q393" s="153">
        <v>21.14</v>
      </c>
      <c r="R393" s="153">
        <v>21.03</v>
      </c>
      <c r="S393" s="4"/>
      <c r="U393" s="147" t="s">
        <v>470</v>
      </c>
      <c r="V393" s="11"/>
      <c r="W393" s="4"/>
      <c r="X393" s="12"/>
      <c r="Y393" s="14"/>
      <c r="Z393" s="4"/>
      <c r="AA393" s="13"/>
      <c r="AB393" s="11"/>
      <c r="AC393" s="4"/>
      <c r="AD393" s="12"/>
      <c r="AE393" s="13"/>
      <c r="AF393" s="14">
        <v>5.0206999999999997</v>
      </c>
      <c r="AG393" s="133"/>
      <c r="AI393" s="84"/>
      <c r="AL393" s="64">
        <v>4.1725692333333333</v>
      </c>
      <c r="AM393" s="56">
        <v>14.900000000000089</v>
      </c>
      <c r="AN393" s="56">
        <v>16.920000000000002</v>
      </c>
      <c r="AO393" s="62">
        <v>22.980000000000089</v>
      </c>
      <c r="AQ393" s="64">
        <v>4.0814756333333326</v>
      </c>
      <c r="AR393" s="56">
        <v>14.32000000000002</v>
      </c>
      <c r="AS393" s="56">
        <v>15.799999999999949</v>
      </c>
      <c r="AT393" s="62">
        <v>19.980000000000061</v>
      </c>
      <c r="AV393" s="64">
        <v>3.7282915166666668</v>
      </c>
      <c r="AW393" s="56">
        <v>13.82000000000003</v>
      </c>
      <c r="AX393" s="56">
        <v>15.28</v>
      </c>
      <c r="AY393" s="62">
        <v>20.220000000000041</v>
      </c>
      <c r="BA393" s="64">
        <v>3.184554883333333</v>
      </c>
      <c r="BB393" s="56">
        <v>17.11999999999998</v>
      </c>
      <c r="BC393" s="56">
        <v>19.680000000000049</v>
      </c>
      <c r="BD393" s="62">
        <v>32.019999999999982</v>
      </c>
      <c r="BF393" s="64">
        <v>2.9445787833333328</v>
      </c>
      <c r="BG393" s="56">
        <v>21.039999999999988</v>
      </c>
      <c r="BH393" s="56">
        <v>28.379999999999939</v>
      </c>
      <c r="BI393" s="62">
        <v>58.199999999999989</v>
      </c>
      <c r="BJ393" s="70"/>
      <c r="BK393" s="51"/>
    </row>
    <row r="394" spans="1:63" x14ac:dyDescent="0.4">
      <c r="A394" s="11" t="s">
        <v>471</v>
      </c>
      <c r="B394" s="4"/>
      <c r="C394" s="4"/>
      <c r="D394" s="4"/>
      <c r="E394" s="12"/>
      <c r="G394" s="147" t="s">
        <v>471</v>
      </c>
      <c r="H394" s="159">
        <v>70.075000000000003</v>
      </c>
      <c r="I394" s="153">
        <v>70.31</v>
      </c>
      <c r="J394" s="153">
        <v>70.31</v>
      </c>
      <c r="K394" s="153">
        <v>70.36</v>
      </c>
      <c r="L394" s="153">
        <v>70.37</v>
      </c>
      <c r="M394" s="80">
        <f t="shared" si="12"/>
        <v>70.37</v>
      </c>
      <c r="N394" s="80">
        <f t="shared" si="13"/>
        <v>70.31</v>
      </c>
      <c r="O394" s="153">
        <v>21.2</v>
      </c>
      <c r="P394" s="153">
        <v>21.17</v>
      </c>
      <c r="Q394" s="153">
        <v>21.11</v>
      </c>
      <c r="R394" s="153">
        <v>21.08</v>
      </c>
      <c r="S394" s="4"/>
      <c r="U394" s="147" t="s">
        <v>471</v>
      </c>
      <c r="V394" s="11"/>
      <c r="W394" s="4"/>
      <c r="X394" s="12"/>
      <c r="Y394" s="14"/>
      <c r="Z394" s="4"/>
      <c r="AA394" s="13"/>
      <c r="AB394" s="11"/>
      <c r="AC394" s="4"/>
      <c r="AD394" s="12"/>
      <c r="AE394" s="13"/>
      <c r="AF394" s="14">
        <v>5.0145999999999997</v>
      </c>
      <c r="AG394" s="133"/>
      <c r="AI394" s="84"/>
      <c r="AL394" s="64">
        <v>4.1730001833333326</v>
      </c>
      <c r="AM394" s="56">
        <v>14.400000000000009</v>
      </c>
      <c r="AN394" s="56">
        <v>16.339999999999929</v>
      </c>
      <c r="AO394" s="62">
        <v>22.300000000000079</v>
      </c>
      <c r="AQ394" s="64">
        <v>4.0818717499999986</v>
      </c>
      <c r="AR394" s="56">
        <v>13.940000000000021</v>
      </c>
      <c r="AS394" s="56">
        <v>15.38000000000004</v>
      </c>
      <c r="AT394" s="62">
        <v>19.519999999999978</v>
      </c>
      <c r="AV394" s="64">
        <v>3.7288652666666668</v>
      </c>
      <c r="AW394" s="56">
        <v>13.45999999999998</v>
      </c>
      <c r="AX394" s="56">
        <v>14.9</v>
      </c>
      <c r="AY394" s="62">
        <v>19.639999999999969</v>
      </c>
      <c r="BA394" s="64">
        <v>3.1856711500000001</v>
      </c>
      <c r="BB394" s="56">
        <v>16.739999999999981</v>
      </c>
      <c r="BC394" s="56">
        <v>19.240000000000009</v>
      </c>
      <c r="BD394" s="62">
        <v>31.36000000000001</v>
      </c>
      <c r="BF394" s="64">
        <v>2.9421626999999999</v>
      </c>
      <c r="BG394" s="56">
        <v>20.659999999999989</v>
      </c>
      <c r="BH394" s="56">
        <v>27.82</v>
      </c>
      <c r="BI394" s="62">
        <v>57.180000000000049</v>
      </c>
      <c r="BJ394" s="70"/>
      <c r="BK394" s="51"/>
    </row>
    <row r="395" spans="1:63" x14ac:dyDescent="0.4">
      <c r="A395" s="11" t="s">
        <v>472</v>
      </c>
      <c r="B395" s="4"/>
      <c r="C395" s="4"/>
      <c r="D395" s="4"/>
      <c r="E395" s="12"/>
      <c r="G395" s="147" t="s">
        <v>472</v>
      </c>
      <c r="H395" s="159">
        <v>70.016999999999996</v>
      </c>
      <c r="I395" s="153">
        <v>70.37</v>
      </c>
      <c r="J395" s="153">
        <v>70.37</v>
      </c>
      <c r="K395" s="153">
        <v>70.28</v>
      </c>
      <c r="L395" s="153">
        <v>70.33</v>
      </c>
      <c r="M395" s="80">
        <f t="shared" si="12"/>
        <v>70.37</v>
      </c>
      <c r="N395" s="80">
        <f t="shared" si="13"/>
        <v>70.28</v>
      </c>
      <c r="O395" s="153">
        <v>21.19</v>
      </c>
      <c r="P395" s="153">
        <v>21.13</v>
      </c>
      <c r="Q395" s="153">
        <v>21.15</v>
      </c>
      <c r="R395" s="153">
        <v>21.07</v>
      </c>
      <c r="S395" s="4"/>
      <c r="U395" s="147" t="s">
        <v>472</v>
      </c>
      <c r="V395" s="11"/>
      <c r="W395" s="4"/>
      <c r="X395" s="12"/>
      <c r="Y395" s="14"/>
      <c r="Z395" s="4"/>
      <c r="AA395" s="13"/>
      <c r="AB395" s="11"/>
      <c r="AC395" s="4"/>
      <c r="AD395" s="12"/>
      <c r="AE395" s="13"/>
      <c r="AF395" s="14">
        <v>5.0168999999999997</v>
      </c>
      <c r="AG395" s="133"/>
      <c r="AI395" s="84"/>
      <c r="AL395" s="64">
        <v>4.1731367500000003</v>
      </c>
      <c r="AM395" s="56">
        <v>14.84000000000005</v>
      </c>
      <c r="AN395" s="56">
        <v>16.85999999999996</v>
      </c>
      <c r="AO395" s="62">
        <v>22.94</v>
      </c>
      <c r="AQ395" s="64">
        <v>4.0824987666666646</v>
      </c>
      <c r="AR395" s="56">
        <v>14.41999999999997</v>
      </c>
      <c r="AS395" s="56">
        <v>15.89999999999989</v>
      </c>
      <c r="AT395" s="62">
        <v>20.09999999999987</v>
      </c>
      <c r="AV395" s="64">
        <v>3.7293567666666658</v>
      </c>
      <c r="AW395" s="56">
        <v>13.79999999999999</v>
      </c>
      <c r="AX395" s="56">
        <v>15.28</v>
      </c>
      <c r="AY395" s="62">
        <v>20.05999999999997</v>
      </c>
      <c r="BA395" s="64">
        <v>3.1853503166666668</v>
      </c>
      <c r="BB395" s="56">
        <v>16.460000000000012</v>
      </c>
      <c r="BC395" s="56">
        <v>18.96000000000004</v>
      </c>
      <c r="BD395" s="62">
        <v>31.080000000000041</v>
      </c>
      <c r="BF395" s="64">
        <v>2.9433156500000011</v>
      </c>
      <c r="BG395" s="56">
        <v>20.36000000000007</v>
      </c>
      <c r="BH395" s="56">
        <v>27.520000000000081</v>
      </c>
      <c r="BI395" s="62">
        <v>57.020000000000067</v>
      </c>
      <c r="BJ395" s="70"/>
      <c r="BK395" s="51"/>
    </row>
    <row r="396" spans="1:63" x14ac:dyDescent="0.4">
      <c r="A396" s="11" t="s">
        <v>473</v>
      </c>
      <c r="B396" s="4"/>
      <c r="C396" s="4"/>
      <c r="D396" s="4"/>
      <c r="E396" s="12"/>
      <c r="G396" s="147" t="s">
        <v>473</v>
      </c>
      <c r="H396" s="159">
        <v>69.918000000000006</v>
      </c>
      <c r="I396" s="153">
        <v>70.28</v>
      </c>
      <c r="J396" s="153">
        <v>70.34</v>
      </c>
      <c r="K396" s="153">
        <v>70.33</v>
      </c>
      <c r="L396" s="153">
        <v>70.39</v>
      </c>
      <c r="M396" s="80">
        <f t="shared" si="12"/>
        <v>70.39</v>
      </c>
      <c r="N396" s="80">
        <f t="shared" si="13"/>
        <v>70.28</v>
      </c>
      <c r="O396" s="153">
        <v>21.16</v>
      </c>
      <c r="P396" s="153">
        <v>21.09</v>
      </c>
      <c r="Q396" s="153">
        <v>21.16</v>
      </c>
      <c r="R396" s="153">
        <v>21.08</v>
      </c>
      <c r="S396" s="4"/>
      <c r="U396" s="147" t="s">
        <v>473</v>
      </c>
      <c r="V396" s="11"/>
      <c r="W396" s="4"/>
      <c r="X396" s="12"/>
      <c r="Y396" s="14"/>
      <c r="Z396" s="4"/>
      <c r="AA396" s="13"/>
      <c r="AB396" s="11"/>
      <c r="AC396" s="4"/>
      <c r="AD396" s="12"/>
      <c r="AE396" s="136"/>
      <c r="AF396" s="14">
        <v>5.0331999999999999</v>
      </c>
      <c r="AG396" s="133"/>
      <c r="AI396" s="84"/>
      <c r="AL396" s="64">
        <v>4.1729491833333334</v>
      </c>
      <c r="AM396" s="56">
        <v>13.96000000000015</v>
      </c>
      <c r="AN396" s="56">
        <v>15.88000000000012</v>
      </c>
      <c r="AO396" s="62">
        <v>21.860000000000031</v>
      </c>
      <c r="AQ396" s="64">
        <v>4.0815491000000002</v>
      </c>
      <c r="AR396" s="56">
        <v>13.24000000000005</v>
      </c>
      <c r="AS396" s="56">
        <v>14.63999999999999</v>
      </c>
      <c r="AT396" s="62">
        <v>18.559999999999999</v>
      </c>
      <c r="AV396" s="64">
        <v>3.7283905000000002</v>
      </c>
      <c r="AW396" s="56">
        <v>12.92</v>
      </c>
      <c r="AX396" s="56">
        <v>14.33999999999997</v>
      </c>
      <c r="AY396" s="62">
        <v>18.940000000000001</v>
      </c>
      <c r="BA396" s="64">
        <v>3.182121833333333</v>
      </c>
      <c r="BB396" s="56">
        <v>15.74</v>
      </c>
      <c r="BC396" s="56">
        <v>18.160000000000039</v>
      </c>
      <c r="BD396" s="62">
        <v>30.039999999999981</v>
      </c>
      <c r="BF396" s="64">
        <v>2.9248423666666659</v>
      </c>
      <c r="BG396" s="56">
        <v>19.539999999999939</v>
      </c>
      <c r="BH396" s="56">
        <v>26.339999999999989</v>
      </c>
      <c r="BI396" s="62">
        <v>56.019999999999918</v>
      </c>
      <c r="BJ396" s="70"/>
      <c r="BK396" s="51"/>
    </row>
    <row r="397" spans="1:63" x14ac:dyDescent="0.4">
      <c r="A397" s="11" t="s">
        <v>474</v>
      </c>
      <c r="B397" s="4"/>
      <c r="C397" s="4"/>
      <c r="D397" s="4"/>
      <c r="E397" s="12"/>
      <c r="G397" s="147" t="s">
        <v>474</v>
      </c>
      <c r="H397" s="159">
        <v>69.951999999999998</v>
      </c>
      <c r="I397" s="153">
        <v>70.319999999999993</v>
      </c>
      <c r="J397" s="153">
        <v>70.290000000000006</v>
      </c>
      <c r="K397" s="153">
        <v>70.290000000000006</v>
      </c>
      <c r="L397" s="153">
        <v>70.37</v>
      </c>
      <c r="M397" s="80">
        <f t="shared" si="12"/>
        <v>70.37</v>
      </c>
      <c r="N397" s="80">
        <f t="shared" si="13"/>
        <v>70.290000000000006</v>
      </c>
      <c r="O397" s="153">
        <v>21.2</v>
      </c>
      <c r="P397" s="153">
        <v>21.14</v>
      </c>
      <c r="Q397" s="153">
        <v>21.1</v>
      </c>
      <c r="R397" s="153">
        <v>21.02</v>
      </c>
      <c r="S397" s="4"/>
      <c r="U397" s="147" t="s">
        <v>474</v>
      </c>
      <c r="V397" s="11"/>
      <c r="W397" s="4"/>
      <c r="X397" s="12"/>
      <c r="Y397" s="14"/>
      <c r="Z397" s="4"/>
      <c r="AA397" s="13"/>
      <c r="AB397" s="11"/>
      <c r="AC397" s="4"/>
      <c r="AD397" s="12"/>
      <c r="AE397" s="136"/>
      <c r="AF397" s="14">
        <v>5.0256999999999996</v>
      </c>
      <c r="AG397" s="133"/>
      <c r="AI397" s="84"/>
      <c r="AL397" s="64">
        <v>4.1730697166666664</v>
      </c>
      <c r="AM397" s="56">
        <v>14.119999999999949</v>
      </c>
      <c r="AN397" s="56">
        <v>16.040000000000099</v>
      </c>
      <c r="AO397" s="62">
        <v>22.19999999999995</v>
      </c>
      <c r="AQ397" s="64">
        <v>4.0823046000000014</v>
      </c>
      <c r="AR397" s="56">
        <v>13.79999999999999</v>
      </c>
      <c r="AS397" s="56">
        <v>15.199999999999919</v>
      </c>
      <c r="AT397" s="62">
        <v>19.200000000000021</v>
      </c>
      <c r="AV397" s="64">
        <v>3.727934949999999</v>
      </c>
      <c r="AW397" s="56">
        <v>13.640000000000009</v>
      </c>
      <c r="AX397" s="56">
        <v>15.08000000000003</v>
      </c>
      <c r="AY397" s="62">
        <v>19.820000000000078</v>
      </c>
      <c r="BA397" s="64">
        <v>3.186613766666667</v>
      </c>
      <c r="BB397" s="56">
        <v>16.860000000000049</v>
      </c>
      <c r="BC397" s="56">
        <v>19.36</v>
      </c>
      <c r="BD397" s="62">
        <v>31.46000000000004</v>
      </c>
      <c r="BF397" s="64">
        <v>2.9409854833333329</v>
      </c>
      <c r="BG397" s="56">
        <v>20.620000000000079</v>
      </c>
      <c r="BH397" s="56">
        <v>27.480000000000079</v>
      </c>
      <c r="BI397" s="62">
        <v>56.22000000000007</v>
      </c>
      <c r="BJ397" s="70"/>
      <c r="BK397" s="51"/>
    </row>
    <row r="398" spans="1:63" x14ac:dyDescent="0.4">
      <c r="A398" s="11" t="s">
        <v>475</v>
      </c>
      <c r="B398" s="4"/>
      <c r="C398" s="4"/>
      <c r="D398" s="4"/>
      <c r="E398" s="12"/>
      <c r="G398" s="147" t="s">
        <v>475</v>
      </c>
      <c r="H398" s="159">
        <v>70.149000000000001</v>
      </c>
      <c r="I398" s="153">
        <v>70.349999999999994</v>
      </c>
      <c r="J398" s="153">
        <v>70.28</v>
      </c>
      <c r="K398" s="153">
        <v>70.28</v>
      </c>
      <c r="L398" s="153">
        <v>70.36</v>
      </c>
      <c r="M398" s="80">
        <f t="shared" si="12"/>
        <v>70.36</v>
      </c>
      <c r="N398" s="80">
        <f t="shared" si="13"/>
        <v>70.28</v>
      </c>
      <c r="O398" s="153">
        <v>21.14</v>
      </c>
      <c r="P398" s="153">
        <v>21.07</v>
      </c>
      <c r="Q398" s="153">
        <v>21.1</v>
      </c>
      <c r="R398" s="153">
        <v>21.05</v>
      </c>
      <c r="S398" s="4"/>
      <c r="U398" s="147" t="s">
        <v>475</v>
      </c>
      <c r="V398" s="11"/>
      <c r="W398" s="4"/>
      <c r="X398" s="12"/>
      <c r="Y398" s="14"/>
      <c r="Z398" s="4"/>
      <c r="AA398" s="13"/>
      <c r="AB398" s="11"/>
      <c r="AC398" s="4"/>
      <c r="AD398" s="12"/>
      <c r="AE398" s="136"/>
      <c r="AF398" s="14">
        <v>5.0304000000000002</v>
      </c>
      <c r="AG398" s="133"/>
      <c r="AI398" s="84"/>
      <c r="AL398" s="64">
        <v>4.1731550833333344</v>
      </c>
      <c r="AM398" s="56">
        <v>13.73999999999995</v>
      </c>
      <c r="AN398" s="56">
        <v>15.67999999999987</v>
      </c>
      <c r="AO398" s="62">
        <v>21.699999999999871</v>
      </c>
      <c r="AQ398" s="64">
        <v>4.0823008833333354</v>
      </c>
      <c r="AR398" s="56">
        <v>13.35999999999995</v>
      </c>
      <c r="AS398" s="56">
        <v>14.780000000000021</v>
      </c>
      <c r="AT398" s="62">
        <v>18.77999999999993</v>
      </c>
      <c r="AV398" s="64">
        <v>3.73034555</v>
      </c>
      <c r="AW398" s="56">
        <v>13.079999999999981</v>
      </c>
      <c r="AX398" s="56">
        <v>14.499999999999959</v>
      </c>
      <c r="AY398" s="62">
        <v>19.179999999999971</v>
      </c>
      <c r="BA398" s="64">
        <v>3.1899352166666661</v>
      </c>
      <c r="BB398" s="56">
        <v>15.96000000000002</v>
      </c>
      <c r="BC398" s="56">
        <v>18.379999999999971</v>
      </c>
      <c r="BD398" s="62">
        <v>30.239999999999959</v>
      </c>
      <c r="BF398" s="64">
        <v>2.9433327500000002</v>
      </c>
      <c r="BG398" s="56">
        <v>19.799999999999951</v>
      </c>
      <c r="BH398" s="56">
        <v>26.900000000000009</v>
      </c>
      <c r="BI398" s="62">
        <v>56.139999999999993</v>
      </c>
      <c r="BJ398" s="70"/>
      <c r="BK398" s="51"/>
    </row>
    <row r="399" spans="1:63" x14ac:dyDescent="0.4">
      <c r="A399" s="11" t="s">
        <v>476</v>
      </c>
      <c r="B399" s="4"/>
      <c r="C399" s="4"/>
      <c r="D399" s="4"/>
      <c r="E399" s="12"/>
      <c r="G399" s="147" t="s">
        <v>476</v>
      </c>
      <c r="H399" s="159">
        <v>69.959000000000003</v>
      </c>
      <c r="I399" s="153">
        <v>70.28</v>
      </c>
      <c r="J399" s="153">
        <v>70.38</v>
      </c>
      <c r="K399" s="153">
        <v>70.36</v>
      </c>
      <c r="L399" s="153">
        <v>70.28</v>
      </c>
      <c r="M399" s="80">
        <f t="shared" si="12"/>
        <v>70.38</v>
      </c>
      <c r="N399" s="80">
        <f t="shared" si="13"/>
        <v>70.28</v>
      </c>
      <c r="O399" s="153">
        <v>21.18</v>
      </c>
      <c r="P399" s="153">
        <v>21.14</v>
      </c>
      <c r="Q399" s="153">
        <v>21.14</v>
      </c>
      <c r="R399" s="153">
        <v>21.11</v>
      </c>
      <c r="S399" s="4"/>
      <c r="U399" s="147" t="s">
        <v>476</v>
      </c>
      <c r="V399" s="11"/>
      <c r="W399" s="4"/>
      <c r="X399" s="12"/>
      <c r="Y399" s="14"/>
      <c r="Z399" s="4"/>
      <c r="AA399" s="13"/>
      <c r="AB399" s="11"/>
      <c r="AC399" s="4"/>
      <c r="AD399" s="12"/>
      <c r="AE399" s="136"/>
      <c r="AF399" s="14">
        <v>5.0324</v>
      </c>
      <c r="AG399" s="133"/>
      <c r="AI399" s="84"/>
      <c r="AL399" s="64">
        <v>4.172736716666666</v>
      </c>
      <c r="AM399" s="56">
        <v>13.3799999999999</v>
      </c>
      <c r="AN399" s="56">
        <v>15.259999999999961</v>
      </c>
      <c r="AO399" s="62">
        <v>21.34</v>
      </c>
      <c r="AQ399" s="64">
        <v>4.0836224666666654</v>
      </c>
      <c r="AR399" s="56">
        <v>13.360000000000131</v>
      </c>
      <c r="AS399" s="56">
        <v>14.74000000000011</v>
      </c>
      <c r="AT399" s="62">
        <v>18.660000000000029</v>
      </c>
      <c r="AV399" s="64">
        <v>3.729296933333333</v>
      </c>
      <c r="AW399" s="56">
        <v>13.060000000000031</v>
      </c>
      <c r="AX399" s="56">
        <v>14.460000000000051</v>
      </c>
      <c r="AY399" s="62">
        <v>19.08000000000003</v>
      </c>
      <c r="BA399" s="64">
        <v>3.1876340166666668</v>
      </c>
      <c r="BB399" s="56">
        <v>15.71999999999996</v>
      </c>
      <c r="BC399" s="56">
        <v>18.15999999999995</v>
      </c>
      <c r="BD399" s="62">
        <v>30.039999999999981</v>
      </c>
      <c r="BF399" s="64">
        <v>2.9430710499999999</v>
      </c>
      <c r="BG399" s="56">
        <v>19.460000000000029</v>
      </c>
      <c r="BH399" s="56">
        <v>26.16000000000005</v>
      </c>
      <c r="BI399" s="62">
        <v>54.760000000000012</v>
      </c>
      <c r="BJ399" s="70"/>
      <c r="BK399" s="51"/>
    </row>
    <row r="400" spans="1:63" x14ac:dyDescent="0.4">
      <c r="A400" s="11" t="s">
        <v>477</v>
      </c>
      <c r="B400" s="4"/>
      <c r="C400" s="4"/>
      <c r="D400" s="4"/>
      <c r="E400" s="12"/>
      <c r="G400" s="147" t="s">
        <v>477</v>
      </c>
      <c r="H400" s="159">
        <v>69.921999999999997</v>
      </c>
      <c r="I400" s="153">
        <v>70.28</v>
      </c>
      <c r="J400" s="153">
        <v>70.400000000000006</v>
      </c>
      <c r="K400" s="153">
        <v>70.319999999999993</v>
      </c>
      <c r="L400" s="153">
        <v>70.319999999999993</v>
      </c>
      <c r="M400" s="80">
        <f t="shared" si="12"/>
        <v>70.400000000000006</v>
      </c>
      <c r="N400" s="80">
        <f t="shared" si="13"/>
        <v>70.28</v>
      </c>
      <c r="O400" s="153">
        <v>21.2</v>
      </c>
      <c r="P400" s="153">
        <v>21.02</v>
      </c>
      <c r="Q400" s="153">
        <v>21.14</v>
      </c>
      <c r="R400" s="153">
        <v>21.13</v>
      </c>
      <c r="S400" s="4"/>
      <c r="U400" s="147" t="s">
        <v>477</v>
      </c>
      <c r="V400" s="11"/>
      <c r="W400" s="4"/>
      <c r="X400" s="12"/>
      <c r="Y400" s="14"/>
      <c r="Z400" s="4"/>
      <c r="AA400" s="13"/>
      <c r="AB400" s="11"/>
      <c r="AC400" s="4"/>
      <c r="AD400" s="12"/>
      <c r="AE400" s="136"/>
      <c r="AF400" s="14">
        <v>5.0431999999999997</v>
      </c>
      <c r="AG400" s="133"/>
      <c r="AI400" s="84"/>
      <c r="AL400" s="64">
        <v>4.1729392666666669</v>
      </c>
      <c r="AM400" s="56">
        <v>14.1</v>
      </c>
      <c r="AN400" s="56">
        <v>16.000000000000011</v>
      </c>
      <c r="AO400" s="62">
        <v>22.100000000000009</v>
      </c>
      <c r="AQ400" s="64">
        <v>4.0809980666666679</v>
      </c>
      <c r="AR400" s="56">
        <v>13.620000000000051</v>
      </c>
      <c r="AS400" s="56">
        <v>15.019999999999991</v>
      </c>
      <c r="AT400" s="62">
        <v>19.000000000000039</v>
      </c>
      <c r="AV400" s="64">
        <v>3.7265538666666669</v>
      </c>
      <c r="AW400" s="56">
        <v>13.239999999999959</v>
      </c>
      <c r="AX400" s="56">
        <v>14.63999999999999</v>
      </c>
      <c r="AY400" s="62">
        <v>19.32</v>
      </c>
      <c r="BA400" s="64">
        <v>3.1853921166666672</v>
      </c>
      <c r="BB400" s="56">
        <v>16.060000000000048</v>
      </c>
      <c r="BC400" s="56">
        <v>18.50000000000005</v>
      </c>
      <c r="BD400" s="62">
        <v>30.420000000000069</v>
      </c>
      <c r="BF400" s="64">
        <v>2.941138266666667</v>
      </c>
      <c r="BG400" s="56">
        <v>19.78</v>
      </c>
      <c r="BH400" s="56">
        <v>26.499999999999972</v>
      </c>
      <c r="BI400" s="62">
        <v>54.980000000000032</v>
      </c>
      <c r="BJ400" s="70"/>
      <c r="BK400" s="51"/>
    </row>
    <row r="401" spans="1:63" x14ac:dyDescent="0.4">
      <c r="A401" s="11" t="s">
        <v>478</v>
      </c>
      <c r="B401" s="4"/>
      <c r="C401" s="4"/>
      <c r="D401" s="4"/>
      <c r="E401" s="12"/>
      <c r="G401" s="147" t="s">
        <v>478</v>
      </c>
      <c r="H401" s="159">
        <v>70.028999999999996</v>
      </c>
      <c r="I401" s="153">
        <v>70.38</v>
      </c>
      <c r="J401" s="153">
        <v>70.39</v>
      </c>
      <c r="K401" s="153">
        <v>70.400000000000006</v>
      </c>
      <c r="L401" s="153">
        <v>70.37</v>
      </c>
      <c r="M401" s="80">
        <f t="shared" si="12"/>
        <v>70.400000000000006</v>
      </c>
      <c r="N401" s="80">
        <f t="shared" si="13"/>
        <v>70.37</v>
      </c>
      <c r="O401" s="153">
        <v>21.2</v>
      </c>
      <c r="P401" s="153">
        <v>21.1</v>
      </c>
      <c r="Q401" s="153">
        <v>21.09</v>
      </c>
      <c r="R401" s="153">
        <v>21.05</v>
      </c>
      <c r="S401" s="4"/>
      <c r="U401" s="147" t="s">
        <v>478</v>
      </c>
      <c r="V401" s="11"/>
      <c r="W401" s="4"/>
      <c r="X401" s="12"/>
      <c r="Y401" s="14"/>
      <c r="Z401" s="4"/>
      <c r="AA401" s="13"/>
      <c r="AB401" s="11"/>
      <c r="AC401" s="4"/>
      <c r="AD401" s="12"/>
      <c r="AE401" s="13"/>
      <c r="AF401" s="14">
        <v>5.0198</v>
      </c>
      <c r="AG401" s="133"/>
      <c r="AI401" s="84"/>
      <c r="AL401" s="64">
        <v>4.1725040333333334</v>
      </c>
      <c r="AM401" s="56">
        <v>14.32000000000002</v>
      </c>
      <c r="AN401" s="56">
        <v>16.220000000000031</v>
      </c>
      <c r="AO401" s="62">
        <v>22.280000000000118</v>
      </c>
      <c r="AQ401" s="64">
        <v>4.0808949999999991</v>
      </c>
      <c r="AR401" s="56">
        <v>13.620000000000051</v>
      </c>
      <c r="AS401" s="56">
        <v>15.000000000000041</v>
      </c>
      <c r="AT401" s="62">
        <v>18.94000000000009</v>
      </c>
      <c r="AV401" s="64">
        <v>3.7279786166666669</v>
      </c>
      <c r="AW401" s="56">
        <v>13.3</v>
      </c>
      <c r="AX401" s="56">
        <v>14.700000000000021</v>
      </c>
      <c r="AY401" s="62">
        <v>19.380000000000042</v>
      </c>
      <c r="BA401" s="64">
        <v>3.1886625999999998</v>
      </c>
      <c r="BB401" s="56">
        <v>16.17999999999995</v>
      </c>
      <c r="BC401" s="56">
        <v>18.619999999999951</v>
      </c>
      <c r="BD401" s="62">
        <v>30.379999999999981</v>
      </c>
      <c r="BF401" s="64">
        <v>2.9331805499999999</v>
      </c>
      <c r="BG401" s="56">
        <v>20.16</v>
      </c>
      <c r="BH401" s="56">
        <v>27.180000000000071</v>
      </c>
      <c r="BI401" s="62">
        <v>56.460000000000043</v>
      </c>
      <c r="BJ401" s="70"/>
      <c r="BK401" s="51"/>
    </row>
    <row r="402" spans="1:63" x14ac:dyDescent="0.4">
      <c r="A402" s="11" t="s">
        <v>479</v>
      </c>
      <c r="B402" s="4"/>
      <c r="C402" s="4"/>
      <c r="D402" s="4"/>
      <c r="E402" s="12"/>
      <c r="G402" s="147" t="s">
        <v>479</v>
      </c>
      <c r="H402" s="159">
        <v>69.948999999999998</v>
      </c>
      <c r="I402" s="153">
        <v>70.319999999999993</v>
      </c>
      <c r="J402" s="153">
        <v>70.28</v>
      </c>
      <c r="K402" s="153">
        <v>70.37</v>
      </c>
      <c r="L402" s="153">
        <v>70.34</v>
      </c>
      <c r="M402" s="80">
        <f t="shared" si="12"/>
        <v>70.37</v>
      </c>
      <c r="N402" s="80">
        <f t="shared" si="13"/>
        <v>70.28</v>
      </c>
      <c r="O402" s="153">
        <v>21.19</v>
      </c>
      <c r="P402" s="153">
        <v>21.08</v>
      </c>
      <c r="Q402" s="153">
        <v>21.1</v>
      </c>
      <c r="R402" s="153">
        <v>21.09</v>
      </c>
      <c r="S402" s="4"/>
      <c r="U402" s="147" t="s">
        <v>479</v>
      </c>
      <c r="V402" s="11"/>
      <c r="W402" s="4"/>
      <c r="X402" s="12"/>
      <c r="Y402" s="14"/>
      <c r="Z402" s="4"/>
      <c r="AA402" s="13"/>
      <c r="AB402" s="11"/>
      <c r="AC402" s="4"/>
      <c r="AD402" s="12"/>
      <c r="AE402" s="13"/>
      <c r="AF402" s="14">
        <v>5.0330000000000004</v>
      </c>
      <c r="AG402" s="133"/>
      <c r="AI402" s="84"/>
      <c r="AL402" s="64">
        <v>4.1728372999999994</v>
      </c>
      <c r="AM402" s="56">
        <v>14.979999999999899</v>
      </c>
      <c r="AN402" s="56">
        <v>17.01999999999995</v>
      </c>
      <c r="AO402" s="62">
        <v>23.199999999999928</v>
      </c>
      <c r="AQ402" s="64">
        <v>4.0811494833333333</v>
      </c>
      <c r="AR402" s="56">
        <v>14.43999999999992</v>
      </c>
      <c r="AS402" s="56">
        <v>15.920000000000019</v>
      </c>
      <c r="AT402" s="62">
        <v>19.979999999999979</v>
      </c>
      <c r="AV402" s="64">
        <v>3.7275722</v>
      </c>
      <c r="AW402" s="56">
        <v>14.059999999999921</v>
      </c>
      <c r="AX402" s="56">
        <v>15.55999999999997</v>
      </c>
      <c r="AY402" s="62">
        <v>20.339999999999939</v>
      </c>
      <c r="BA402" s="64">
        <v>3.1819259166666671</v>
      </c>
      <c r="BB402" s="56">
        <v>16.579999999999991</v>
      </c>
      <c r="BC402" s="56">
        <v>19.079999999999941</v>
      </c>
      <c r="BD402" s="62">
        <v>31.179999999999989</v>
      </c>
      <c r="BF402" s="64">
        <v>2.9298383333333331</v>
      </c>
      <c r="BG402" s="56">
        <v>20.48000000000005</v>
      </c>
      <c r="BH402" s="56">
        <v>27.300000000000061</v>
      </c>
      <c r="BI402" s="62">
        <v>56.580000000000027</v>
      </c>
      <c r="BJ402" s="70"/>
      <c r="BK402" s="51"/>
    </row>
    <row r="403" spans="1:63" x14ac:dyDescent="0.4">
      <c r="A403" s="11" t="s">
        <v>480</v>
      </c>
      <c r="B403" s="4"/>
      <c r="C403" s="4"/>
      <c r="D403" s="4"/>
      <c r="E403" s="12"/>
      <c r="G403" s="147" t="s">
        <v>480</v>
      </c>
      <c r="H403" s="159">
        <v>69.989999999999995</v>
      </c>
      <c r="I403" s="153">
        <v>70.33</v>
      </c>
      <c r="J403" s="153">
        <v>70.39</v>
      </c>
      <c r="K403" s="153">
        <v>70.28</v>
      </c>
      <c r="L403" s="153">
        <v>70.33</v>
      </c>
      <c r="M403" s="80">
        <f t="shared" si="12"/>
        <v>70.39</v>
      </c>
      <c r="N403" s="80">
        <f t="shared" si="13"/>
        <v>70.28</v>
      </c>
      <c r="O403" s="153">
        <v>21.17</v>
      </c>
      <c r="P403" s="153">
        <v>21.08</v>
      </c>
      <c r="Q403" s="153">
        <v>21.12</v>
      </c>
      <c r="R403" s="153">
        <v>21.1</v>
      </c>
      <c r="S403" s="4"/>
      <c r="U403" s="147" t="s">
        <v>480</v>
      </c>
      <c r="V403" s="11"/>
      <c r="W403" s="4"/>
      <c r="X403" s="12"/>
      <c r="Y403" s="14"/>
      <c r="Z403" s="4"/>
      <c r="AA403" s="13"/>
      <c r="AB403" s="11"/>
      <c r="AC403" s="4"/>
      <c r="AD403" s="12"/>
      <c r="AE403" s="13"/>
      <c r="AF403" s="14">
        <v>5.0343999999999998</v>
      </c>
      <c r="AG403" s="133"/>
      <c r="AI403" s="84"/>
      <c r="AL403" s="64">
        <v>4.1724553499999999</v>
      </c>
      <c r="AM403" s="56">
        <v>13.759999999999909</v>
      </c>
      <c r="AN403" s="56">
        <v>15.63999999999997</v>
      </c>
      <c r="AO403" s="62">
        <v>21.640000000000011</v>
      </c>
      <c r="AQ403" s="64">
        <v>4.0816230500000001</v>
      </c>
      <c r="AR403" s="56">
        <v>13.239999999999871</v>
      </c>
      <c r="AS403" s="56">
        <v>14.5999999999999</v>
      </c>
      <c r="AT403" s="62">
        <v>18.479999999999919</v>
      </c>
      <c r="AV403" s="64">
        <v>3.728244650000001</v>
      </c>
      <c r="AW403" s="56">
        <v>12.85999999999996</v>
      </c>
      <c r="AX403" s="56">
        <v>14.24000000000003</v>
      </c>
      <c r="AY403" s="62">
        <v>18.820000000000011</v>
      </c>
      <c r="BA403" s="64">
        <v>3.185468183333334</v>
      </c>
      <c r="BB403" s="56">
        <v>15.64000000000005</v>
      </c>
      <c r="BC403" s="56">
        <v>18.04000000000006</v>
      </c>
      <c r="BD403" s="62">
        <v>29.8</v>
      </c>
      <c r="BF403" s="64">
        <v>2.93185355</v>
      </c>
      <c r="BG403" s="56">
        <v>19.45999999999994</v>
      </c>
      <c r="BH403" s="56">
        <v>26.480000000000011</v>
      </c>
      <c r="BI403" s="62">
        <v>55.940000000000012</v>
      </c>
      <c r="BJ403" s="70"/>
      <c r="BK403" s="51"/>
    </row>
    <row r="404" spans="1:63" x14ac:dyDescent="0.4">
      <c r="A404" s="11" t="s">
        <v>481</v>
      </c>
      <c r="B404" s="4"/>
      <c r="C404" s="4"/>
      <c r="D404" s="4"/>
      <c r="E404" s="12"/>
      <c r="G404" s="147" t="s">
        <v>481</v>
      </c>
      <c r="H404" s="159">
        <v>69.992999999999995</v>
      </c>
      <c r="I404" s="153">
        <v>70.27</v>
      </c>
      <c r="J404" s="153">
        <v>70.33</v>
      </c>
      <c r="K404" s="153">
        <v>70.28</v>
      </c>
      <c r="L404" s="153">
        <v>70.290000000000006</v>
      </c>
      <c r="M404" s="80">
        <f t="shared" si="12"/>
        <v>70.33</v>
      </c>
      <c r="N404" s="80">
        <f t="shared" si="13"/>
        <v>70.27</v>
      </c>
      <c r="O404" s="153">
        <v>21.2</v>
      </c>
      <c r="P404" s="153">
        <v>21.14</v>
      </c>
      <c r="Q404" s="153">
        <v>21.11</v>
      </c>
      <c r="R404" s="153">
        <v>21.05</v>
      </c>
      <c r="S404" s="4"/>
      <c r="U404" s="147" t="s">
        <v>481</v>
      </c>
      <c r="V404" s="11"/>
      <c r="W404" s="4"/>
      <c r="X404" s="12"/>
      <c r="Y404" s="14"/>
      <c r="Z404" s="4"/>
      <c r="AA404" s="13"/>
      <c r="AB404" s="11"/>
      <c r="AC404" s="4"/>
      <c r="AD404" s="12"/>
      <c r="AE404" s="13"/>
      <c r="AF404" s="14">
        <v>5.0331000000000001</v>
      </c>
      <c r="AG404" s="133"/>
      <c r="AI404" s="84"/>
      <c r="AL404" s="64">
        <v>4.1721975499999999</v>
      </c>
      <c r="AM404" s="56">
        <v>13.600000000000099</v>
      </c>
      <c r="AN404" s="56">
        <v>15.520000000000071</v>
      </c>
      <c r="AO404" s="62">
        <v>21.54000000000007</v>
      </c>
      <c r="AQ404" s="64">
        <v>4.0823383500000006</v>
      </c>
      <c r="AR404" s="56">
        <v>13.3799999999999</v>
      </c>
      <c r="AS404" s="56">
        <v>14.780000000000021</v>
      </c>
      <c r="AT404" s="62">
        <v>18.799999999999969</v>
      </c>
      <c r="AV404" s="64">
        <v>3.7301420666666671</v>
      </c>
      <c r="AW404" s="56">
        <v>13.079999999999981</v>
      </c>
      <c r="AX404" s="56">
        <v>14.499999999999959</v>
      </c>
      <c r="AY404" s="62">
        <v>19.200000000000021</v>
      </c>
      <c r="BA404" s="64">
        <v>3.1890580833333328</v>
      </c>
      <c r="BB404" s="56">
        <v>15.99999999999992</v>
      </c>
      <c r="BC404" s="56">
        <v>18.459999999999969</v>
      </c>
      <c r="BD404" s="62">
        <v>30.29999999999999</v>
      </c>
      <c r="BF404" s="64">
        <v>2.9359415666666671</v>
      </c>
      <c r="BG404" s="56">
        <v>19.93999999999998</v>
      </c>
      <c r="BH404" s="56">
        <v>26.98</v>
      </c>
      <c r="BI404" s="62">
        <v>56.700000000000017</v>
      </c>
      <c r="BJ404" s="70"/>
      <c r="BK404" s="51"/>
    </row>
    <row r="405" spans="1:63" x14ac:dyDescent="0.4">
      <c r="A405" s="11" t="s">
        <v>482</v>
      </c>
      <c r="B405" s="4"/>
      <c r="C405" s="4"/>
      <c r="D405" s="4"/>
      <c r="E405" s="12"/>
      <c r="G405" s="147" t="s">
        <v>482</v>
      </c>
      <c r="H405" s="159">
        <v>69.944000000000003</v>
      </c>
      <c r="I405" s="153">
        <v>70.290000000000006</v>
      </c>
      <c r="J405" s="153">
        <v>70.349999999999994</v>
      </c>
      <c r="K405" s="153">
        <v>70.37</v>
      </c>
      <c r="L405" s="153">
        <v>70.349999999999994</v>
      </c>
      <c r="M405" s="80">
        <f t="shared" si="12"/>
        <v>70.37</v>
      </c>
      <c r="N405" s="80">
        <f t="shared" si="13"/>
        <v>70.290000000000006</v>
      </c>
      <c r="O405" s="153">
        <v>21.11</v>
      </c>
      <c r="P405" s="153">
        <v>21.06</v>
      </c>
      <c r="Q405" s="153">
        <v>21.13</v>
      </c>
      <c r="R405" s="153">
        <v>21.03</v>
      </c>
      <c r="S405" s="4"/>
      <c r="U405" s="147" t="s">
        <v>482</v>
      </c>
      <c r="V405" s="11"/>
      <c r="W405" s="4"/>
      <c r="X405" s="12"/>
      <c r="Y405" s="14"/>
      <c r="Z405" s="4"/>
      <c r="AA405" s="13"/>
      <c r="AB405" s="11"/>
      <c r="AC405" s="4"/>
      <c r="AD405" s="12"/>
      <c r="AE405" s="13"/>
      <c r="AF405" s="14">
        <v>5.0336999999999996</v>
      </c>
      <c r="AG405" s="133"/>
      <c r="AI405" s="84"/>
      <c r="AL405" s="64">
        <v>4.1729146999999998</v>
      </c>
      <c r="AM405" s="56">
        <v>13.820000000000119</v>
      </c>
      <c r="AN405" s="56">
        <v>15.72000000000013</v>
      </c>
      <c r="AO405" s="62">
        <v>21.840000000000082</v>
      </c>
      <c r="AQ405" s="64">
        <v>4.0820831666666662</v>
      </c>
      <c r="AR405" s="56">
        <v>13.49999999999998</v>
      </c>
      <c r="AS405" s="56">
        <v>14.87999999999996</v>
      </c>
      <c r="AT405" s="62">
        <v>18.819999999999929</v>
      </c>
      <c r="AV405" s="64">
        <v>3.7279134333333319</v>
      </c>
      <c r="AW405" s="56">
        <v>13.160000000000061</v>
      </c>
      <c r="AX405" s="56">
        <v>14.56000000000008</v>
      </c>
      <c r="AY405" s="62">
        <v>19.220000000000059</v>
      </c>
      <c r="BA405" s="64">
        <v>3.1860646500000001</v>
      </c>
      <c r="BB405" s="56">
        <v>15.859999999999991</v>
      </c>
      <c r="BC405" s="56">
        <v>18.279999999999941</v>
      </c>
      <c r="BD405" s="62">
        <v>30.18000000000001</v>
      </c>
      <c r="BF405" s="64">
        <v>2.9352856333333328</v>
      </c>
      <c r="BG405" s="56">
        <v>19.620000000000019</v>
      </c>
      <c r="BH405" s="56">
        <v>26.38000000000007</v>
      </c>
      <c r="BI405" s="62">
        <v>55.500000000000057</v>
      </c>
      <c r="BJ405" s="93"/>
      <c r="BK405" s="94"/>
    </row>
    <row r="406" spans="1:63" x14ac:dyDescent="0.4">
      <c r="A406" s="11" t="s">
        <v>483</v>
      </c>
      <c r="B406" s="4"/>
      <c r="C406" s="4"/>
      <c r="D406" s="4"/>
      <c r="E406" s="12"/>
      <c r="G406" s="147" t="s">
        <v>483</v>
      </c>
      <c r="H406" s="159">
        <v>69.891999999999996</v>
      </c>
      <c r="I406" s="153">
        <v>70.400000000000006</v>
      </c>
      <c r="J406" s="153">
        <v>70.319999999999993</v>
      </c>
      <c r="K406" s="153">
        <v>70.31</v>
      </c>
      <c r="L406" s="153">
        <v>70.38</v>
      </c>
      <c r="M406" s="80">
        <f t="shared" si="12"/>
        <v>70.400000000000006</v>
      </c>
      <c r="N406" s="80">
        <f t="shared" si="13"/>
        <v>70.31</v>
      </c>
      <c r="O406" s="153">
        <v>21.18</v>
      </c>
      <c r="P406" s="153">
        <v>21.07</v>
      </c>
      <c r="Q406" s="153">
        <v>21.11</v>
      </c>
      <c r="R406" s="153">
        <v>21.09</v>
      </c>
      <c r="S406" s="4"/>
      <c r="U406" s="147" t="s">
        <v>483</v>
      </c>
      <c r="V406" s="11"/>
      <c r="W406" s="4"/>
      <c r="X406" s="12"/>
      <c r="Y406" s="14"/>
      <c r="Z406" s="4"/>
      <c r="AA406" s="13"/>
      <c r="AB406" s="11"/>
      <c r="AC406" s="4"/>
      <c r="AD406" s="12"/>
      <c r="AE406" s="13"/>
      <c r="AF406" s="14">
        <v>5.0278999999999998</v>
      </c>
      <c r="AG406" s="133"/>
      <c r="AI406" s="84"/>
      <c r="AL406" s="64">
        <v>4.1731229333333344</v>
      </c>
      <c r="AM406" s="56">
        <v>14.02000000000001</v>
      </c>
      <c r="AN406" s="56">
        <v>15.89999999999989</v>
      </c>
      <c r="AO406" s="62">
        <v>22.020000000000021</v>
      </c>
      <c r="AQ406" s="64">
        <v>4.0811323333333336</v>
      </c>
      <c r="AR406" s="56">
        <v>13.480000000000031</v>
      </c>
      <c r="AS406" s="56">
        <v>14.86000000000001</v>
      </c>
      <c r="AT406" s="62">
        <v>18.780000000000019</v>
      </c>
      <c r="AV406" s="64">
        <v>3.72696995</v>
      </c>
      <c r="AW406" s="56">
        <v>13.05999999999994</v>
      </c>
      <c r="AX406" s="56">
        <v>14.45999999999996</v>
      </c>
      <c r="AY406" s="62">
        <v>19.079999999999941</v>
      </c>
      <c r="BA406" s="64">
        <v>3.185429266666667</v>
      </c>
      <c r="BB406" s="56">
        <v>15.72000000000005</v>
      </c>
      <c r="BC406" s="56">
        <v>18.14</v>
      </c>
      <c r="BD406" s="62">
        <v>29.960000000000079</v>
      </c>
      <c r="BF406" s="64">
        <v>2.9363899</v>
      </c>
      <c r="BG406" s="56">
        <v>19.45999999999994</v>
      </c>
      <c r="BH406" s="56">
        <v>26.19999999999996</v>
      </c>
      <c r="BI406" s="62">
        <v>55.059999999999931</v>
      </c>
      <c r="BJ406" s="70"/>
      <c r="BK406" s="51"/>
    </row>
    <row r="407" spans="1:63" x14ac:dyDescent="0.4">
      <c r="A407" s="11" t="s">
        <v>484</v>
      </c>
      <c r="B407" s="4"/>
      <c r="C407" s="4"/>
      <c r="D407" s="4"/>
      <c r="E407" s="12"/>
      <c r="G407" s="147" t="s">
        <v>484</v>
      </c>
      <c r="H407" s="159">
        <v>69.944999999999993</v>
      </c>
      <c r="I407" s="153">
        <v>70.3</v>
      </c>
      <c r="J407" s="153">
        <v>70.400000000000006</v>
      </c>
      <c r="K407" s="153">
        <v>70.27</v>
      </c>
      <c r="L407" s="153">
        <v>70.400000000000006</v>
      </c>
      <c r="M407" s="80">
        <f t="shared" si="12"/>
        <v>70.400000000000006</v>
      </c>
      <c r="N407" s="80">
        <f t="shared" si="13"/>
        <v>70.27</v>
      </c>
      <c r="O407" s="153">
        <v>21.18</v>
      </c>
      <c r="P407" s="153">
        <v>21.1</v>
      </c>
      <c r="Q407" s="153">
        <v>21.16</v>
      </c>
      <c r="R407" s="153">
        <v>21.09</v>
      </c>
      <c r="S407" s="4"/>
      <c r="U407" s="147" t="s">
        <v>484</v>
      </c>
      <c r="V407" s="11"/>
      <c r="W407" s="4"/>
      <c r="X407" s="12"/>
      <c r="Y407" s="14"/>
      <c r="Z407" s="4"/>
      <c r="AA407" s="13"/>
      <c r="AB407" s="11"/>
      <c r="AC407" s="4"/>
      <c r="AD407" s="12"/>
      <c r="AE407" s="13"/>
      <c r="AF407" s="14">
        <v>5.0355999999999996</v>
      </c>
      <c r="AG407" s="133"/>
      <c r="AI407" s="84"/>
      <c r="AL407" s="64">
        <v>4.1734484500000004</v>
      </c>
      <c r="AM407" s="56">
        <v>13.920000000000069</v>
      </c>
      <c r="AN407" s="56">
        <v>15.84000000000003</v>
      </c>
      <c r="AO407" s="62">
        <v>21.94000000000003</v>
      </c>
      <c r="AQ407" s="64">
        <v>4.0814051166666676</v>
      </c>
      <c r="AR407" s="56">
        <v>13.35999999999995</v>
      </c>
      <c r="AS407" s="56">
        <v>14.74000000000011</v>
      </c>
      <c r="AT407" s="62">
        <v>18.660000000000029</v>
      </c>
      <c r="AV407" s="64">
        <v>3.7268427499999999</v>
      </c>
      <c r="AW407" s="56">
        <v>13.03999999999998</v>
      </c>
      <c r="AX407" s="56">
        <v>14.42000000000005</v>
      </c>
      <c r="AY407" s="62">
        <v>19.059999999999992</v>
      </c>
      <c r="BA407" s="64">
        <v>3.1845053166666668</v>
      </c>
      <c r="BB407" s="56">
        <v>15.80000000000004</v>
      </c>
      <c r="BC407" s="56">
        <v>18.219999999999992</v>
      </c>
      <c r="BD407" s="62">
        <v>30.140000000000011</v>
      </c>
      <c r="BF407" s="64">
        <v>2.939732433333333</v>
      </c>
      <c r="BG407" s="56">
        <v>19.47999999999999</v>
      </c>
      <c r="BH407" s="56">
        <v>26.19999999999996</v>
      </c>
      <c r="BI407" s="62">
        <v>54.8</v>
      </c>
      <c r="BJ407" s="69"/>
      <c r="BK407" s="51"/>
    </row>
    <row r="408" spans="1:63" x14ac:dyDescent="0.4">
      <c r="A408" s="11" t="s">
        <v>485</v>
      </c>
      <c r="B408" s="4"/>
      <c r="C408" s="4"/>
      <c r="D408" s="4"/>
      <c r="E408" s="12"/>
      <c r="G408" s="147" t="s">
        <v>485</v>
      </c>
      <c r="H408" s="159">
        <v>69.921000000000006</v>
      </c>
      <c r="I408" s="153">
        <v>70.28</v>
      </c>
      <c r="J408" s="153">
        <v>70.39</v>
      </c>
      <c r="K408" s="153">
        <v>70.34</v>
      </c>
      <c r="L408" s="153">
        <v>70.400000000000006</v>
      </c>
      <c r="M408" s="80">
        <f t="shared" si="12"/>
        <v>70.400000000000006</v>
      </c>
      <c r="N408" s="80">
        <f t="shared" si="13"/>
        <v>70.28</v>
      </c>
      <c r="O408" s="153">
        <v>21.13</v>
      </c>
      <c r="P408" s="153">
        <v>21.1</v>
      </c>
      <c r="Q408" s="153">
        <v>21.13</v>
      </c>
      <c r="R408" s="153">
        <v>21.12</v>
      </c>
      <c r="S408" s="4"/>
      <c r="U408" s="147" t="s">
        <v>485</v>
      </c>
      <c r="V408" s="11"/>
      <c r="W408" s="4"/>
      <c r="X408" s="12"/>
      <c r="Y408" s="14"/>
      <c r="Z408" s="4"/>
      <c r="AA408" s="13"/>
      <c r="AB408" s="11"/>
      <c r="AC408" s="4"/>
      <c r="AD408" s="12"/>
      <c r="AE408" s="13"/>
      <c r="AF408" s="14">
        <v>5.0242000000000004</v>
      </c>
      <c r="AG408" s="133"/>
      <c r="AI408" s="84"/>
      <c r="AL408" s="64">
        <v>4.1734660833333326</v>
      </c>
      <c r="AM408" s="56">
        <v>14.76000000000006</v>
      </c>
      <c r="AN408" s="56">
        <v>16.719999999999931</v>
      </c>
      <c r="AO408" s="62">
        <v>22.959999999999962</v>
      </c>
      <c r="AQ408" s="64">
        <v>4.0816112833333333</v>
      </c>
      <c r="AR408" s="56">
        <v>14.13999999999991</v>
      </c>
      <c r="AS408" s="56">
        <v>15.579999999999931</v>
      </c>
      <c r="AT408" s="62">
        <v>19.599999999999969</v>
      </c>
      <c r="AV408" s="64">
        <v>3.727077766666667</v>
      </c>
      <c r="AW408" s="56">
        <v>13.979999999999929</v>
      </c>
      <c r="AX408" s="56">
        <v>15.45999999999994</v>
      </c>
      <c r="AY408" s="62">
        <v>20.259999999999941</v>
      </c>
      <c r="BA408" s="64">
        <v>3.18605165</v>
      </c>
      <c r="BB408" s="56">
        <v>16.900000000000048</v>
      </c>
      <c r="BC408" s="56">
        <v>19.439999999999991</v>
      </c>
      <c r="BD408" s="62">
        <v>31.519999999999989</v>
      </c>
      <c r="BF408" s="64">
        <v>2.9407465666666668</v>
      </c>
      <c r="BG408" s="56">
        <v>20.739999999999981</v>
      </c>
      <c r="BH408" s="56">
        <v>27.519999999999989</v>
      </c>
      <c r="BI408" s="62">
        <v>56.160000000000032</v>
      </c>
      <c r="BJ408" s="93"/>
      <c r="BK408" s="94"/>
    </row>
    <row r="409" spans="1:63" x14ac:dyDescent="0.4">
      <c r="A409" s="11" t="s">
        <v>486</v>
      </c>
      <c r="B409" s="4"/>
      <c r="C409" s="4"/>
      <c r="D409" s="4"/>
      <c r="E409" s="12"/>
      <c r="G409" s="147" t="s">
        <v>486</v>
      </c>
      <c r="H409" s="159">
        <v>69.942999999999998</v>
      </c>
      <c r="I409" s="153">
        <v>70.28</v>
      </c>
      <c r="J409" s="153">
        <v>70.34</v>
      </c>
      <c r="K409" s="153">
        <v>70.400000000000006</v>
      </c>
      <c r="L409" s="153">
        <v>70.34</v>
      </c>
      <c r="M409" s="80">
        <f t="shared" si="12"/>
        <v>70.400000000000006</v>
      </c>
      <c r="N409" s="80">
        <f t="shared" si="13"/>
        <v>70.28</v>
      </c>
      <c r="O409" s="153">
        <v>21.19</v>
      </c>
      <c r="P409" s="153">
        <v>21.14</v>
      </c>
      <c r="Q409" s="153">
        <v>21.11</v>
      </c>
      <c r="R409" s="153">
        <v>21.03</v>
      </c>
      <c r="S409" s="4"/>
      <c r="U409" s="147" t="s">
        <v>486</v>
      </c>
      <c r="V409" s="11"/>
      <c r="W409" s="4"/>
      <c r="X409" s="12"/>
      <c r="Y409" s="14"/>
      <c r="Z409" s="4"/>
      <c r="AA409" s="13"/>
      <c r="AB409" s="11"/>
      <c r="AC409" s="4"/>
      <c r="AD409" s="12"/>
      <c r="AE409" s="13"/>
      <c r="AF409" s="14">
        <v>5.0305999999999997</v>
      </c>
      <c r="AG409" s="133"/>
      <c r="AI409" s="84"/>
      <c r="AL409" s="64">
        <v>4.1730750666666667</v>
      </c>
      <c r="AM409" s="56">
        <v>14.299999999999891</v>
      </c>
      <c r="AN409" s="56">
        <v>16.259999999999941</v>
      </c>
      <c r="AO409" s="62">
        <v>22.41999999999997</v>
      </c>
      <c r="AQ409" s="64">
        <v>4.0819885166666667</v>
      </c>
      <c r="AR409" s="56">
        <v>14.299999999999891</v>
      </c>
      <c r="AS409" s="56">
        <v>15.73999999999991</v>
      </c>
      <c r="AT409" s="62">
        <v>19.799999999999951</v>
      </c>
      <c r="AV409" s="64">
        <v>3.7273822499999998</v>
      </c>
      <c r="AW409" s="56">
        <v>13.79999999999999</v>
      </c>
      <c r="AX409" s="56">
        <v>15.259999999999961</v>
      </c>
      <c r="AY409" s="62">
        <v>20.039999999999921</v>
      </c>
      <c r="BA409" s="64">
        <v>3.1844114499999998</v>
      </c>
      <c r="BB409" s="56">
        <v>16.659999999999989</v>
      </c>
      <c r="BC409" s="56">
        <v>19.159999999999929</v>
      </c>
      <c r="BD409" s="62">
        <v>31.339999999999961</v>
      </c>
      <c r="BF409" s="64">
        <v>2.944589216666667</v>
      </c>
      <c r="BG409" s="56">
        <v>20.359999999999982</v>
      </c>
      <c r="BH409" s="56">
        <v>27.13999999999999</v>
      </c>
      <c r="BI409" s="62">
        <v>55.519999999999918</v>
      </c>
      <c r="BJ409" s="70"/>
      <c r="BK409" s="51"/>
    </row>
    <row r="410" spans="1:63" x14ac:dyDescent="0.4">
      <c r="A410" s="11" t="s">
        <v>487</v>
      </c>
      <c r="B410" s="4"/>
      <c r="C410" s="4"/>
      <c r="D410" s="4"/>
      <c r="E410" s="12"/>
      <c r="G410" s="147" t="s">
        <v>487</v>
      </c>
      <c r="H410" s="159">
        <v>69.846999999999994</v>
      </c>
      <c r="I410" s="153">
        <v>70.349999999999994</v>
      </c>
      <c r="J410" s="153">
        <v>70.36</v>
      </c>
      <c r="K410" s="153">
        <v>70.33</v>
      </c>
      <c r="L410" s="153">
        <v>70.349999999999994</v>
      </c>
      <c r="M410" s="80">
        <f t="shared" si="12"/>
        <v>70.36</v>
      </c>
      <c r="N410" s="80">
        <f t="shared" si="13"/>
        <v>70.33</v>
      </c>
      <c r="O410" s="153">
        <v>21.17</v>
      </c>
      <c r="P410" s="153">
        <v>21.07</v>
      </c>
      <c r="Q410" s="153">
        <v>21.13</v>
      </c>
      <c r="R410" s="153">
        <v>21.05</v>
      </c>
      <c r="S410" s="4"/>
      <c r="U410" s="147" t="s">
        <v>487</v>
      </c>
      <c r="V410" s="11"/>
      <c r="W410" s="4"/>
      <c r="X410" s="12"/>
      <c r="Y410" s="14"/>
      <c r="Z410" s="4"/>
      <c r="AA410" s="13"/>
      <c r="AB410" s="11"/>
      <c r="AC410" s="4"/>
      <c r="AD410" s="12"/>
      <c r="AE410" s="13"/>
      <c r="AF410" s="14">
        <v>5.0327999999999999</v>
      </c>
      <c r="AG410" s="133"/>
      <c r="AI410" s="84"/>
      <c r="AL410" s="64">
        <v>4.1735448333333327</v>
      </c>
      <c r="AM410" s="56">
        <v>13.999999999999879</v>
      </c>
      <c r="AN410" s="56">
        <v>15.920000000000019</v>
      </c>
      <c r="AO410" s="62">
        <v>22.079999999999881</v>
      </c>
      <c r="AQ410" s="64">
        <v>4.0827681333333334</v>
      </c>
      <c r="AR410" s="56">
        <v>13.72</v>
      </c>
      <c r="AS410" s="56">
        <v>15.11999999999993</v>
      </c>
      <c r="AT410" s="62">
        <v>19.119999999999941</v>
      </c>
      <c r="AV410" s="64">
        <v>3.7283073999999998</v>
      </c>
      <c r="AW410" s="56">
        <v>13.620000000000051</v>
      </c>
      <c r="AX410" s="56">
        <v>15.08000000000003</v>
      </c>
      <c r="AY410" s="62">
        <v>19.840000000000039</v>
      </c>
      <c r="BA410" s="64">
        <v>3.186523166666666</v>
      </c>
      <c r="BB410" s="56">
        <v>16.759999999999931</v>
      </c>
      <c r="BC410" s="56">
        <v>19.25999999999997</v>
      </c>
      <c r="BD410" s="62">
        <v>31.37999999999996</v>
      </c>
      <c r="BF410" s="64">
        <v>2.940585833333333</v>
      </c>
      <c r="BG410" s="56">
        <v>20.460000000000012</v>
      </c>
      <c r="BH410" s="56">
        <v>27.299999999999969</v>
      </c>
      <c r="BI410" s="62">
        <v>56.040000000000049</v>
      </c>
      <c r="BJ410" s="70"/>
      <c r="BK410" s="51"/>
    </row>
    <row r="411" spans="1:63" x14ac:dyDescent="0.4">
      <c r="A411" s="11" t="s">
        <v>488</v>
      </c>
      <c r="B411" s="4"/>
      <c r="C411" s="4"/>
      <c r="D411" s="4"/>
      <c r="E411" s="12"/>
      <c r="G411" s="147" t="s">
        <v>488</v>
      </c>
      <c r="H411" s="159">
        <v>69.942999999999998</v>
      </c>
      <c r="I411" s="153">
        <v>70.349999999999994</v>
      </c>
      <c r="J411" s="153">
        <v>70.39</v>
      </c>
      <c r="K411" s="153">
        <v>70.28</v>
      </c>
      <c r="L411" s="153">
        <v>70.31</v>
      </c>
      <c r="M411" s="80">
        <f t="shared" si="12"/>
        <v>70.39</v>
      </c>
      <c r="N411" s="80">
        <f t="shared" si="13"/>
        <v>70.28</v>
      </c>
      <c r="O411" s="153">
        <v>21.17</v>
      </c>
      <c r="P411" s="153">
        <v>21.08</v>
      </c>
      <c r="Q411" s="153">
        <v>21.14</v>
      </c>
      <c r="R411" s="153">
        <v>21.12</v>
      </c>
      <c r="S411" s="4"/>
      <c r="U411" s="147" t="s">
        <v>488</v>
      </c>
      <c r="V411" s="11"/>
      <c r="W411" s="4"/>
      <c r="X411" s="12"/>
      <c r="Y411" s="14"/>
      <c r="Z411" s="4"/>
      <c r="AA411" s="13"/>
      <c r="AB411" s="11"/>
      <c r="AC411" s="4"/>
      <c r="AD411" s="12"/>
      <c r="AE411" s="13"/>
      <c r="AF411" s="14">
        <v>5.0180999999999996</v>
      </c>
      <c r="AG411" s="133"/>
      <c r="AI411" s="84"/>
      <c r="AL411" s="64">
        <v>4.1726816666666666</v>
      </c>
      <c r="AM411" s="56">
        <v>14.67999999999989</v>
      </c>
      <c r="AN411" s="56">
        <v>16.659999999999901</v>
      </c>
      <c r="AO411" s="62">
        <v>22.799999999999979</v>
      </c>
      <c r="AQ411" s="64">
        <v>4.0813871833333346</v>
      </c>
      <c r="AR411" s="56">
        <v>14.1</v>
      </c>
      <c r="AS411" s="56">
        <v>15.520000000000071</v>
      </c>
      <c r="AT411" s="62">
        <v>19.56000000000007</v>
      </c>
      <c r="AV411" s="64">
        <v>3.7285730166666671</v>
      </c>
      <c r="AW411" s="56">
        <v>13.81999999999994</v>
      </c>
      <c r="AX411" s="56">
        <v>15.29999999999996</v>
      </c>
      <c r="AY411" s="62">
        <v>20.05999999999997</v>
      </c>
      <c r="BA411" s="64">
        <v>3.1865524166666672</v>
      </c>
      <c r="BB411" s="56">
        <v>16.79999999999993</v>
      </c>
      <c r="BC411" s="56">
        <v>19.280000000000008</v>
      </c>
      <c r="BD411" s="62">
        <v>31.25999999999998</v>
      </c>
      <c r="BF411" s="64">
        <v>2.9323400500000001</v>
      </c>
      <c r="BG411" s="56">
        <v>20.64000000000004</v>
      </c>
      <c r="BH411" s="56">
        <v>27.760000000000051</v>
      </c>
      <c r="BI411" s="62">
        <v>57.28</v>
      </c>
      <c r="BJ411" s="69"/>
      <c r="BK411" s="51"/>
    </row>
    <row r="412" spans="1:63" x14ac:dyDescent="0.4">
      <c r="A412" s="11" t="s">
        <v>489</v>
      </c>
      <c r="B412" s="4"/>
      <c r="C412" s="4"/>
      <c r="D412" s="4"/>
      <c r="E412" s="12"/>
      <c r="G412" s="147" t="s">
        <v>489</v>
      </c>
      <c r="H412" s="159">
        <v>69.951999999999998</v>
      </c>
      <c r="I412" s="153">
        <v>70.39</v>
      </c>
      <c r="J412" s="153">
        <v>70.39</v>
      </c>
      <c r="K412" s="153">
        <v>70.33</v>
      </c>
      <c r="L412" s="153">
        <v>70.349999999999994</v>
      </c>
      <c r="M412" s="80">
        <f t="shared" si="12"/>
        <v>70.39</v>
      </c>
      <c r="N412" s="80">
        <f t="shared" si="13"/>
        <v>70.33</v>
      </c>
      <c r="O412" s="153">
        <v>21.16</v>
      </c>
      <c r="P412" s="153">
        <v>21.11</v>
      </c>
      <c r="Q412" s="153">
        <v>21.14</v>
      </c>
      <c r="R412" s="153">
        <v>21.13</v>
      </c>
      <c r="S412" s="4"/>
      <c r="U412" s="147" t="s">
        <v>489</v>
      </c>
      <c r="V412" s="11"/>
      <c r="W412" s="4"/>
      <c r="X412" s="12"/>
      <c r="Y412" s="14"/>
      <c r="Z412" s="4"/>
      <c r="AA412" s="13"/>
      <c r="AB412" s="11"/>
      <c r="AC412" s="4"/>
      <c r="AD412" s="12"/>
      <c r="AE412" s="13"/>
      <c r="AF412" s="14">
        <v>5.0339</v>
      </c>
      <c r="AG412" s="133"/>
      <c r="AI412" s="84"/>
      <c r="AL412" s="64">
        <v>4.1729067166666667</v>
      </c>
      <c r="AM412" s="56">
        <v>15.019999999999991</v>
      </c>
      <c r="AN412" s="56">
        <v>17.060000000000031</v>
      </c>
      <c r="AO412" s="62">
        <v>23.260000000000151</v>
      </c>
      <c r="AQ412" s="64">
        <v>4.0816761666666652</v>
      </c>
      <c r="AR412" s="56">
        <v>14.56</v>
      </c>
      <c r="AS412" s="56">
        <v>16.039999999999921</v>
      </c>
      <c r="AT412" s="62">
        <v>20.159999999999911</v>
      </c>
      <c r="AV412" s="64">
        <v>3.728719316666667</v>
      </c>
      <c r="AW412" s="56">
        <v>14.24000000000003</v>
      </c>
      <c r="AX412" s="56">
        <v>15.760000000000041</v>
      </c>
      <c r="AY412" s="62">
        <v>20.61999999999999</v>
      </c>
      <c r="BA412" s="64">
        <v>3.1828190000000012</v>
      </c>
      <c r="BB412" s="56">
        <v>16.94000000000004</v>
      </c>
      <c r="BC412" s="56">
        <v>19.47999999999999</v>
      </c>
      <c r="BD412" s="62">
        <v>31.700000000000021</v>
      </c>
      <c r="BF412" s="64">
        <v>2.929825633333333</v>
      </c>
      <c r="BG412" s="56">
        <v>20.720000000000031</v>
      </c>
      <c r="BH412" s="56">
        <v>27.44</v>
      </c>
      <c r="BI412" s="62">
        <v>56.740000000000009</v>
      </c>
      <c r="BJ412" s="70"/>
      <c r="BK412" s="51"/>
    </row>
    <row r="413" spans="1:63" x14ac:dyDescent="0.4">
      <c r="A413" s="11" t="s">
        <v>490</v>
      </c>
      <c r="B413" s="4"/>
      <c r="C413" s="4"/>
      <c r="D413" s="4"/>
      <c r="E413" s="12"/>
      <c r="G413" s="147" t="s">
        <v>490</v>
      </c>
      <c r="H413" s="159">
        <v>69.947999999999993</v>
      </c>
      <c r="I413" s="153">
        <v>70.31</v>
      </c>
      <c r="J413" s="153">
        <v>70.290000000000006</v>
      </c>
      <c r="K413" s="153">
        <v>70.33</v>
      </c>
      <c r="L413" s="153">
        <v>70.319999999999993</v>
      </c>
      <c r="M413" s="80">
        <f t="shared" si="12"/>
        <v>70.33</v>
      </c>
      <c r="N413" s="80">
        <f t="shared" si="13"/>
        <v>70.290000000000006</v>
      </c>
      <c r="O413" s="153">
        <v>21.09</v>
      </c>
      <c r="P413" s="153">
        <v>21.06</v>
      </c>
      <c r="Q413" s="153">
        <v>21.17</v>
      </c>
      <c r="R413" s="153">
        <v>21.14</v>
      </c>
      <c r="S413" s="4"/>
      <c r="U413" s="147" t="s">
        <v>490</v>
      </c>
      <c r="V413" s="11"/>
      <c r="W413" s="4"/>
      <c r="X413" s="12"/>
      <c r="Y413" s="14"/>
      <c r="Z413" s="4"/>
      <c r="AA413" s="13"/>
      <c r="AB413" s="11"/>
      <c r="AC413" s="4"/>
      <c r="AD413" s="12"/>
      <c r="AE413" s="13"/>
      <c r="AF413" s="14">
        <v>5.0484</v>
      </c>
      <c r="AG413" s="133"/>
      <c r="AI413" s="84"/>
      <c r="AL413" s="64">
        <v>4.1733665166666656</v>
      </c>
      <c r="AM413" s="56">
        <v>14.02000000000001</v>
      </c>
      <c r="AN413" s="56">
        <v>15.920000000000019</v>
      </c>
      <c r="AO413" s="62">
        <v>22.00000000000006</v>
      </c>
      <c r="AQ413" s="64">
        <v>4.0830206666666662</v>
      </c>
      <c r="AR413" s="56">
        <v>13.81999999999994</v>
      </c>
      <c r="AS413" s="56">
        <v>15.220000000000059</v>
      </c>
      <c r="AT413" s="62">
        <v>19.240000000000009</v>
      </c>
      <c r="AV413" s="64">
        <v>3.729896783333333</v>
      </c>
      <c r="AW413" s="56">
        <v>13.49999999999998</v>
      </c>
      <c r="AX413" s="56">
        <v>14.919999999999961</v>
      </c>
      <c r="AY413" s="62">
        <v>19.639999999999969</v>
      </c>
      <c r="BA413" s="64">
        <v>3.188926050000001</v>
      </c>
      <c r="BB413" s="56">
        <v>16.04000000000001</v>
      </c>
      <c r="BC413" s="56">
        <v>18.62000000000004</v>
      </c>
      <c r="BD413" s="62">
        <v>30.440000000000019</v>
      </c>
      <c r="BF413" s="64">
        <v>2.9311755833333342</v>
      </c>
      <c r="BG413" s="56">
        <v>20.100000000000051</v>
      </c>
      <c r="BH413" s="56">
        <v>27.140000000000079</v>
      </c>
      <c r="BI413" s="62">
        <v>56.86</v>
      </c>
      <c r="BJ413" s="70"/>
      <c r="BK413" s="51"/>
    </row>
    <row r="414" spans="1:63" x14ac:dyDescent="0.4">
      <c r="A414" s="11" t="s">
        <v>491</v>
      </c>
      <c r="B414" s="4"/>
      <c r="C414" s="4"/>
      <c r="D414" s="4"/>
      <c r="E414" s="12"/>
      <c r="G414" s="147" t="s">
        <v>491</v>
      </c>
      <c r="H414" s="159">
        <v>70.022000000000006</v>
      </c>
      <c r="I414" s="153">
        <v>70.349999999999994</v>
      </c>
      <c r="J414" s="153">
        <v>70.28</v>
      </c>
      <c r="K414" s="153">
        <v>70.400000000000006</v>
      </c>
      <c r="L414" s="153">
        <v>70.400000000000006</v>
      </c>
      <c r="M414" s="80">
        <f t="shared" si="12"/>
        <v>70.400000000000006</v>
      </c>
      <c r="N414" s="80">
        <f t="shared" si="13"/>
        <v>70.28</v>
      </c>
      <c r="O414" s="153">
        <v>21.12</v>
      </c>
      <c r="P414" s="153">
        <v>21.1</v>
      </c>
      <c r="Q414" s="153">
        <v>21.05</v>
      </c>
      <c r="R414" s="153">
        <v>20.98</v>
      </c>
      <c r="S414" s="4"/>
      <c r="U414" s="147" t="s">
        <v>491</v>
      </c>
      <c r="V414" s="11"/>
      <c r="W414" s="4"/>
      <c r="X414" s="12"/>
      <c r="Y414" s="14"/>
      <c r="Z414" s="4"/>
      <c r="AA414" s="13"/>
      <c r="AB414" s="11"/>
      <c r="AC414" s="4"/>
      <c r="AD414" s="12"/>
      <c r="AE414" s="13"/>
      <c r="AF414" s="14">
        <v>5.0316999999999998</v>
      </c>
      <c r="AG414" s="133"/>
      <c r="AI414" s="84"/>
      <c r="AL414" s="64">
        <v>4.1731554166666669</v>
      </c>
      <c r="AM414" s="56">
        <v>13.439999999999941</v>
      </c>
      <c r="AN414" s="56">
        <v>15.32</v>
      </c>
      <c r="AO414" s="62">
        <v>21.35999999999996</v>
      </c>
      <c r="AQ414" s="64">
        <v>4.0826744833333342</v>
      </c>
      <c r="AR414" s="56">
        <v>13.100000000000019</v>
      </c>
      <c r="AS414" s="56">
        <v>14.48</v>
      </c>
      <c r="AT414" s="62">
        <v>18.360000000000021</v>
      </c>
      <c r="AV414" s="64">
        <v>3.7309099666666659</v>
      </c>
      <c r="AW414" s="56">
        <v>12.73999999999997</v>
      </c>
      <c r="AX414" s="56">
        <v>14.14</v>
      </c>
      <c r="AY414" s="62">
        <v>18.699999999999939</v>
      </c>
      <c r="BA414" s="64">
        <v>3.1924898333333331</v>
      </c>
      <c r="BB414" s="56">
        <v>15.479999999999981</v>
      </c>
      <c r="BC414" s="56">
        <v>17.819999999999951</v>
      </c>
      <c r="BD414" s="62">
        <v>29.279999999999969</v>
      </c>
      <c r="BF414" s="64">
        <v>2.9306179000000001</v>
      </c>
      <c r="BG414" s="56">
        <v>19.399999999999999</v>
      </c>
      <c r="BH414" s="56">
        <v>26.339999999999989</v>
      </c>
      <c r="BI414" s="62">
        <v>55.980000000000011</v>
      </c>
      <c r="BJ414" s="70"/>
      <c r="BK414" s="51"/>
    </row>
    <row r="415" spans="1:63" x14ac:dyDescent="0.4">
      <c r="A415" s="11" t="s">
        <v>492</v>
      </c>
      <c r="B415" s="4"/>
      <c r="C415" s="4"/>
      <c r="D415" s="4"/>
      <c r="E415" s="12"/>
      <c r="G415" s="147" t="s">
        <v>492</v>
      </c>
      <c r="H415" s="159">
        <v>70.093999999999994</v>
      </c>
      <c r="I415" s="153">
        <v>70.36</v>
      </c>
      <c r="J415" s="153">
        <v>70.34</v>
      </c>
      <c r="K415" s="153">
        <v>70.31</v>
      </c>
      <c r="L415" s="153">
        <v>70.38</v>
      </c>
      <c r="M415" s="80">
        <f t="shared" si="12"/>
        <v>70.38</v>
      </c>
      <c r="N415" s="80">
        <f t="shared" si="13"/>
        <v>70.31</v>
      </c>
      <c r="O415" s="153">
        <v>21.12</v>
      </c>
      <c r="P415" s="153">
        <v>21.02</v>
      </c>
      <c r="Q415" s="153">
        <v>21.13</v>
      </c>
      <c r="R415" s="153">
        <v>21.01</v>
      </c>
      <c r="S415" s="4"/>
      <c r="U415" s="147" t="s">
        <v>492</v>
      </c>
      <c r="V415" s="11"/>
      <c r="W415" s="4"/>
      <c r="X415" s="12"/>
      <c r="Y415" s="14"/>
      <c r="Z415" s="4"/>
      <c r="AA415" s="13"/>
      <c r="AB415" s="11"/>
      <c r="AC415" s="4"/>
      <c r="AD415" s="12"/>
      <c r="AE415" s="13"/>
      <c r="AF415" s="14">
        <v>5.0343</v>
      </c>
      <c r="AG415" s="133"/>
      <c r="AI415" s="84"/>
      <c r="AL415" s="64">
        <v>4.173230283333333</v>
      </c>
      <c r="AM415" s="56">
        <v>13.73999999999995</v>
      </c>
      <c r="AN415" s="56">
        <v>15.67999999999987</v>
      </c>
      <c r="AO415" s="62">
        <v>21.679999999999922</v>
      </c>
      <c r="AQ415" s="64">
        <v>4.0825661000000002</v>
      </c>
      <c r="AR415" s="56">
        <v>13.44000000000012</v>
      </c>
      <c r="AS415" s="56">
        <v>14.8200000000001</v>
      </c>
      <c r="AT415" s="62">
        <v>18.760000000000069</v>
      </c>
      <c r="AV415" s="64">
        <v>3.731077050000001</v>
      </c>
      <c r="AW415" s="56">
        <v>13.26000000000001</v>
      </c>
      <c r="AX415" s="56">
        <v>14.699999999999941</v>
      </c>
      <c r="AY415" s="62">
        <v>19.339999999999961</v>
      </c>
      <c r="BA415" s="64">
        <v>3.1890854499999999</v>
      </c>
      <c r="BB415" s="56">
        <v>16.16</v>
      </c>
      <c r="BC415" s="56">
        <v>18.559999999999999</v>
      </c>
      <c r="BD415" s="62">
        <v>30.339999999999989</v>
      </c>
      <c r="BF415" s="64">
        <v>2.932707033333334</v>
      </c>
      <c r="BG415" s="56">
        <v>20.000000000000021</v>
      </c>
      <c r="BH415" s="56">
        <v>26.74000000000003</v>
      </c>
      <c r="BI415" s="62">
        <v>55.839999999999982</v>
      </c>
      <c r="BJ415" s="70"/>
      <c r="BK415" s="51"/>
    </row>
    <row r="416" spans="1:63" x14ac:dyDescent="0.4">
      <c r="A416" s="11" t="s">
        <v>493</v>
      </c>
      <c r="B416" s="4"/>
      <c r="C416" s="4"/>
      <c r="D416" s="4"/>
      <c r="E416" s="12"/>
      <c r="G416" s="147" t="s">
        <v>493</v>
      </c>
      <c r="H416" s="159">
        <v>70.018000000000001</v>
      </c>
      <c r="I416" s="153">
        <v>70.36</v>
      </c>
      <c r="J416" s="153">
        <v>70.290000000000006</v>
      </c>
      <c r="K416" s="153">
        <v>70.39</v>
      </c>
      <c r="L416" s="153">
        <v>70.38</v>
      </c>
      <c r="M416" s="80">
        <f t="shared" si="12"/>
        <v>70.39</v>
      </c>
      <c r="N416" s="80">
        <f t="shared" si="13"/>
        <v>70.290000000000006</v>
      </c>
      <c r="O416" s="153">
        <v>21.22</v>
      </c>
      <c r="P416" s="153">
        <v>21.12</v>
      </c>
      <c r="Q416" s="153">
        <v>21.14</v>
      </c>
      <c r="R416" s="153">
        <v>21.04</v>
      </c>
      <c r="S416" s="4"/>
      <c r="U416" s="147" t="s">
        <v>493</v>
      </c>
      <c r="V416" s="11"/>
      <c r="W416" s="4"/>
      <c r="X416" s="12"/>
      <c r="Y416" s="14"/>
      <c r="Z416" s="4"/>
      <c r="AA416" s="13"/>
      <c r="AB416" s="11"/>
      <c r="AC416" s="4"/>
      <c r="AD416" s="12"/>
      <c r="AE416" s="13"/>
      <c r="AF416" s="14">
        <v>5.0571999999999999</v>
      </c>
      <c r="AG416" s="133"/>
      <c r="AI416" s="84"/>
      <c r="AL416" s="64">
        <v>4.1732713833333337</v>
      </c>
      <c r="AM416" s="56">
        <v>13.68000000000009</v>
      </c>
      <c r="AN416" s="56">
        <v>15.60000000000006</v>
      </c>
      <c r="AO416" s="62">
        <v>21.72000000000001</v>
      </c>
      <c r="AQ416" s="64">
        <v>4.0830707833333344</v>
      </c>
      <c r="AR416" s="56">
        <v>13.419999999999989</v>
      </c>
      <c r="AS416" s="56">
        <v>14.799999999999971</v>
      </c>
      <c r="AT416" s="62">
        <v>18.719999999999981</v>
      </c>
      <c r="AV416" s="64">
        <v>3.7288837666666672</v>
      </c>
      <c r="AW416" s="56">
        <v>13.18000000000001</v>
      </c>
      <c r="AX416" s="56">
        <v>14.580000000000039</v>
      </c>
      <c r="AY416" s="62">
        <v>19.220000000000059</v>
      </c>
      <c r="BA416" s="64">
        <v>3.1881758166666661</v>
      </c>
      <c r="BB416" s="56">
        <v>15.95999999999993</v>
      </c>
      <c r="BC416" s="56">
        <v>18.379999999999971</v>
      </c>
      <c r="BD416" s="62">
        <v>30.239999999999959</v>
      </c>
      <c r="BF416" s="64">
        <v>2.938146716666667</v>
      </c>
      <c r="BG416" s="56">
        <v>19.639999999999969</v>
      </c>
      <c r="BH416" s="56">
        <v>26.399999999999931</v>
      </c>
      <c r="BI416" s="62">
        <v>55.26</v>
      </c>
      <c r="BJ416" s="69"/>
      <c r="BK416" s="51"/>
    </row>
    <row r="417" spans="1:63" x14ac:dyDescent="0.4">
      <c r="A417" s="11" t="s">
        <v>494</v>
      </c>
      <c r="B417" s="4"/>
      <c r="C417" s="4"/>
      <c r="D417" s="4"/>
      <c r="E417" s="12"/>
      <c r="G417" s="147" t="s">
        <v>494</v>
      </c>
      <c r="H417" s="159">
        <v>69.932000000000002</v>
      </c>
      <c r="I417" s="153">
        <v>70.39</v>
      </c>
      <c r="J417" s="153">
        <v>70.36</v>
      </c>
      <c r="K417" s="153">
        <v>70.349999999999994</v>
      </c>
      <c r="L417" s="153">
        <v>70.319999999999993</v>
      </c>
      <c r="M417" s="80">
        <f t="shared" si="12"/>
        <v>70.39</v>
      </c>
      <c r="N417" s="80">
        <f t="shared" si="13"/>
        <v>70.319999999999993</v>
      </c>
      <c r="O417" s="153">
        <v>21.19</v>
      </c>
      <c r="P417" s="153">
        <v>21.13</v>
      </c>
      <c r="Q417" s="153">
        <v>21.12</v>
      </c>
      <c r="R417" s="153">
        <v>21.05</v>
      </c>
      <c r="S417" s="4"/>
      <c r="U417" s="147" t="s">
        <v>494</v>
      </c>
      <c r="V417" s="11"/>
      <c r="W417" s="4"/>
      <c r="X417" s="12"/>
      <c r="Y417" s="14"/>
      <c r="Z417" s="4"/>
      <c r="AA417" s="13"/>
      <c r="AB417" s="11"/>
      <c r="AC417" s="4"/>
      <c r="AD417" s="12"/>
      <c r="AE417" s="13"/>
      <c r="AF417" s="14">
        <v>5.0332999999999997</v>
      </c>
      <c r="AG417" s="133"/>
      <c r="AI417" s="84"/>
      <c r="AL417" s="64">
        <v>4.1733883499999997</v>
      </c>
      <c r="AM417" s="56">
        <v>13.27999999999996</v>
      </c>
      <c r="AN417" s="56">
        <v>15.140000000000059</v>
      </c>
      <c r="AO417" s="62">
        <v>21.219999999999931</v>
      </c>
      <c r="AQ417" s="64">
        <v>4.0836449500000001</v>
      </c>
      <c r="AR417" s="56">
        <v>13.140000000000111</v>
      </c>
      <c r="AS417" s="56">
        <v>14.48</v>
      </c>
      <c r="AT417" s="62">
        <v>18.340000000000071</v>
      </c>
      <c r="AV417" s="64">
        <v>3.7301296833333328</v>
      </c>
      <c r="AW417" s="56">
        <v>12.779999999999969</v>
      </c>
      <c r="AX417" s="56">
        <v>14.15999999999995</v>
      </c>
      <c r="AY417" s="62">
        <v>18.719999999999981</v>
      </c>
      <c r="BA417" s="64">
        <v>3.1937159500000001</v>
      </c>
      <c r="BB417" s="56">
        <v>15.520000000000071</v>
      </c>
      <c r="BC417" s="56">
        <v>17.839999999999989</v>
      </c>
      <c r="BD417" s="62">
        <v>29.340000000000011</v>
      </c>
      <c r="BF417" s="64">
        <v>2.936630833333334</v>
      </c>
      <c r="BG417" s="56">
        <v>19.460000000000029</v>
      </c>
      <c r="BH417" s="56">
        <v>26.22</v>
      </c>
      <c r="BI417" s="62">
        <v>55.200000000000053</v>
      </c>
      <c r="BJ417" s="70"/>
      <c r="BK417" s="51"/>
    </row>
    <row r="418" spans="1:63" x14ac:dyDescent="0.4">
      <c r="A418" s="11" t="s">
        <v>495</v>
      </c>
      <c r="B418" s="4"/>
      <c r="C418" s="4"/>
      <c r="D418" s="4"/>
      <c r="E418" s="12"/>
      <c r="G418" s="147" t="s">
        <v>495</v>
      </c>
      <c r="H418" s="159">
        <v>70.043999999999997</v>
      </c>
      <c r="I418" s="153">
        <v>70.39</v>
      </c>
      <c r="J418" s="153">
        <v>70.38</v>
      </c>
      <c r="K418" s="153">
        <v>70.28</v>
      </c>
      <c r="L418" s="153">
        <v>70.27</v>
      </c>
      <c r="M418" s="80">
        <f t="shared" si="12"/>
        <v>70.39</v>
      </c>
      <c r="N418" s="80">
        <f t="shared" si="13"/>
        <v>70.27</v>
      </c>
      <c r="O418" s="153">
        <v>21.16</v>
      </c>
      <c r="P418" s="153">
        <v>21.1</v>
      </c>
      <c r="Q418" s="153">
        <v>21.11</v>
      </c>
      <c r="R418" s="153">
        <v>21.09</v>
      </c>
      <c r="S418" s="4"/>
      <c r="U418" s="147" t="s">
        <v>495</v>
      </c>
      <c r="V418" s="11"/>
      <c r="W418" s="4"/>
      <c r="X418" s="12"/>
      <c r="Y418" s="14"/>
      <c r="Z418" s="4"/>
      <c r="AA418" s="13"/>
      <c r="AB418" s="11"/>
      <c r="AC418" s="4"/>
      <c r="AD418" s="12"/>
      <c r="AE418" s="13"/>
      <c r="AF418" s="14">
        <v>5.0332999999999997</v>
      </c>
      <c r="AG418" s="133"/>
      <c r="AI418" s="84"/>
      <c r="AL418" s="64">
        <v>4.1729428999999998</v>
      </c>
      <c r="AM418" s="56">
        <v>13.78000000000004</v>
      </c>
      <c r="AN418" s="56">
        <v>15.680000000000049</v>
      </c>
      <c r="AO418" s="62">
        <v>21.820000000000132</v>
      </c>
      <c r="AQ418" s="64">
        <v>4.0830865333333346</v>
      </c>
      <c r="AR418" s="56">
        <v>13.56000000000002</v>
      </c>
      <c r="AS418" s="56">
        <v>14.94</v>
      </c>
      <c r="AT418" s="62">
        <v>18.900000000000009</v>
      </c>
      <c r="AV418" s="64">
        <v>3.7285967333333332</v>
      </c>
      <c r="AW418" s="56">
        <v>13.199999999999971</v>
      </c>
      <c r="AX418" s="56">
        <v>14.619999999999941</v>
      </c>
      <c r="AY418" s="62">
        <v>19.280000000000008</v>
      </c>
      <c r="BA418" s="64">
        <v>3.188206683333334</v>
      </c>
      <c r="BB418" s="56">
        <v>16.000000000000011</v>
      </c>
      <c r="BC418" s="56">
        <v>18.440000000000008</v>
      </c>
      <c r="BD418" s="62">
        <v>30.319999999999951</v>
      </c>
      <c r="BF418" s="64">
        <v>2.9434610166666668</v>
      </c>
      <c r="BG418" s="56">
        <v>19.679999999999961</v>
      </c>
      <c r="BH418" s="56">
        <v>26.379999999999981</v>
      </c>
      <c r="BI418" s="62">
        <v>54.680000000000021</v>
      </c>
      <c r="BJ418" s="70"/>
      <c r="BK418" s="51"/>
    </row>
    <row r="419" spans="1:63" x14ac:dyDescent="0.4">
      <c r="A419" s="11" t="s">
        <v>496</v>
      </c>
      <c r="B419" s="4"/>
      <c r="C419" s="4"/>
      <c r="D419" s="4"/>
      <c r="E419" s="12"/>
      <c r="G419" s="147" t="s">
        <v>496</v>
      </c>
      <c r="H419" s="159">
        <v>69.930000000000007</v>
      </c>
      <c r="I419" s="153">
        <v>70.319999999999993</v>
      </c>
      <c r="J419" s="153">
        <v>70.38</v>
      </c>
      <c r="K419" s="153">
        <v>70.400000000000006</v>
      </c>
      <c r="L419" s="153">
        <v>70.290000000000006</v>
      </c>
      <c r="M419" s="80">
        <f t="shared" si="12"/>
        <v>70.400000000000006</v>
      </c>
      <c r="N419" s="80">
        <f t="shared" si="13"/>
        <v>70.290000000000006</v>
      </c>
      <c r="O419" s="153">
        <v>21.17</v>
      </c>
      <c r="P419" s="153">
        <v>21.14</v>
      </c>
      <c r="Q419" s="153">
        <v>21.15</v>
      </c>
      <c r="R419" s="153">
        <v>21.13</v>
      </c>
      <c r="S419" s="4"/>
      <c r="U419" s="147" t="s">
        <v>496</v>
      </c>
      <c r="V419" s="11"/>
      <c r="W419" s="4"/>
      <c r="X419" s="12"/>
      <c r="Y419" s="14"/>
      <c r="Z419" s="4"/>
      <c r="AA419" s="13"/>
      <c r="AB419" s="11"/>
      <c r="AC419" s="4"/>
      <c r="AD419" s="12"/>
      <c r="AE419" s="13"/>
      <c r="AF419" s="14">
        <v>5.0312000000000001</v>
      </c>
      <c r="AG419" s="133"/>
      <c r="AI419" s="84"/>
      <c r="AL419" s="64">
        <v>4.1726621833333333</v>
      </c>
      <c r="AM419" s="56">
        <v>14.979999999999899</v>
      </c>
      <c r="AN419" s="56">
        <v>16.939999999999959</v>
      </c>
      <c r="AO419" s="62">
        <v>23.220000000000059</v>
      </c>
      <c r="AQ419" s="64">
        <v>4.0811298166666674</v>
      </c>
      <c r="AR419" s="56">
        <v>14.32000000000002</v>
      </c>
      <c r="AS419" s="56">
        <v>15.78</v>
      </c>
      <c r="AT419" s="62">
        <v>19.859999999999989</v>
      </c>
      <c r="AV419" s="64">
        <v>3.726110816666667</v>
      </c>
      <c r="AW419" s="56">
        <v>14.119999999999949</v>
      </c>
      <c r="AX419" s="56">
        <v>15.55999999999997</v>
      </c>
      <c r="AY419" s="62">
        <v>20.39999999999997</v>
      </c>
      <c r="BA419" s="64">
        <v>3.1840402833333341</v>
      </c>
      <c r="BB419" s="56">
        <v>16.85999999999996</v>
      </c>
      <c r="BC419" s="56">
        <v>19.379999999999949</v>
      </c>
      <c r="BD419" s="62">
        <v>31.559999999999992</v>
      </c>
      <c r="BF419" s="64">
        <v>2.9429647833333341</v>
      </c>
      <c r="BG419" s="56">
        <v>20.600000000000041</v>
      </c>
      <c r="BH419" s="56">
        <v>27.37999999999996</v>
      </c>
      <c r="BI419" s="62">
        <v>55.78000000000003</v>
      </c>
      <c r="BJ419" s="93"/>
      <c r="BK419" s="94"/>
    </row>
    <row r="420" spans="1:63" x14ac:dyDescent="0.4">
      <c r="A420" s="11" t="s">
        <v>497</v>
      </c>
      <c r="B420" s="4"/>
      <c r="C420" s="4"/>
      <c r="D420" s="4"/>
      <c r="E420" s="12"/>
      <c r="G420" s="147" t="s">
        <v>497</v>
      </c>
      <c r="H420" s="159">
        <v>69.923000000000002</v>
      </c>
      <c r="I420" s="153">
        <v>70.349999999999994</v>
      </c>
      <c r="J420" s="153">
        <v>70.319999999999993</v>
      </c>
      <c r="K420" s="153">
        <v>70.400000000000006</v>
      </c>
      <c r="L420" s="153">
        <v>70.38</v>
      </c>
      <c r="M420" s="80">
        <f t="shared" si="12"/>
        <v>70.400000000000006</v>
      </c>
      <c r="N420" s="80">
        <f t="shared" si="13"/>
        <v>70.319999999999993</v>
      </c>
      <c r="O420" s="153">
        <v>21.16</v>
      </c>
      <c r="P420" s="153">
        <v>21.1</v>
      </c>
      <c r="Q420" s="153">
        <v>21.12</v>
      </c>
      <c r="R420" s="153">
        <v>21.08</v>
      </c>
      <c r="S420" s="4"/>
      <c r="U420" s="147" t="s">
        <v>497</v>
      </c>
      <c r="V420" s="11"/>
      <c r="W420" s="4"/>
      <c r="X420" s="12"/>
      <c r="Y420" s="14"/>
      <c r="Z420" s="4"/>
      <c r="AA420" s="13"/>
      <c r="AB420" s="11"/>
      <c r="AC420" s="4"/>
      <c r="AD420" s="12"/>
      <c r="AE420" s="13"/>
      <c r="AF420" s="14">
        <v>5.0339</v>
      </c>
      <c r="AG420" s="133"/>
      <c r="AI420" s="84"/>
      <c r="AL420" s="64">
        <v>4.1728369000000001</v>
      </c>
      <c r="AM420" s="56">
        <v>13.91999999999989</v>
      </c>
      <c r="AN420" s="56">
        <v>15.819999999999901</v>
      </c>
      <c r="AO420" s="62">
        <v>21.919999999999899</v>
      </c>
      <c r="AQ420" s="64">
        <v>4.081812666666667</v>
      </c>
      <c r="AR420" s="56">
        <v>13.659999999999959</v>
      </c>
      <c r="AS420" s="56">
        <v>15.039999999999941</v>
      </c>
      <c r="AT420" s="62">
        <v>19.000000000000039</v>
      </c>
      <c r="AV420" s="64">
        <v>3.727412866666667</v>
      </c>
      <c r="AW420" s="56">
        <v>13.18000000000001</v>
      </c>
      <c r="AX420" s="56">
        <v>14.580000000000039</v>
      </c>
      <c r="AY420" s="62">
        <v>19.21999999999997</v>
      </c>
      <c r="BA420" s="64">
        <v>3.1860795333333329</v>
      </c>
      <c r="BB420" s="56">
        <v>15.839999999999939</v>
      </c>
      <c r="BC420" s="56">
        <v>18.279999999999941</v>
      </c>
      <c r="BD420" s="62">
        <v>30.159999999999961</v>
      </c>
      <c r="BF420" s="64">
        <v>2.942237533333333</v>
      </c>
      <c r="BG420" s="56">
        <v>19.54000000000002</v>
      </c>
      <c r="BH420" s="56">
        <v>26.18</v>
      </c>
      <c r="BI420" s="62">
        <v>54.619999999999983</v>
      </c>
      <c r="BJ420" s="70"/>
      <c r="BK420" s="51"/>
    </row>
    <row r="421" spans="1:63" x14ac:dyDescent="0.4">
      <c r="A421" s="11" t="s">
        <v>498</v>
      </c>
      <c r="B421" s="4"/>
      <c r="C421" s="4"/>
      <c r="D421" s="4"/>
      <c r="E421" s="12"/>
      <c r="G421" s="147" t="s">
        <v>498</v>
      </c>
      <c r="H421" s="159">
        <v>69.941999999999993</v>
      </c>
      <c r="I421" s="153">
        <v>70.38</v>
      </c>
      <c r="J421" s="153">
        <v>70.33</v>
      </c>
      <c r="K421" s="153">
        <v>70.319999999999993</v>
      </c>
      <c r="L421" s="153">
        <v>70.31</v>
      </c>
      <c r="M421" s="80">
        <f t="shared" si="12"/>
        <v>70.38</v>
      </c>
      <c r="N421" s="80">
        <f t="shared" si="13"/>
        <v>70.31</v>
      </c>
      <c r="O421" s="153">
        <v>21.18</v>
      </c>
      <c r="P421" s="153">
        <v>20.97</v>
      </c>
      <c r="Q421" s="153">
        <v>21.13</v>
      </c>
      <c r="R421" s="153">
        <v>21.08</v>
      </c>
      <c r="S421" s="4"/>
      <c r="U421" s="147" t="s">
        <v>498</v>
      </c>
      <c r="V421" s="11"/>
      <c r="W421" s="4"/>
      <c r="X421" s="12"/>
      <c r="Y421" s="14"/>
      <c r="Z421" s="4"/>
      <c r="AA421" s="13"/>
      <c r="AB421" s="11"/>
      <c r="AC421" s="4"/>
      <c r="AD421" s="12"/>
      <c r="AE421" s="13"/>
      <c r="AF421" s="14">
        <v>5.0156000000000001</v>
      </c>
      <c r="AG421" s="133"/>
      <c r="AI421" s="84"/>
      <c r="AL421" s="64">
        <v>4.1729984166666663</v>
      </c>
      <c r="AM421" s="56">
        <v>14.03999999999996</v>
      </c>
      <c r="AN421" s="56">
        <v>15.920000000000019</v>
      </c>
      <c r="AO421" s="62">
        <v>21.920000000000069</v>
      </c>
      <c r="AQ421" s="64">
        <v>4.080842099999999</v>
      </c>
      <c r="AR421" s="56">
        <v>13.26000000000001</v>
      </c>
      <c r="AS421" s="56">
        <v>14.620000000000029</v>
      </c>
      <c r="AT421" s="62">
        <v>18.499999999999961</v>
      </c>
      <c r="AV421" s="64">
        <v>3.7274819666666659</v>
      </c>
      <c r="AW421" s="56">
        <v>12.88</v>
      </c>
      <c r="AX421" s="56">
        <v>14.25999999999998</v>
      </c>
      <c r="AY421" s="62">
        <v>18.820000000000011</v>
      </c>
      <c r="BA421" s="64">
        <v>3.1849706166666669</v>
      </c>
      <c r="BB421" s="56">
        <v>15.74</v>
      </c>
      <c r="BC421" s="56">
        <v>18.14</v>
      </c>
      <c r="BD421" s="62">
        <v>29.88</v>
      </c>
      <c r="BF421" s="64">
        <v>2.932286533333333</v>
      </c>
      <c r="BG421" s="56">
        <v>19.54000000000002</v>
      </c>
      <c r="BH421" s="56">
        <v>26.52000000000001</v>
      </c>
      <c r="BI421" s="62">
        <v>55.879999999999967</v>
      </c>
      <c r="BJ421" s="70"/>
      <c r="BK421" s="51"/>
    </row>
    <row r="422" spans="1:63" x14ac:dyDescent="0.4">
      <c r="A422" s="11" t="s">
        <v>499</v>
      </c>
      <c r="B422" s="4"/>
      <c r="C422" s="4"/>
      <c r="D422" s="4"/>
      <c r="E422" s="12"/>
      <c r="G422" s="147" t="s">
        <v>499</v>
      </c>
      <c r="H422" s="159">
        <v>70.013000000000005</v>
      </c>
      <c r="I422" s="153">
        <v>70.28</v>
      </c>
      <c r="J422" s="153">
        <v>70.38</v>
      </c>
      <c r="K422" s="153">
        <v>70.38</v>
      </c>
      <c r="L422" s="153">
        <v>70.400000000000006</v>
      </c>
      <c r="M422" s="80">
        <f t="shared" si="12"/>
        <v>70.400000000000006</v>
      </c>
      <c r="N422" s="80">
        <f t="shared" si="13"/>
        <v>70.28</v>
      </c>
      <c r="O422" s="153">
        <v>21.17</v>
      </c>
      <c r="P422" s="153">
        <v>21.01</v>
      </c>
      <c r="Q422" s="153">
        <v>21.15</v>
      </c>
      <c r="R422" s="153">
        <v>21.08</v>
      </c>
      <c r="S422" s="4"/>
      <c r="U422" s="147" t="s">
        <v>499</v>
      </c>
      <c r="V422" s="11"/>
      <c r="W422" s="4"/>
      <c r="X422" s="12"/>
      <c r="Y422" s="14"/>
      <c r="Z422" s="4"/>
      <c r="AA422" s="13"/>
      <c r="AB422" s="11"/>
      <c r="AC422" s="4"/>
      <c r="AD422" s="12"/>
      <c r="AE422" s="136"/>
      <c r="AF422" s="14">
        <v>5.0380000000000003</v>
      </c>
      <c r="AG422" s="133"/>
      <c r="AI422" s="84"/>
      <c r="AL422" s="64">
        <v>4.1729916999999999</v>
      </c>
      <c r="AM422" s="56">
        <v>14.160000000000039</v>
      </c>
      <c r="AN422" s="56">
        <v>16.14000000000004</v>
      </c>
      <c r="AO422" s="62">
        <v>22.16000000000005</v>
      </c>
      <c r="AQ422" s="64">
        <v>4.082510816666665</v>
      </c>
      <c r="AR422" s="56">
        <v>14.24000000000003</v>
      </c>
      <c r="AS422" s="56">
        <v>15.7</v>
      </c>
      <c r="AT422" s="62">
        <v>19.760000000000041</v>
      </c>
      <c r="AV422" s="64">
        <v>3.7293676333333332</v>
      </c>
      <c r="AW422" s="56">
        <v>13.99999999999997</v>
      </c>
      <c r="AX422" s="56">
        <v>15.51999999999998</v>
      </c>
      <c r="AY422" s="62">
        <v>20.319999999999979</v>
      </c>
      <c r="BA422" s="64">
        <v>3.1836379666666659</v>
      </c>
      <c r="BB422" s="56">
        <v>16.61999999999999</v>
      </c>
      <c r="BC422" s="56">
        <v>19.120000000000029</v>
      </c>
      <c r="BD422" s="62">
        <v>31.280000000000019</v>
      </c>
      <c r="BF422" s="64">
        <v>2.927956183333333</v>
      </c>
      <c r="BG422" s="56">
        <v>20.39999999999997</v>
      </c>
      <c r="BH422" s="56">
        <v>27.339999999999961</v>
      </c>
      <c r="BI422" s="62">
        <v>56.999999999999943</v>
      </c>
      <c r="BJ422" s="70"/>
      <c r="BK422" s="51"/>
    </row>
    <row r="423" spans="1:63" x14ac:dyDescent="0.4">
      <c r="A423" s="11" t="s">
        <v>500</v>
      </c>
      <c r="B423" s="4"/>
      <c r="C423" s="4"/>
      <c r="D423" s="4"/>
      <c r="E423" s="12"/>
      <c r="G423" s="147" t="s">
        <v>500</v>
      </c>
      <c r="H423" s="159">
        <v>69.953000000000003</v>
      </c>
      <c r="I423" s="153">
        <v>70.400000000000006</v>
      </c>
      <c r="J423" s="153">
        <v>70.34</v>
      </c>
      <c r="K423" s="153">
        <v>70.37</v>
      </c>
      <c r="L423" s="153">
        <v>70.39</v>
      </c>
      <c r="M423" s="80">
        <f t="shared" si="12"/>
        <v>70.400000000000006</v>
      </c>
      <c r="N423" s="80">
        <f t="shared" si="13"/>
        <v>70.34</v>
      </c>
      <c r="O423" s="153">
        <v>21.11</v>
      </c>
      <c r="P423" s="153">
        <v>21.09</v>
      </c>
      <c r="Q423" s="153">
        <v>21.1</v>
      </c>
      <c r="R423" s="153">
        <v>20.99</v>
      </c>
      <c r="S423" s="4"/>
      <c r="U423" s="147" t="s">
        <v>500</v>
      </c>
      <c r="V423" s="11"/>
      <c r="W423" s="4"/>
      <c r="X423" s="12"/>
      <c r="Y423" s="14"/>
      <c r="Z423" s="4"/>
      <c r="AA423" s="13"/>
      <c r="AB423" s="11"/>
      <c r="AC423" s="4"/>
      <c r="AD423" s="12"/>
      <c r="AE423" s="13"/>
      <c r="AF423" s="14">
        <v>5.0479000000000003</v>
      </c>
      <c r="AG423" s="133"/>
      <c r="AI423" s="84"/>
      <c r="AL423" s="64">
        <v>4.1735074000000001</v>
      </c>
      <c r="AM423" s="56">
        <v>13.879999999999979</v>
      </c>
      <c r="AN423" s="56">
        <v>15.78</v>
      </c>
      <c r="AO423" s="62">
        <v>21.8</v>
      </c>
      <c r="AQ423" s="64">
        <v>4.0813901333333336</v>
      </c>
      <c r="AR423" s="56">
        <v>13.20000000000014</v>
      </c>
      <c r="AS423" s="56">
        <v>14.58000000000013</v>
      </c>
      <c r="AT423" s="62">
        <v>18.4800000000001</v>
      </c>
      <c r="AV423" s="64">
        <v>3.728686366666667</v>
      </c>
      <c r="AW423" s="56">
        <v>12.88</v>
      </c>
      <c r="AX423" s="56">
        <v>14.25999999999998</v>
      </c>
      <c r="AY423" s="62">
        <v>18.86000000000001</v>
      </c>
      <c r="BA423" s="64">
        <v>3.1880694666666671</v>
      </c>
      <c r="BB423" s="56">
        <v>15.51999999999998</v>
      </c>
      <c r="BC423" s="56">
        <v>17.899999999999942</v>
      </c>
      <c r="BD423" s="62">
        <v>29.499999999999989</v>
      </c>
      <c r="BF423" s="64">
        <v>2.9270475999999999</v>
      </c>
      <c r="BG423" s="56">
        <v>19.36</v>
      </c>
      <c r="BH423" s="56">
        <v>26.29999999999999</v>
      </c>
      <c r="BI423" s="62">
        <v>56.02</v>
      </c>
      <c r="BJ423" s="70"/>
      <c r="BK423" s="51"/>
    </row>
    <row r="424" spans="1:63" x14ac:dyDescent="0.4">
      <c r="A424" s="11" t="s">
        <v>501</v>
      </c>
      <c r="B424" s="4"/>
      <c r="C424" s="4"/>
      <c r="D424" s="4"/>
      <c r="E424" s="12"/>
      <c r="G424" s="147" t="s">
        <v>501</v>
      </c>
      <c r="H424" s="159">
        <v>70.051000000000002</v>
      </c>
      <c r="I424" s="153">
        <v>70.38</v>
      </c>
      <c r="J424" s="153">
        <v>70.3</v>
      </c>
      <c r="K424" s="153">
        <v>70.33</v>
      </c>
      <c r="L424" s="153">
        <v>70.290000000000006</v>
      </c>
      <c r="M424" s="80">
        <f t="shared" si="12"/>
        <v>70.38</v>
      </c>
      <c r="N424" s="80">
        <f t="shared" si="13"/>
        <v>70.290000000000006</v>
      </c>
      <c r="O424" s="153">
        <v>21.21</v>
      </c>
      <c r="P424" s="153">
        <v>21.11</v>
      </c>
      <c r="Q424" s="153">
        <v>21.12</v>
      </c>
      <c r="R424" s="153">
        <v>21.08</v>
      </c>
      <c r="S424" s="4"/>
      <c r="U424" s="147" t="s">
        <v>501</v>
      </c>
      <c r="V424" s="11"/>
      <c r="W424" s="4"/>
      <c r="X424" s="12"/>
      <c r="Y424" s="14"/>
      <c r="Z424" s="4"/>
      <c r="AA424" s="13"/>
      <c r="AB424" s="11"/>
      <c r="AC424" s="4"/>
      <c r="AD424" s="12"/>
      <c r="AE424" s="13"/>
      <c r="AF424" s="14">
        <v>5.0124000000000004</v>
      </c>
      <c r="AG424" s="133"/>
      <c r="AI424" s="84"/>
      <c r="AL424" s="64">
        <v>4.1732033333333316</v>
      </c>
      <c r="AM424" s="56">
        <v>13.85999999999985</v>
      </c>
      <c r="AN424" s="56">
        <v>15.73999999999991</v>
      </c>
      <c r="AO424" s="62">
        <v>21.77999999999987</v>
      </c>
      <c r="AQ424" s="64">
        <v>4.0813908500000009</v>
      </c>
      <c r="AR424" s="56">
        <v>13.24000000000005</v>
      </c>
      <c r="AS424" s="56">
        <v>14.60000000000008</v>
      </c>
      <c r="AT424" s="62">
        <v>18.520000000000088</v>
      </c>
      <c r="AV424" s="64">
        <v>3.7293745833333332</v>
      </c>
      <c r="AW424" s="56">
        <v>12.93999999999995</v>
      </c>
      <c r="AX424" s="56">
        <v>14.319999999999929</v>
      </c>
      <c r="AY424" s="62">
        <v>18.940000000000001</v>
      </c>
      <c r="BA424" s="64">
        <v>3.1905804</v>
      </c>
      <c r="BB424" s="56">
        <v>16.05999999999996</v>
      </c>
      <c r="BC424" s="56">
        <v>18.459999999999969</v>
      </c>
      <c r="BD424" s="62">
        <v>30.119999999999969</v>
      </c>
      <c r="BF424" s="64">
        <v>2.9354991500000001</v>
      </c>
      <c r="BG424" s="56">
        <v>20.099999999999959</v>
      </c>
      <c r="BH424" s="56">
        <v>26.959999999999962</v>
      </c>
      <c r="BI424" s="62">
        <v>56.160000000000032</v>
      </c>
      <c r="BJ424" s="70"/>
      <c r="BK424" s="51"/>
    </row>
    <row r="425" spans="1:63" x14ac:dyDescent="0.4">
      <c r="A425" s="11" t="s">
        <v>502</v>
      </c>
      <c r="B425" s="4"/>
      <c r="C425" s="4"/>
      <c r="D425" s="4"/>
      <c r="E425" s="12"/>
      <c r="G425" s="147" t="s">
        <v>502</v>
      </c>
      <c r="H425" s="159">
        <v>70.037999999999997</v>
      </c>
      <c r="I425" s="153">
        <v>70.39</v>
      </c>
      <c r="J425" s="153">
        <v>70.349999999999994</v>
      </c>
      <c r="K425" s="153">
        <v>70.3</v>
      </c>
      <c r="L425" s="153">
        <v>70.36</v>
      </c>
      <c r="M425" s="80">
        <f t="shared" si="12"/>
        <v>70.39</v>
      </c>
      <c r="N425" s="80">
        <f t="shared" si="13"/>
        <v>70.3</v>
      </c>
      <c r="O425" s="153">
        <v>21.21</v>
      </c>
      <c r="P425" s="153">
        <v>21.12</v>
      </c>
      <c r="Q425" s="153">
        <v>21.17</v>
      </c>
      <c r="R425" s="153">
        <v>21.05</v>
      </c>
      <c r="S425" s="4"/>
      <c r="U425" s="147" t="s">
        <v>502</v>
      </c>
      <c r="V425" s="11"/>
      <c r="W425" s="4"/>
      <c r="X425" s="12"/>
      <c r="Y425" s="14"/>
      <c r="Z425" s="4"/>
      <c r="AA425" s="13"/>
      <c r="AB425" s="11"/>
      <c r="AC425" s="4"/>
      <c r="AD425" s="12"/>
      <c r="AE425" s="13"/>
      <c r="AF425" s="14">
        <v>5.0339</v>
      </c>
      <c r="AG425" s="133"/>
      <c r="AI425" s="84"/>
      <c r="AL425" s="64">
        <v>4.1726735499999998</v>
      </c>
      <c r="AM425" s="56">
        <v>14.780000000000021</v>
      </c>
      <c r="AN425" s="56">
        <v>16.779999999999969</v>
      </c>
      <c r="AO425" s="62">
        <v>22.94</v>
      </c>
      <c r="AQ425" s="64">
        <v>4.0816582499999994</v>
      </c>
      <c r="AR425" s="56">
        <v>14.48</v>
      </c>
      <c r="AS425" s="56">
        <v>15.95999999999993</v>
      </c>
      <c r="AT425" s="62">
        <v>20.05999999999997</v>
      </c>
      <c r="AV425" s="64">
        <v>3.7283268000000001</v>
      </c>
      <c r="AW425" s="56">
        <v>14.200000000000029</v>
      </c>
      <c r="AX425" s="56">
        <v>15.72000000000005</v>
      </c>
      <c r="AY425" s="62">
        <v>20.560000000000041</v>
      </c>
      <c r="BA425" s="64">
        <v>3.1812523499999998</v>
      </c>
      <c r="BB425" s="56">
        <v>16.94000000000004</v>
      </c>
      <c r="BC425" s="56">
        <v>19.460000000000029</v>
      </c>
      <c r="BD425" s="62">
        <v>31.700000000000021</v>
      </c>
      <c r="BF425" s="64">
        <v>2.92937505</v>
      </c>
      <c r="BG425" s="56">
        <v>20.760000000000019</v>
      </c>
      <c r="BH425" s="56">
        <v>27.46000000000004</v>
      </c>
      <c r="BI425" s="62">
        <v>56.82</v>
      </c>
      <c r="BJ425" s="70"/>
      <c r="BK425" s="51"/>
    </row>
    <row r="426" spans="1:63" x14ac:dyDescent="0.4">
      <c r="A426" s="11" t="s">
        <v>503</v>
      </c>
      <c r="B426" s="4"/>
      <c r="C426" s="4"/>
      <c r="D426" s="4"/>
      <c r="E426" s="12"/>
      <c r="G426" s="147" t="s">
        <v>503</v>
      </c>
      <c r="H426" s="159">
        <v>69.893000000000001</v>
      </c>
      <c r="I426" s="153">
        <v>70.349999999999994</v>
      </c>
      <c r="J426" s="153">
        <v>70.319999999999993</v>
      </c>
      <c r="K426" s="153">
        <v>70.28</v>
      </c>
      <c r="L426" s="153">
        <v>70.36</v>
      </c>
      <c r="M426" s="80">
        <f t="shared" si="12"/>
        <v>70.36</v>
      </c>
      <c r="N426" s="80">
        <f t="shared" si="13"/>
        <v>70.28</v>
      </c>
      <c r="O426" s="153">
        <v>21.21</v>
      </c>
      <c r="P426" s="153">
        <v>21.16</v>
      </c>
      <c r="Q426" s="153">
        <v>21.15</v>
      </c>
      <c r="R426" s="153">
        <v>21.06</v>
      </c>
      <c r="S426" s="4"/>
      <c r="U426" s="147" t="s">
        <v>503</v>
      </c>
      <c r="V426" s="11"/>
      <c r="W426" s="4"/>
      <c r="X426" s="12"/>
      <c r="Y426" s="14"/>
      <c r="Z426" s="4"/>
      <c r="AA426" s="13"/>
      <c r="AB426" s="11"/>
      <c r="AC426" s="4"/>
      <c r="AD426" s="12"/>
      <c r="AE426" s="13"/>
      <c r="AF426" s="14">
        <v>5.0335999999999999</v>
      </c>
      <c r="AG426" s="133"/>
      <c r="AI426" s="84"/>
      <c r="AL426" s="64">
        <v>4.1733557166666664</v>
      </c>
      <c r="AM426" s="56">
        <v>13.840000000000069</v>
      </c>
      <c r="AN426" s="56">
        <v>15.740000000000091</v>
      </c>
      <c r="AO426" s="62">
        <v>21.860000000000031</v>
      </c>
      <c r="AQ426" s="64">
        <v>4.0815533666666672</v>
      </c>
      <c r="AR426" s="56">
        <v>13.320000000000039</v>
      </c>
      <c r="AS426" s="56">
        <v>14.67999999999989</v>
      </c>
      <c r="AT426" s="62">
        <v>18.599999999999991</v>
      </c>
      <c r="AV426" s="64">
        <v>3.7267543666666669</v>
      </c>
      <c r="AW426" s="56">
        <v>13.019999999999939</v>
      </c>
      <c r="AX426" s="56">
        <v>14.400000000000009</v>
      </c>
      <c r="AY426" s="62">
        <v>19.039999999999949</v>
      </c>
      <c r="BA426" s="64">
        <v>3.185086516666666</v>
      </c>
      <c r="BB426" s="56">
        <v>15.82000000000008</v>
      </c>
      <c r="BC426" s="56">
        <v>18.24000000000003</v>
      </c>
      <c r="BD426" s="62">
        <v>30.120000000000061</v>
      </c>
      <c r="BF426" s="64">
        <v>2.941788583333333</v>
      </c>
      <c r="BG426" s="56">
        <v>19.399999999999999</v>
      </c>
      <c r="BH426" s="56">
        <v>26.06000000000002</v>
      </c>
      <c r="BI426" s="62">
        <v>54.240000000000073</v>
      </c>
      <c r="BJ426" s="70"/>
      <c r="BK426" s="51"/>
    </row>
    <row r="427" spans="1:63" x14ac:dyDescent="0.4">
      <c r="A427" s="11" t="s">
        <v>504</v>
      </c>
      <c r="B427" s="4"/>
      <c r="C427" s="4"/>
      <c r="D427" s="4"/>
      <c r="E427" s="12"/>
      <c r="G427" s="147" t="s">
        <v>504</v>
      </c>
      <c r="H427" s="159">
        <v>69.968999999999994</v>
      </c>
      <c r="I427" s="153">
        <v>70.34</v>
      </c>
      <c r="J427" s="153">
        <v>70.37</v>
      </c>
      <c r="K427" s="153">
        <v>70.34</v>
      </c>
      <c r="L427" s="153">
        <v>70.38</v>
      </c>
      <c r="M427" s="80">
        <f t="shared" si="12"/>
        <v>70.38</v>
      </c>
      <c r="N427" s="80">
        <f t="shared" si="13"/>
        <v>70.34</v>
      </c>
      <c r="O427" s="153">
        <v>21.21</v>
      </c>
      <c r="P427" s="153">
        <v>21.11</v>
      </c>
      <c r="Q427" s="153">
        <v>21.17</v>
      </c>
      <c r="R427" s="153">
        <v>21.11</v>
      </c>
      <c r="S427" s="4"/>
      <c r="U427" s="147" t="s">
        <v>504</v>
      </c>
      <c r="V427" s="11"/>
      <c r="W427" s="4"/>
      <c r="X427" s="12"/>
      <c r="Y427" s="14"/>
      <c r="Z427" s="4"/>
      <c r="AA427" s="13"/>
      <c r="AB427" s="11"/>
      <c r="AC427" s="4"/>
      <c r="AD427" s="12"/>
      <c r="AE427" s="13"/>
      <c r="AF427" s="14">
        <v>5.0610999999999997</v>
      </c>
      <c r="AG427" s="133"/>
      <c r="AI427" s="84"/>
      <c r="AL427" s="64">
        <v>4.1735804833333328</v>
      </c>
      <c r="AM427" s="56">
        <v>13.759999999999909</v>
      </c>
      <c r="AN427" s="56">
        <v>15.65999999999992</v>
      </c>
      <c r="AO427" s="62">
        <v>21.78000000000004</v>
      </c>
      <c r="AQ427" s="64">
        <v>4.08194005</v>
      </c>
      <c r="AR427" s="56">
        <v>13.34</v>
      </c>
      <c r="AS427" s="56">
        <v>14.739999999999929</v>
      </c>
      <c r="AT427" s="62">
        <v>18.63999999999999</v>
      </c>
      <c r="AV427" s="64">
        <v>3.727993066666667</v>
      </c>
      <c r="AW427" s="56">
        <v>13.060000000000031</v>
      </c>
      <c r="AX427" s="56">
        <v>14.45999999999996</v>
      </c>
      <c r="AY427" s="62">
        <v>19.09999999999998</v>
      </c>
      <c r="BA427" s="64">
        <v>3.1879532500000001</v>
      </c>
      <c r="BB427" s="56">
        <v>15.78</v>
      </c>
      <c r="BC427" s="56">
        <v>18.18</v>
      </c>
      <c r="BD427" s="62">
        <v>29.980000000000029</v>
      </c>
      <c r="BF427" s="64">
        <v>2.9407324333333329</v>
      </c>
      <c r="BG427" s="56">
        <v>19.420000000000041</v>
      </c>
      <c r="BH427" s="56">
        <v>26.119999999999969</v>
      </c>
      <c r="BI427" s="62">
        <v>54.539999999999992</v>
      </c>
      <c r="BJ427" s="70"/>
      <c r="BK427" s="51"/>
    </row>
    <row r="428" spans="1:63" x14ac:dyDescent="0.4">
      <c r="A428" s="11" t="s">
        <v>505</v>
      </c>
      <c r="B428" s="4"/>
      <c r="C428" s="4"/>
      <c r="D428" s="4"/>
      <c r="E428" s="12"/>
      <c r="G428" s="147" t="s">
        <v>505</v>
      </c>
      <c r="H428" s="159">
        <v>69.981999999999999</v>
      </c>
      <c r="I428" s="153">
        <v>70.34</v>
      </c>
      <c r="J428" s="153">
        <v>70.34</v>
      </c>
      <c r="K428" s="153">
        <v>70.38</v>
      </c>
      <c r="L428" s="153">
        <v>70.319999999999993</v>
      </c>
      <c r="M428" s="80">
        <f t="shared" si="12"/>
        <v>70.38</v>
      </c>
      <c r="N428" s="80">
        <f t="shared" si="13"/>
        <v>70.319999999999993</v>
      </c>
      <c r="O428" s="153">
        <v>21.13</v>
      </c>
      <c r="P428" s="153">
        <v>21.1</v>
      </c>
      <c r="Q428" s="153">
        <v>21.14</v>
      </c>
      <c r="R428" s="153">
        <v>21.01</v>
      </c>
      <c r="S428" s="4"/>
      <c r="U428" s="147" t="s">
        <v>505</v>
      </c>
      <c r="V428" s="11"/>
      <c r="W428" s="4"/>
      <c r="X428" s="12"/>
      <c r="Y428" s="14"/>
      <c r="Z428" s="4"/>
      <c r="AA428" s="13"/>
      <c r="AB428" s="11"/>
      <c r="AC428" s="4"/>
      <c r="AD428" s="12"/>
      <c r="AE428" s="13"/>
      <c r="AF428" s="14">
        <v>5.0392999999999999</v>
      </c>
      <c r="AG428" s="133"/>
      <c r="AI428" s="84"/>
      <c r="AL428" s="64">
        <v>4.173913333333334</v>
      </c>
      <c r="AM428" s="56">
        <v>13.57999999999997</v>
      </c>
      <c r="AN428" s="56">
        <v>15.460000000000029</v>
      </c>
      <c r="AO428" s="62">
        <v>21.519999999999939</v>
      </c>
      <c r="AQ428" s="64">
        <v>4.08330985</v>
      </c>
      <c r="AR428" s="56">
        <v>13.2200000000001</v>
      </c>
      <c r="AS428" s="56">
        <v>14.56</v>
      </c>
      <c r="AT428" s="62">
        <v>18.440000000000008</v>
      </c>
      <c r="AV428" s="64">
        <v>3.7298609666666671</v>
      </c>
      <c r="AW428" s="56">
        <v>12.840000000000011</v>
      </c>
      <c r="AX428" s="56">
        <v>14.220000000000081</v>
      </c>
      <c r="AY428" s="62">
        <v>18.820000000000011</v>
      </c>
      <c r="BA428" s="64">
        <v>3.19373365</v>
      </c>
      <c r="BB428" s="56">
        <v>15.479999999999981</v>
      </c>
      <c r="BC428" s="56">
        <v>17.839999999999989</v>
      </c>
      <c r="BD428" s="62">
        <v>29.300000000000011</v>
      </c>
      <c r="BF428" s="64">
        <v>2.9346915166666672</v>
      </c>
      <c r="BG428" s="56">
        <v>19.139999999999979</v>
      </c>
      <c r="BH428" s="56">
        <v>25.780000000000051</v>
      </c>
      <c r="BI428" s="62">
        <v>54.499999999999993</v>
      </c>
      <c r="BJ428" s="70"/>
      <c r="BK428" s="51"/>
    </row>
    <row r="429" spans="1:63" x14ac:dyDescent="0.4">
      <c r="A429" s="11" t="s">
        <v>506</v>
      </c>
      <c r="B429" s="4"/>
      <c r="C429" s="4"/>
      <c r="D429" s="4"/>
      <c r="E429" s="12"/>
      <c r="G429" s="147" t="s">
        <v>506</v>
      </c>
      <c r="H429" s="159">
        <v>70.081999999999994</v>
      </c>
      <c r="I429" s="153">
        <v>70.290000000000006</v>
      </c>
      <c r="J429" s="153">
        <v>70.27</v>
      </c>
      <c r="K429" s="153">
        <v>70.37</v>
      </c>
      <c r="L429" s="153">
        <v>70.349999999999994</v>
      </c>
      <c r="M429" s="80">
        <f t="shared" si="12"/>
        <v>70.37</v>
      </c>
      <c r="N429" s="80">
        <f t="shared" si="13"/>
        <v>70.27</v>
      </c>
      <c r="O429" s="153">
        <v>21.2</v>
      </c>
      <c r="P429" s="153">
        <v>21.14</v>
      </c>
      <c r="Q429" s="153">
        <v>21.06</v>
      </c>
      <c r="R429" s="153">
        <v>21.05</v>
      </c>
      <c r="S429" s="4"/>
      <c r="U429" s="147" t="s">
        <v>506</v>
      </c>
      <c r="V429" s="11"/>
      <c r="W429" s="4"/>
      <c r="X429" s="12"/>
      <c r="Y429" s="14"/>
      <c r="Z429" s="4"/>
      <c r="AA429" s="13"/>
      <c r="AB429" s="11"/>
      <c r="AC429" s="4"/>
      <c r="AD429" s="12"/>
      <c r="AE429" s="13"/>
      <c r="AF429" s="14">
        <v>5.0286</v>
      </c>
      <c r="AG429" s="133"/>
      <c r="AI429" s="84"/>
      <c r="AL429" s="64">
        <v>4.1731494499999986</v>
      </c>
      <c r="AM429" s="56">
        <v>14.15999999999986</v>
      </c>
      <c r="AN429" s="56">
        <v>16.059999999999871</v>
      </c>
      <c r="AO429" s="62">
        <v>22.23999999999986</v>
      </c>
      <c r="AQ429" s="64">
        <v>4.0823706999999994</v>
      </c>
      <c r="AR429" s="56">
        <v>13.81999999999994</v>
      </c>
      <c r="AS429" s="56">
        <v>15.240000000000011</v>
      </c>
      <c r="AT429" s="62">
        <v>19.25999999999997</v>
      </c>
      <c r="AV429" s="64">
        <v>3.728196833333334</v>
      </c>
      <c r="AW429" s="56">
        <v>13.68</v>
      </c>
      <c r="AX429" s="56">
        <v>15.120000000000021</v>
      </c>
      <c r="AY429" s="62">
        <v>19.880000000000031</v>
      </c>
      <c r="BA429" s="64">
        <v>3.189055516666667</v>
      </c>
      <c r="BB429" s="56">
        <v>16.839999999999922</v>
      </c>
      <c r="BC429" s="56">
        <v>19.319999999999919</v>
      </c>
      <c r="BD429" s="62">
        <v>31.37999999999996</v>
      </c>
      <c r="BF429" s="64">
        <v>2.9444775500000002</v>
      </c>
      <c r="BG429" s="56">
        <v>20.58</v>
      </c>
      <c r="BH429" s="56">
        <v>27.36000000000001</v>
      </c>
      <c r="BI429" s="62">
        <v>55.719999999999992</v>
      </c>
      <c r="BJ429" s="70"/>
      <c r="BK429" s="51"/>
    </row>
    <row r="430" spans="1:63" x14ac:dyDescent="0.4">
      <c r="A430" s="11" t="s">
        <v>507</v>
      </c>
      <c r="B430" s="4"/>
      <c r="C430" s="4"/>
      <c r="D430" s="4"/>
      <c r="E430" s="12"/>
      <c r="G430" s="147" t="s">
        <v>507</v>
      </c>
      <c r="H430" s="159">
        <v>69.914000000000001</v>
      </c>
      <c r="I430" s="153">
        <v>70.36</v>
      </c>
      <c r="J430" s="153">
        <v>70.3</v>
      </c>
      <c r="K430" s="153">
        <v>70.290000000000006</v>
      </c>
      <c r="L430" s="153">
        <v>70.27</v>
      </c>
      <c r="M430" s="80">
        <f t="shared" si="12"/>
        <v>70.36</v>
      </c>
      <c r="N430" s="80">
        <f t="shared" si="13"/>
        <v>70.27</v>
      </c>
      <c r="O430" s="153">
        <v>21.21</v>
      </c>
      <c r="P430" s="153">
        <v>21.03</v>
      </c>
      <c r="Q430" s="153">
        <v>21.13</v>
      </c>
      <c r="R430" s="153">
        <v>21.11</v>
      </c>
      <c r="S430" s="4"/>
      <c r="U430" s="147" t="s">
        <v>507</v>
      </c>
      <c r="V430" s="11"/>
      <c r="W430" s="4"/>
      <c r="X430" s="12"/>
      <c r="Y430" s="14"/>
      <c r="Z430" s="4"/>
      <c r="AA430" s="13"/>
      <c r="AB430" s="11"/>
      <c r="AC430" s="4"/>
      <c r="AD430" s="12"/>
      <c r="AE430" s="13"/>
      <c r="AF430" s="14">
        <v>5.0336999999999996</v>
      </c>
      <c r="AG430" s="133"/>
      <c r="AI430" s="84"/>
      <c r="AL430" s="64">
        <v>4.1733570000000002</v>
      </c>
      <c r="AM430" s="56">
        <v>13.78000000000004</v>
      </c>
      <c r="AN430" s="56">
        <v>15.680000000000049</v>
      </c>
      <c r="AO430" s="62">
        <v>21.78000000000004</v>
      </c>
      <c r="AQ430" s="64">
        <v>4.0822961000000006</v>
      </c>
      <c r="AR430" s="56">
        <v>13.439999999999941</v>
      </c>
      <c r="AS430" s="56">
        <v>14.799999999999971</v>
      </c>
      <c r="AT430" s="62">
        <v>18.75999999999998</v>
      </c>
      <c r="AV430" s="64">
        <v>3.7284717000000001</v>
      </c>
      <c r="AW430" s="56">
        <v>13.27999999999996</v>
      </c>
      <c r="AX430" s="56">
        <v>14.700000000000021</v>
      </c>
      <c r="AY430" s="62">
        <v>19.379999999999949</v>
      </c>
      <c r="BA430" s="64">
        <v>3.186849033333333</v>
      </c>
      <c r="BB430" s="56">
        <v>16.340000000000021</v>
      </c>
      <c r="BC430" s="56">
        <v>18.799999999999969</v>
      </c>
      <c r="BD430" s="62">
        <v>30.759999999999991</v>
      </c>
      <c r="BF430" s="64">
        <v>2.9398435666666658</v>
      </c>
      <c r="BG430" s="56">
        <v>20.000000000000021</v>
      </c>
      <c r="BH430" s="56">
        <v>26.799999999999979</v>
      </c>
      <c r="BI430" s="62">
        <v>55.499999999999972</v>
      </c>
      <c r="BJ430" s="70"/>
      <c r="BK430" s="51"/>
    </row>
    <row r="431" spans="1:63" x14ac:dyDescent="0.4">
      <c r="A431" s="11" t="s">
        <v>508</v>
      </c>
      <c r="B431" s="4"/>
      <c r="C431" s="4"/>
      <c r="D431" s="4"/>
      <c r="E431" s="12"/>
      <c r="G431" s="147" t="s">
        <v>508</v>
      </c>
      <c r="H431" s="159">
        <v>69.986000000000004</v>
      </c>
      <c r="I431" s="153">
        <v>70.319999999999993</v>
      </c>
      <c r="J431" s="153">
        <v>70.349999999999994</v>
      </c>
      <c r="K431" s="153">
        <v>70.319999999999993</v>
      </c>
      <c r="L431" s="153">
        <v>70.33</v>
      </c>
      <c r="M431" s="80">
        <f t="shared" si="12"/>
        <v>70.349999999999994</v>
      </c>
      <c r="N431" s="80">
        <f t="shared" si="13"/>
        <v>70.319999999999993</v>
      </c>
      <c r="O431" s="153">
        <v>21.18</v>
      </c>
      <c r="P431" s="153">
        <v>21.12</v>
      </c>
      <c r="Q431" s="153">
        <v>21.12</v>
      </c>
      <c r="R431" s="153">
        <v>21.04</v>
      </c>
      <c r="S431" s="4"/>
      <c r="U431" s="147" t="s">
        <v>508</v>
      </c>
      <c r="V431" s="11"/>
      <c r="W431" s="4"/>
      <c r="X431" s="12"/>
      <c r="Y431" s="14"/>
      <c r="Z431" s="4"/>
      <c r="AA431" s="13"/>
      <c r="AB431" s="11"/>
      <c r="AC431" s="4"/>
      <c r="AD431" s="12"/>
      <c r="AE431" s="13"/>
      <c r="AF431" s="14">
        <v>5.0118999999999998</v>
      </c>
      <c r="AG431" s="133"/>
      <c r="AI431" s="84"/>
      <c r="AL431" s="64">
        <v>4.1728426000000001</v>
      </c>
      <c r="AM431" s="56">
        <v>13.999999999999879</v>
      </c>
      <c r="AN431" s="56">
        <v>15.89999999999989</v>
      </c>
      <c r="AO431" s="62">
        <v>21.919999999999899</v>
      </c>
      <c r="AQ431" s="64">
        <v>4.0821690833333326</v>
      </c>
      <c r="AR431" s="56">
        <v>13.56000000000002</v>
      </c>
      <c r="AS431" s="56">
        <v>14.920000000000041</v>
      </c>
      <c r="AT431" s="62">
        <v>18.860000000000099</v>
      </c>
      <c r="AV431" s="64">
        <v>3.7289275833333329</v>
      </c>
      <c r="AW431" s="56">
        <v>13.22000000000001</v>
      </c>
      <c r="AX431" s="56">
        <v>14.620000000000029</v>
      </c>
      <c r="AY431" s="62">
        <v>19.240000000000009</v>
      </c>
      <c r="BA431" s="64">
        <v>3.1880805666666681</v>
      </c>
      <c r="BB431" s="56">
        <v>16.12</v>
      </c>
      <c r="BC431" s="56">
        <v>18.52</v>
      </c>
      <c r="BD431" s="62">
        <v>30.319999999999951</v>
      </c>
      <c r="BF431" s="64">
        <v>2.9366621333333329</v>
      </c>
      <c r="BG431" s="56">
        <v>19.78</v>
      </c>
      <c r="BH431" s="56">
        <v>26.819999999999929</v>
      </c>
      <c r="BI431" s="62">
        <v>55.859999999999928</v>
      </c>
      <c r="BJ431" s="70"/>
      <c r="BK431" s="51"/>
    </row>
    <row r="432" spans="1:63" x14ac:dyDescent="0.4">
      <c r="A432" s="11" t="s">
        <v>509</v>
      </c>
      <c r="B432" s="4"/>
      <c r="C432" s="4"/>
      <c r="D432" s="4"/>
      <c r="E432" s="12"/>
      <c r="G432" s="147" t="s">
        <v>509</v>
      </c>
      <c r="H432" s="159">
        <v>69.988</v>
      </c>
      <c r="I432" s="153">
        <v>70.39</v>
      </c>
      <c r="J432" s="153">
        <v>70.319999999999993</v>
      </c>
      <c r="K432" s="153">
        <v>70.34</v>
      </c>
      <c r="L432" s="153">
        <v>70.37</v>
      </c>
      <c r="M432" s="80">
        <f t="shared" si="12"/>
        <v>70.39</v>
      </c>
      <c r="N432" s="80">
        <f t="shared" si="13"/>
        <v>70.319999999999993</v>
      </c>
      <c r="O432" s="153">
        <v>21.16</v>
      </c>
      <c r="P432" s="153">
        <v>21.1</v>
      </c>
      <c r="Q432" s="153">
        <v>21.16</v>
      </c>
      <c r="R432" s="153">
        <v>21.11</v>
      </c>
      <c r="S432" s="4"/>
      <c r="U432" s="147" t="s">
        <v>509</v>
      </c>
      <c r="V432" s="11"/>
      <c r="W432" s="4"/>
      <c r="X432" s="12"/>
      <c r="Y432" s="14"/>
      <c r="Z432" s="4"/>
      <c r="AA432" s="13"/>
      <c r="AB432" s="11"/>
      <c r="AC432" s="4"/>
      <c r="AD432" s="12"/>
      <c r="AE432" s="13"/>
      <c r="AF432" s="14">
        <v>5.0212000000000003</v>
      </c>
      <c r="AG432" s="133"/>
      <c r="AI432" s="84"/>
      <c r="AL432" s="64">
        <v>4.1725269166666674</v>
      </c>
      <c r="AM432" s="56">
        <v>14.76000000000006</v>
      </c>
      <c r="AN432" s="56">
        <v>16.820000000000061</v>
      </c>
      <c r="AO432" s="62">
        <v>23.06000000000008</v>
      </c>
      <c r="AQ432" s="64">
        <v>4.0839197333333326</v>
      </c>
      <c r="AR432" s="56">
        <v>14.620000000000029</v>
      </c>
      <c r="AS432" s="56">
        <v>16.119999999999909</v>
      </c>
      <c r="AT432" s="62">
        <v>20.259999999999941</v>
      </c>
      <c r="AV432" s="64">
        <v>3.7305676499999998</v>
      </c>
      <c r="AW432" s="56">
        <v>14.23999999999994</v>
      </c>
      <c r="AX432" s="56">
        <v>15.75999999999995</v>
      </c>
      <c r="AY432" s="62">
        <v>20.61999999999999</v>
      </c>
      <c r="BA432" s="64">
        <v>3.1849342666666671</v>
      </c>
      <c r="BB432" s="56">
        <v>17.22000000000001</v>
      </c>
      <c r="BC432" s="56">
        <v>19.78</v>
      </c>
      <c r="BD432" s="62">
        <v>32.099999999999973</v>
      </c>
      <c r="BF432" s="64">
        <v>2.9351286499999998</v>
      </c>
      <c r="BG432" s="56">
        <v>20.920000000000009</v>
      </c>
      <c r="BH432" s="56">
        <v>27.740000000000009</v>
      </c>
      <c r="BI432" s="62">
        <v>56.86</v>
      </c>
      <c r="BJ432" s="70"/>
      <c r="BK432" s="51"/>
    </row>
    <row r="433" spans="1:63" x14ac:dyDescent="0.4">
      <c r="A433" s="11" t="s">
        <v>510</v>
      </c>
      <c r="B433" s="4"/>
      <c r="C433" s="4"/>
      <c r="D433" s="4"/>
      <c r="E433" s="12"/>
      <c r="G433" s="147" t="s">
        <v>510</v>
      </c>
      <c r="H433" s="159">
        <v>69.843000000000004</v>
      </c>
      <c r="I433" s="153">
        <v>70.319999999999993</v>
      </c>
      <c r="J433" s="153">
        <v>70.349999999999994</v>
      </c>
      <c r="K433" s="153">
        <v>70.38</v>
      </c>
      <c r="L433" s="153">
        <v>70.39</v>
      </c>
      <c r="M433" s="80">
        <f t="shared" si="12"/>
        <v>70.39</v>
      </c>
      <c r="N433" s="80">
        <f t="shared" si="13"/>
        <v>70.319999999999993</v>
      </c>
      <c r="O433" s="153">
        <v>21.17</v>
      </c>
      <c r="P433" s="153">
        <v>21.07</v>
      </c>
      <c r="Q433" s="153">
        <v>21.14</v>
      </c>
      <c r="R433" s="153">
        <v>21.1</v>
      </c>
      <c r="S433" s="4"/>
      <c r="U433" s="147" t="s">
        <v>510</v>
      </c>
      <c r="V433" s="11"/>
      <c r="W433" s="4"/>
      <c r="X433" s="12"/>
      <c r="Y433" s="14"/>
      <c r="Z433" s="4"/>
      <c r="AA433" s="13"/>
      <c r="AB433" s="11"/>
      <c r="AC433" s="4"/>
      <c r="AD433" s="12"/>
      <c r="AE433" s="13"/>
      <c r="AF433" s="14">
        <v>5.0312999999999999</v>
      </c>
      <c r="AG433" s="133"/>
      <c r="AI433" s="84"/>
      <c r="AL433" s="64">
        <v>4.1722227333333333</v>
      </c>
      <c r="AM433" s="56">
        <v>14.620000000000029</v>
      </c>
      <c r="AN433" s="56">
        <v>16.61999999999999</v>
      </c>
      <c r="AO433" s="62">
        <v>22.65999999999995</v>
      </c>
      <c r="AQ433" s="64">
        <v>4.0827763666666668</v>
      </c>
      <c r="AR433" s="56">
        <v>14.279999999999941</v>
      </c>
      <c r="AS433" s="56">
        <v>15.73999999999991</v>
      </c>
      <c r="AT433" s="62">
        <v>19.81999999999999</v>
      </c>
      <c r="AV433" s="64">
        <v>3.72917465</v>
      </c>
      <c r="AW433" s="56">
        <v>13.839999999999989</v>
      </c>
      <c r="AX433" s="56">
        <v>15.32</v>
      </c>
      <c r="AY433" s="62">
        <v>20.099999999999959</v>
      </c>
      <c r="BA433" s="64">
        <v>3.1855093000000001</v>
      </c>
      <c r="BB433" s="56">
        <v>16.88000000000001</v>
      </c>
      <c r="BC433" s="56">
        <v>19.460000000000029</v>
      </c>
      <c r="BD433" s="62">
        <v>31.639999999999979</v>
      </c>
      <c r="BF433" s="64">
        <v>2.9366573333333328</v>
      </c>
      <c r="BG433" s="56">
        <v>20.499999999999918</v>
      </c>
      <c r="BH433" s="56">
        <v>27.419999999999959</v>
      </c>
      <c r="BI433" s="62">
        <v>56.459999999999951</v>
      </c>
      <c r="BJ433" s="70"/>
      <c r="BK433" s="51"/>
    </row>
    <row r="434" spans="1:63" x14ac:dyDescent="0.4">
      <c r="A434" s="11" t="s">
        <v>511</v>
      </c>
      <c r="B434" s="4"/>
      <c r="C434" s="4"/>
      <c r="D434" s="4"/>
      <c r="E434" s="12"/>
      <c r="G434" s="147" t="s">
        <v>511</v>
      </c>
      <c r="H434" s="159">
        <v>69.915999999999997</v>
      </c>
      <c r="I434" s="153">
        <v>70.290000000000006</v>
      </c>
      <c r="J434" s="153">
        <v>70.39</v>
      </c>
      <c r="K434" s="153">
        <v>70.33</v>
      </c>
      <c r="L434" s="153">
        <v>70.3</v>
      </c>
      <c r="M434" s="80">
        <f t="shared" si="12"/>
        <v>70.39</v>
      </c>
      <c r="N434" s="80">
        <f t="shared" si="13"/>
        <v>70.290000000000006</v>
      </c>
      <c r="O434" s="153">
        <v>21.22</v>
      </c>
      <c r="P434" s="153">
        <v>21.15</v>
      </c>
      <c r="Q434" s="153">
        <v>21.14</v>
      </c>
      <c r="R434" s="153">
        <v>21.12</v>
      </c>
      <c r="S434" s="4"/>
      <c r="U434" s="147" t="s">
        <v>511</v>
      </c>
      <c r="V434" s="11"/>
      <c r="W434" s="4"/>
      <c r="X434" s="12"/>
      <c r="Y434" s="14"/>
      <c r="Z434" s="4"/>
      <c r="AA434" s="13"/>
      <c r="AB434" s="11"/>
      <c r="AC434" s="4"/>
      <c r="AD434" s="12"/>
      <c r="AE434" s="13"/>
      <c r="AF434" s="14">
        <v>5.0366</v>
      </c>
      <c r="AG434" s="133"/>
      <c r="AI434" s="84"/>
      <c r="AL434" s="64">
        <v>4.1727055833333333</v>
      </c>
      <c r="AM434" s="56">
        <v>13.920000000000069</v>
      </c>
      <c r="AN434" s="56">
        <v>15.799999999999949</v>
      </c>
      <c r="AO434" s="62">
        <v>21.819999999999951</v>
      </c>
      <c r="AQ434" s="64">
        <v>4.0801946333333321</v>
      </c>
      <c r="AR434" s="56">
        <v>13.159999999999879</v>
      </c>
      <c r="AS434" s="56">
        <v>14.56</v>
      </c>
      <c r="AT434" s="62">
        <v>18.43999999999992</v>
      </c>
      <c r="AV434" s="64">
        <v>3.7272335666666661</v>
      </c>
      <c r="AW434" s="56">
        <v>12.88</v>
      </c>
      <c r="AX434" s="56">
        <v>14.25999999999998</v>
      </c>
      <c r="AY434" s="62">
        <v>18.86000000000001</v>
      </c>
      <c r="BA434" s="64">
        <v>3.185562766666667</v>
      </c>
      <c r="BB434" s="56">
        <v>15.62000000000001</v>
      </c>
      <c r="BC434" s="56">
        <v>17.999999999999972</v>
      </c>
      <c r="BD434" s="62">
        <v>29.72000000000001</v>
      </c>
      <c r="BF434" s="64">
        <v>2.9357818166666658</v>
      </c>
      <c r="BG434" s="56">
        <v>19.160000000000021</v>
      </c>
      <c r="BH434" s="56">
        <v>25.760000000000009</v>
      </c>
      <c r="BI434" s="62">
        <v>53.77999999999998</v>
      </c>
      <c r="BJ434" s="70"/>
      <c r="BK434" s="51"/>
    </row>
    <row r="435" spans="1:63" x14ac:dyDescent="0.4">
      <c r="A435" s="11" t="s">
        <v>512</v>
      </c>
      <c r="B435" s="4"/>
      <c r="C435" s="4"/>
      <c r="D435" s="4"/>
      <c r="E435" s="12"/>
      <c r="G435" s="147" t="s">
        <v>512</v>
      </c>
      <c r="H435" s="159">
        <v>69.983999999999995</v>
      </c>
      <c r="I435" s="153">
        <v>70.33</v>
      </c>
      <c r="J435" s="153">
        <v>70.400000000000006</v>
      </c>
      <c r="K435" s="153">
        <v>70.33</v>
      </c>
      <c r="L435" s="153">
        <v>70.31</v>
      </c>
      <c r="M435" s="80">
        <f t="shared" si="12"/>
        <v>70.400000000000006</v>
      </c>
      <c r="N435" s="80">
        <f t="shared" si="13"/>
        <v>70.31</v>
      </c>
      <c r="O435" s="153">
        <v>21.16</v>
      </c>
      <c r="P435" s="153">
        <v>21.02</v>
      </c>
      <c r="Q435" s="153">
        <v>21.16</v>
      </c>
      <c r="R435" s="153">
        <v>21.08</v>
      </c>
      <c r="S435" s="4"/>
      <c r="U435" s="147" t="s">
        <v>512</v>
      </c>
      <c r="V435" s="11"/>
      <c r="W435" s="4"/>
      <c r="X435" s="12"/>
      <c r="Y435" s="14"/>
      <c r="Z435" s="4"/>
      <c r="AA435" s="13"/>
      <c r="AB435" s="11"/>
      <c r="AC435" s="4"/>
      <c r="AD435" s="12"/>
      <c r="AE435" s="13"/>
      <c r="AF435" s="14">
        <v>5.0269000000000004</v>
      </c>
      <c r="AG435" s="133"/>
      <c r="AI435" s="84"/>
      <c r="AL435" s="64">
        <v>4.1726633166666662</v>
      </c>
      <c r="AM435" s="56">
        <v>13.959999999999971</v>
      </c>
      <c r="AN435" s="56">
        <v>15.87999999999994</v>
      </c>
      <c r="AO435" s="62">
        <v>21.95999999999998</v>
      </c>
      <c r="AQ435" s="64">
        <v>4.0817857000000002</v>
      </c>
      <c r="AR435" s="56">
        <v>13.49999999999998</v>
      </c>
      <c r="AS435" s="56">
        <v>14.86000000000001</v>
      </c>
      <c r="AT435" s="62">
        <v>18.780000000000111</v>
      </c>
      <c r="AV435" s="64">
        <v>3.7286401833333329</v>
      </c>
      <c r="AW435" s="56">
        <v>13.14000000000002</v>
      </c>
      <c r="AX435" s="56">
        <v>14.539999999999949</v>
      </c>
      <c r="AY435" s="62">
        <v>19.160000000000021</v>
      </c>
      <c r="BA435" s="64">
        <v>3.187155783333333</v>
      </c>
      <c r="BB435" s="56">
        <v>16.080000000000009</v>
      </c>
      <c r="BC435" s="56">
        <v>18.50000000000005</v>
      </c>
      <c r="BD435" s="62">
        <v>30.300000000000079</v>
      </c>
      <c r="BF435" s="64">
        <v>2.9368397000000011</v>
      </c>
      <c r="BG435" s="56">
        <v>19.679999999999961</v>
      </c>
      <c r="BH435" s="56">
        <v>26.619999999999951</v>
      </c>
      <c r="BI435" s="62">
        <v>55.439999999999927</v>
      </c>
      <c r="BJ435" s="70"/>
      <c r="BK435" s="51"/>
    </row>
    <row r="436" spans="1:63" x14ac:dyDescent="0.4">
      <c r="A436" s="11" t="s">
        <v>513</v>
      </c>
      <c r="B436" s="4"/>
      <c r="C436" s="4"/>
      <c r="D436" s="4"/>
      <c r="E436" s="12"/>
      <c r="G436" s="147" t="s">
        <v>513</v>
      </c>
      <c r="H436" s="159">
        <v>69.927000000000007</v>
      </c>
      <c r="I436" s="153">
        <v>70.349999999999994</v>
      </c>
      <c r="J436" s="153">
        <v>70.3</v>
      </c>
      <c r="K436" s="153">
        <v>70.28</v>
      </c>
      <c r="L436" s="153">
        <v>70.290000000000006</v>
      </c>
      <c r="M436" s="80">
        <f t="shared" si="12"/>
        <v>70.349999999999994</v>
      </c>
      <c r="N436" s="80">
        <f t="shared" si="13"/>
        <v>70.28</v>
      </c>
      <c r="O436" s="153">
        <v>21.2</v>
      </c>
      <c r="P436" s="153">
        <v>21.18</v>
      </c>
      <c r="Q436" s="153">
        <v>21.15</v>
      </c>
      <c r="R436" s="153">
        <v>21.1</v>
      </c>
      <c r="S436" s="4"/>
      <c r="U436" s="147" t="s">
        <v>513</v>
      </c>
      <c r="V436" s="11"/>
      <c r="W436" s="4"/>
      <c r="X436" s="12"/>
      <c r="Y436" s="14"/>
      <c r="Z436" s="4"/>
      <c r="AA436" s="13"/>
      <c r="AB436" s="11"/>
      <c r="AC436" s="4"/>
      <c r="AD436" s="12"/>
      <c r="AE436" s="13"/>
      <c r="AF436" s="14">
        <v>5.0316999999999998</v>
      </c>
      <c r="AG436" s="133"/>
      <c r="AI436" s="84"/>
      <c r="AL436" s="64">
        <v>4.1723660666666662</v>
      </c>
      <c r="AM436" s="56">
        <v>14.24000000000003</v>
      </c>
      <c r="AN436" s="56">
        <v>16.139999999999869</v>
      </c>
      <c r="AO436" s="62">
        <v>22.279999999999941</v>
      </c>
      <c r="AQ436" s="64">
        <v>4.079187066666667</v>
      </c>
      <c r="AR436" s="56">
        <v>13.34</v>
      </c>
      <c r="AS436" s="56">
        <v>14.719999999999979</v>
      </c>
      <c r="AT436" s="62">
        <v>18.660000000000029</v>
      </c>
      <c r="AV436" s="64">
        <v>3.7243509166666668</v>
      </c>
      <c r="AW436" s="56">
        <v>12.999999999999989</v>
      </c>
      <c r="AX436" s="56">
        <v>14.400000000000009</v>
      </c>
      <c r="AY436" s="62">
        <v>19.040000000000031</v>
      </c>
      <c r="BA436" s="64">
        <v>3.1816282833333331</v>
      </c>
      <c r="BB436" s="56">
        <v>15.84000000000003</v>
      </c>
      <c r="BC436" s="56">
        <v>18.28000000000003</v>
      </c>
      <c r="BD436" s="62">
        <v>30.26</v>
      </c>
      <c r="BF436" s="64">
        <v>2.9413680666666671</v>
      </c>
      <c r="BG436" s="56">
        <v>19.399999999999999</v>
      </c>
      <c r="BH436" s="56">
        <v>26.020000000000021</v>
      </c>
      <c r="BI436" s="62">
        <v>54.140000000000043</v>
      </c>
      <c r="BJ436" s="70"/>
      <c r="BK436" s="51"/>
    </row>
    <row r="437" spans="1:63" ht="17.25" customHeight="1" thickBot="1" x14ac:dyDescent="0.45">
      <c r="A437" s="16" t="s">
        <v>514</v>
      </c>
      <c r="B437" s="17"/>
      <c r="C437" s="17"/>
      <c r="D437" s="17"/>
      <c r="E437" s="18"/>
      <c r="G437" s="147" t="s">
        <v>514</v>
      </c>
      <c r="H437" s="159">
        <v>69.932000000000002</v>
      </c>
      <c r="I437" s="153">
        <v>70.290000000000006</v>
      </c>
      <c r="J437" s="153">
        <v>70.290000000000006</v>
      </c>
      <c r="K437" s="153">
        <v>70.290000000000006</v>
      </c>
      <c r="L437" s="153">
        <v>70.349999999999994</v>
      </c>
      <c r="M437" s="80">
        <f t="shared" si="12"/>
        <v>70.349999999999994</v>
      </c>
      <c r="N437" s="80">
        <f t="shared" si="13"/>
        <v>70.290000000000006</v>
      </c>
      <c r="O437" s="153">
        <v>21.18</v>
      </c>
      <c r="P437" s="153">
        <v>21.08</v>
      </c>
      <c r="Q437" s="153">
        <v>21.12</v>
      </c>
      <c r="R437" s="153">
        <v>21.05</v>
      </c>
      <c r="S437" s="4"/>
      <c r="U437" s="147" t="s">
        <v>514</v>
      </c>
      <c r="V437" s="16"/>
      <c r="W437" s="17"/>
      <c r="X437" s="18"/>
      <c r="Y437" s="29"/>
      <c r="Z437" s="17"/>
      <c r="AA437" s="30"/>
      <c r="AB437" s="16"/>
      <c r="AC437" s="17"/>
      <c r="AD437" s="18"/>
      <c r="AE437" s="30"/>
      <c r="AF437" s="14">
        <v>5.0175000000000001</v>
      </c>
      <c r="AG437" s="133"/>
      <c r="AI437" s="84"/>
      <c r="AL437" s="64">
        <v>4.1723631999999986</v>
      </c>
      <c r="AM437" s="56">
        <v>13.999999999999879</v>
      </c>
      <c r="AN437" s="56">
        <v>15.87999999999994</v>
      </c>
      <c r="AO437" s="62">
        <v>21.99999999999989</v>
      </c>
      <c r="AQ437" s="64">
        <v>4.0809246999999997</v>
      </c>
      <c r="AR437" s="56">
        <v>13.42000000000017</v>
      </c>
      <c r="AS437" s="56">
        <v>14.780000000000021</v>
      </c>
      <c r="AT437" s="62">
        <v>18.740000000000109</v>
      </c>
      <c r="AV437" s="64">
        <v>3.7262388999999998</v>
      </c>
      <c r="AW437" s="56">
        <v>13.12000000000006</v>
      </c>
      <c r="AX437" s="56">
        <v>14.52</v>
      </c>
      <c r="AY437" s="62">
        <v>19.18000000000006</v>
      </c>
      <c r="BA437" s="64">
        <v>3.1845857833333331</v>
      </c>
      <c r="BB437" s="56">
        <v>15.95999999999993</v>
      </c>
      <c r="BC437" s="56">
        <v>18.379999999999971</v>
      </c>
      <c r="BD437" s="62">
        <v>30.319999999999951</v>
      </c>
      <c r="BF437" s="64">
        <v>2.9412673833333329</v>
      </c>
      <c r="BG437" s="56">
        <v>19.54000000000002</v>
      </c>
      <c r="BH437" s="56">
        <v>26.22</v>
      </c>
      <c r="BI437" s="62">
        <v>54.500000000000092</v>
      </c>
      <c r="BJ437" s="70"/>
      <c r="BK437" s="51"/>
    </row>
    <row r="438" spans="1:63" x14ac:dyDescent="0.4">
      <c r="A438" s="19" t="s">
        <v>515</v>
      </c>
      <c r="B438" s="4"/>
      <c r="C438" s="4"/>
      <c r="D438" s="4"/>
      <c r="E438" s="12"/>
      <c r="G438" s="147" t="s">
        <v>515</v>
      </c>
      <c r="H438" s="159">
        <v>69.954999999999998</v>
      </c>
      <c r="I438" s="153">
        <v>70.290000000000006</v>
      </c>
      <c r="J438" s="153">
        <v>70.31</v>
      </c>
      <c r="K438" s="153">
        <v>70.39</v>
      </c>
      <c r="L438" s="153">
        <v>70.33</v>
      </c>
      <c r="M438" s="80">
        <f t="shared" si="12"/>
        <v>70.39</v>
      </c>
      <c r="N438" s="80">
        <f t="shared" si="13"/>
        <v>70.290000000000006</v>
      </c>
      <c r="O438" s="153">
        <v>21.18</v>
      </c>
      <c r="P438" s="153">
        <v>21.11</v>
      </c>
      <c r="Q438" s="153">
        <v>21.11</v>
      </c>
      <c r="R438" s="153">
        <v>21.09</v>
      </c>
      <c r="S438" s="4"/>
      <c r="U438" s="147" t="s">
        <v>515</v>
      </c>
      <c r="V438" s="11"/>
      <c r="W438" s="4"/>
      <c r="X438" s="12"/>
      <c r="Y438" s="14"/>
      <c r="Z438" s="4"/>
      <c r="AA438" s="13"/>
      <c r="AB438" s="11"/>
      <c r="AC438" s="4"/>
      <c r="AD438" s="12"/>
      <c r="AE438" s="13"/>
      <c r="AF438" s="14">
        <v>5.0317999999999996</v>
      </c>
      <c r="AG438" s="133"/>
      <c r="AI438" s="84"/>
      <c r="AL438" s="64">
        <v>4.1726363833333329</v>
      </c>
      <c r="AM438" s="56">
        <v>14.30000000000007</v>
      </c>
      <c r="AN438" s="56">
        <v>16.319999999999979</v>
      </c>
      <c r="AO438" s="62">
        <v>22.339999999999979</v>
      </c>
      <c r="AQ438" s="64">
        <v>4.082287083333334</v>
      </c>
      <c r="AR438" s="56">
        <v>14.1</v>
      </c>
      <c r="AS438" s="56">
        <v>15.55999999999997</v>
      </c>
      <c r="AT438" s="62">
        <v>19.70000000000001</v>
      </c>
      <c r="AV438" s="64">
        <v>3.7309085999999989</v>
      </c>
      <c r="AW438" s="56">
        <v>13.60000000000001</v>
      </c>
      <c r="AX438" s="56">
        <v>15.059999999999979</v>
      </c>
      <c r="AY438" s="62">
        <v>19.78</v>
      </c>
      <c r="BA438" s="64">
        <v>3.1884789833333329</v>
      </c>
      <c r="BB438" s="56">
        <v>16.300000000000029</v>
      </c>
      <c r="BC438" s="56">
        <v>18.74000000000002</v>
      </c>
      <c r="BD438" s="62">
        <v>30.64</v>
      </c>
      <c r="BF438" s="64">
        <v>2.9414818666666669</v>
      </c>
      <c r="BG438" s="56">
        <v>20.080000000000009</v>
      </c>
      <c r="BH438" s="56">
        <v>26.91999999999997</v>
      </c>
      <c r="BI438" s="62">
        <v>55.78000000000003</v>
      </c>
      <c r="BJ438" s="70"/>
      <c r="BK438" s="51"/>
    </row>
    <row r="439" spans="1:63" x14ac:dyDescent="0.4">
      <c r="A439" s="11" t="s">
        <v>516</v>
      </c>
      <c r="B439" s="4"/>
      <c r="C439" s="4"/>
      <c r="D439" s="4"/>
      <c r="E439" s="12"/>
      <c r="G439" s="147" t="s">
        <v>516</v>
      </c>
      <c r="H439" s="159">
        <v>70.188000000000002</v>
      </c>
      <c r="I439" s="153">
        <v>70.36</v>
      </c>
      <c r="J439" s="153">
        <v>70.290000000000006</v>
      </c>
      <c r="K439" s="153">
        <v>70.290000000000006</v>
      </c>
      <c r="L439" s="153">
        <v>70.28</v>
      </c>
      <c r="M439" s="80">
        <f t="shared" si="12"/>
        <v>70.36</v>
      </c>
      <c r="N439" s="80">
        <f t="shared" si="13"/>
        <v>70.28</v>
      </c>
      <c r="O439" s="153">
        <v>21.13</v>
      </c>
      <c r="P439" s="153">
        <v>21.08</v>
      </c>
      <c r="Q439" s="153">
        <v>21.12</v>
      </c>
      <c r="R439" s="153">
        <v>21.02</v>
      </c>
      <c r="S439" s="4"/>
      <c r="U439" s="147" t="s">
        <v>516</v>
      </c>
      <c r="V439" s="11"/>
      <c r="W439" s="4"/>
      <c r="X439" s="12"/>
      <c r="Y439" s="14"/>
      <c r="Z439" s="4"/>
      <c r="AA439" s="13"/>
      <c r="AB439" s="11"/>
      <c r="AC439" s="4"/>
      <c r="AD439" s="12"/>
      <c r="AE439" s="13"/>
      <c r="AF439" s="14">
        <v>5.0336999999999996</v>
      </c>
      <c r="AG439" s="133"/>
      <c r="AI439" s="84"/>
      <c r="AL439" s="64">
        <v>4.1726177666666668</v>
      </c>
      <c r="AM439" s="56">
        <v>14.32000000000002</v>
      </c>
      <c r="AN439" s="56">
        <v>16.200000000000081</v>
      </c>
      <c r="AO439" s="62">
        <v>22.320000000000029</v>
      </c>
      <c r="AQ439" s="64">
        <v>4.080240149999999</v>
      </c>
      <c r="AR439" s="56">
        <v>13.52000000000011</v>
      </c>
      <c r="AS439" s="56">
        <v>14.920000000000041</v>
      </c>
      <c r="AT439" s="62">
        <v>18.86000000000001</v>
      </c>
      <c r="AV439" s="64">
        <v>3.725408166666667</v>
      </c>
      <c r="AW439" s="56">
        <v>13.219999999999921</v>
      </c>
      <c r="AX439" s="56">
        <v>14.619999999999941</v>
      </c>
      <c r="AY439" s="62">
        <v>19.279999999999919</v>
      </c>
      <c r="BA439" s="64">
        <v>3.18329</v>
      </c>
      <c r="BB439" s="56">
        <v>16.04000000000001</v>
      </c>
      <c r="BC439" s="56">
        <v>18.50000000000005</v>
      </c>
      <c r="BD439" s="62">
        <v>30.480000000000022</v>
      </c>
      <c r="BF439" s="64">
        <v>2.9437174499999998</v>
      </c>
      <c r="BG439" s="56">
        <v>19.58000000000002</v>
      </c>
      <c r="BH439" s="56">
        <v>26.16000000000005</v>
      </c>
      <c r="BI439" s="62">
        <v>54.140000000000043</v>
      </c>
      <c r="BJ439" s="70"/>
      <c r="BK439" s="51"/>
    </row>
    <row r="440" spans="1:63" x14ac:dyDescent="0.4">
      <c r="A440" s="11" t="s">
        <v>517</v>
      </c>
      <c r="B440" s="4"/>
      <c r="C440" s="4"/>
      <c r="D440" s="4"/>
      <c r="E440" s="12"/>
      <c r="G440" s="147" t="s">
        <v>517</v>
      </c>
      <c r="H440" s="159">
        <v>69.924000000000007</v>
      </c>
      <c r="I440" s="153">
        <v>70.290000000000006</v>
      </c>
      <c r="J440" s="153">
        <v>70.31</v>
      </c>
      <c r="K440" s="153">
        <v>70.290000000000006</v>
      </c>
      <c r="L440" s="153">
        <v>70.28</v>
      </c>
      <c r="M440" s="80">
        <f t="shared" si="12"/>
        <v>70.31</v>
      </c>
      <c r="N440" s="80">
        <f t="shared" si="13"/>
        <v>70.28</v>
      </c>
      <c r="O440" s="153">
        <v>21.19</v>
      </c>
      <c r="P440" s="153">
        <v>21.06</v>
      </c>
      <c r="Q440" s="153">
        <v>21.11</v>
      </c>
      <c r="R440" s="153">
        <v>20.96</v>
      </c>
      <c r="S440" s="4"/>
      <c r="U440" s="147" t="s">
        <v>517</v>
      </c>
      <c r="V440" s="11"/>
      <c r="W440" s="4"/>
      <c r="X440" s="12"/>
      <c r="Y440" s="14"/>
      <c r="Z440" s="4"/>
      <c r="AA440" s="13"/>
      <c r="AB440" s="11"/>
      <c r="AC440" s="4"/>
      <c r="AD440" s="12"/>
      <c r="AE440" s="13"/>
      <c r="AF440" s="14">
        <v>5.0336999999999996</v>
      </c>
      <c r="AG440" s="133"/>
      <c r="AI440" s="84"/>
      <c r="AL440" s="64">
        <v>4.1724050500000001</v>
      </c>
      <c r="AM440" s="56">
        <v>14.279999999999941</v>
      </c>
      <c r="AN440" s="56">
        <v>16.1999999999999</v>
      </c>
      <c r="AO440" s="62">
        <v>22.359999999999939</v>
      </c>
      <c r="AQ440" s="64">
        <v>4.0829591166666672</v>
      </c>
      <c r="AR440" s="56">
        <v>13.90000000000011</v>
      </c>
      <c r="AS440" s="56">
        <v>15.30000000000005</v>
      </c>
      <c r="AT440" s="62">
        <v>19.34000000000005</v>
      </c>
      <c r="AV440" s="64">
        <v>3.7283614333333328</v>
      </c>
      <c r="AW440" s="56">
        <v>13.700000000000051</v>
      </c>
      <c r="AX440" s="56">
        <v>15.140000000000059</v>
      </c>
      <c r="AY440" s="62">
        <v>19.880000000000031</v>
      </c>
      <c r="BA440" s="64">
        <v>3.1868522499999998</v>
      </c>
      <c r="BB440" s="56">
        <v>16.94000000000004</v>
      </c>
      <c r="BC440" s="56">
        <v>19.439999999999991</v>
      </c>
      <c r="BD440" s="62">
        <v>31.559999999999992</v>
      </c>
      <c r="BF440" s="64">
        <v>2.945018133333333</v>
      </c>
      <c r="BG440" s="56">
        <v>20.64000000000004</v>
      </c>
      <c r="BH440" s="56">
        <v>27.24000000000002</v>
      </c>
      <c r="BI440" s="62">
        <v>55.460000000000058</v>
      </c>
      <c r="BJ440" s="70"/>
      <c r="BK440" s="51"/>
    </row>
    <row r="441" spans="1:63" x14ac:dyDescent="0.4">
      <c r="A441" s="11" t="s">
        <v>518</v>
      </c>
      <c r="B441" s="4"/>
      <c r="C441" s="4"/>
      <c r="D441" s="4"/>
      <c r="E441" s="12"/>
      <c r="G441" s="147" t="s">
        <v>518</v>
      </c>
      <c r="H441" s="159">
        <v>69.924000000000007</v>
      </c>
      <c r="I441" s="153">
        <v>70.290000000000006</v>
      </c>
      <c r="J441" s="153">
        <v>70.33</v>
      </c>
      <c r="K441" s="153">
        <v>70.3</v>
      </c>
      <c r="L441" s="153">
        <v>70.319999999999993</v>
      </c>
      <c r="M441" s="80">
        <f t="shared" si="12"/>
        <v>70.33</v>
      </c>
      <c r="N441" s="80">
        <f t="shared" si="13"/>
        <v>70.290000000000006</v>
      </c>
      <c r="O441" s="153">
        <v>21.19</v>
      </c>
      <c r="P441" s="153">
        <v>21.05</v>
      </c>
      <c r="Q441" s="153">
        <v>21.12</v>
      </c>
      <c r="R441" s="153">
        <v>21.09</v>
      </c>
      <c r="S441" s="4"/>
      <c r="U441" s="147" t="s">
        <v>518</v>
      </c>
      <c r="V441" s="11"/>
      <c r="W441" s="4"/>
      <c r="X441" s="12"/>
      <c r="Y441" s="14"/>
      <c r="Z441" s="4"/>
      <c r="AA441" s="13"/>
      <c r="AB441" s="11"/>
      <c r="AC441" s="4"/>
      <c r="AD441" s="12"/>
      <c r="AE441" s="13"/>
      <c r="AF441" s="14">
        <v>5.0182000000000002</v>
      </c>
      <c r="AG441" s="133"/>
      <c r="AI441" s="84"/>
      <c r="AL441" s="64">
        <v>4.1723356999999996</v>
      </c>
      <c r="AM441" s="56">
        <v>13.78000000000004</v>
      </c>
      <c r="AN441" s="56">
        <v>15.73999999999991</v>
      </c>
      <c r="AO441" s="62">
        <v>21.78000000000004</v>
      </c>
      <c r="AQ441" s="64">
        <v>4.0834368666666672</v>
      </c>
      <c r="AR441" s="56">
        <v>13.620000000000051</v>
      </c>
      <c r="AS441" s="56">
        <v>14.979999999999899</v>
      </c>
      <c r="AT441" s="62">
        <v>18.959999999999951</v>
      </c>
      <c r="AV441" s="64">
        <v>3.7304444833333341</v>
      </c>
      <c r="AW441" s="56">
        <v>13.280000000000051</v>
      </c>
      <c r="AX441" s="56">
        <v>14.700000000000021</v>
      </c>
      <c r="AY441" s="62">
        <v>19.36</v>
      </c>
      <c r="BA441" s="64">
        <v>3.1879823833333329</v>
      </c>
      <c r="BB441" s="56">
        <v>16.29999999999994</v>
      </c>
      <c r="BC441" s="56">
        <v>18.739999999999931</v>
      </c>
      <c r="BD441" s="62">
        <v>30.65999999999995</v>
      </c>
      <c r="BF441" s="64">
        <v>2.9382319166666662</v>
      </c>
      <c r="BG441" s="56">
        <v>19.899999999999981</v>
      </c>
      <c r="BH441" s="56">
        <v>26.900000000000009</v>
      </c>
      <c r="BI441" s="62">
        <v>55.879999999999967</v>
      </c>
      <c r="BJ441" s="70"/>
      <c r="BK441" s="51"/>
    </row>
    <row r="442" spans="1:63" x14ac:dyDescent="0.4">
      <c r="A442" s="11" t="s">
        <v>519</v>
      </c>
      <c r="B442" s="4"/>
      <c r="C442" s="4"/>
      <c r="D442" s="4"/>
      <c r="E442" s="12"/>
      <c r="G442" s="147" t="s">
        <v>519</v>
      </c>
      <c r="H442" s="159">
        <v>69.983999999999995</v>
      </c>
      <c r="I442" s="153">
        <v>70.34</v>
      </c>
      <c r="J442" s="153">
        <v>70.36</v>
      </c>
      <c r="K442" s="153">
        <v>70.28</v>
      </c>
      <c r="L442" s="153">
        <v>70.37</v>
      </c>
      <c r="M442" s="80">
        <f t="shared" si="12"/>
        <v>70.37</v>
      </c>
      <c r="N442" s="80">
        <f t="shared" si="13"/>
        <v>70.28</v>
      </c>
      <c r="O442" s="153">
        <v>21.2</v>
      </c>
      <c r="P442" s="153">
        <v>21.08</v>
      </c>
      <c r="Q442" s="153">
        <v>21.17</v>
      </c>
      <c r="R442" s="153">
        <v>21.07</v>
      </c>
      <c r="S442" s="4"/>
      <c r="U442" s="147" t="s">
        <v>519</v>
      </c>
      <c r="V442" s="11"/>
      <c r="W442" s="4"/>
      <c r="X442" s="12"/>
      <c r="Y442" s="14"/>
      <c r="Z442" s="4"/>
      <c r="AA442" s="13"/>
      <c r="AB442" s="11"/>
      <c r="AC442" s="4"/>
      <c r="AD442" s="12"/>
      <c r="AE442" s="13"/>
      <c r="AF442" s="14">
        <v>5.0368000000000004</v>
      </c>
      <c r="AG442" s="133"/>
      <c r="AI442" s="84"/>
      <c r="AL442" s="64">
        <v>4.1723127833333331</v>
      </c>
      <c r="AM442" s="56">
        <v>14.76000000000006</v>
      </c>
      <c r="AN442" s="56">
        <v>16.779999999999969</v>
      </c>
      <c r="AO442" s="62">
        <v>22.84000000000006</v>
      </c>
      <c r="AQ442" s="64">
        <v>4.0824852666666658</v>
      </c>
      <c r="AR442" s="56">
        <v>14.5999999999999</v>
      </c>
      <c r="AS442" s="56">
        <v>16.079999999999831</v>
      </c>
      <c r="AT442" s="62">
        <v>20.239999999999899</v>
      </c>
      <c r="AV442" s="64">
        <v>3.7290339166666659</v>
      </c>
      <c r="AW442" s="56">
        <v>14.119999999999949</v>
      </c>
      <c r="AX442" s="56">
        <v>15.62000000000001</v>
      </c>
      <c r="AY442" s="62">
        <v>20.58</v>
      </c>
      <c r="BA442" s="64">
        <v>3.1835672000000002</v>
      </c>
      <c r="BB442" s="56">
        <v>16.699999999999982</v>
      </c>
      <c r="BC442" s="56">
        <v>19.200000000000021</v>
      </c>
      <c r="BD442" s="62">
        <v>31.320000000000011</v>
      </c>
      <c r="BF442" s="64">
        <v>2.932829166666667</v>
      </c>
      <c r="BG442" s="56">
        <v>20.319999999999979</v>
      </c>
      <c r="BH442" s="56">
        <v>26.959999999999962</v>
      </c>
      <c r="BI442" s="62">
        <v>55.699999999999953</v>
      </c>
      <c r="BJ442" s="70"/>
      <c r="BK442" s="51"/>
    </row>
    <row r="443" spans="1:63" x14ac:dyDescent="0.4">
      <c r="A443" s="11" t="s">
        <v>520</v>
      </c>
      <c r="B443" s="4"/>
      <c r="C443" s="4"/>
      <c r="D443" s="4"/>
      <c r="E443" s="12"/>
      <c r="G443" s="147" t="s">
        <v>520</v>
      </c>
      <c r="H443" s="159">
        <v>69.965000000000003</v>
      </c>
      <c r="I443" s="153">
        <v>70.349999999999994</v>
      </c>
      <c r="J443" s="153">
        <v>70.28</v>
      </c>
      <c r="K443" s="153">
        <v>70.38</v>
      </c>
      <c r="L443" s="153">
        <v>70.39</v>
      </c>
      <c r="M443" s="80">
        <f t="shared" si="12"/>
        <v>70.39</v>
      </c>
      <c r="N443" s="80">
        <f t="shared" si="13"/>
        <v>70.28</v>
      </c>
      <c r="O443" s="153">
        <v>21.16</v>
      </c>
      <c r="P443" s="153">
        <v>21.11</v>
      </c>
      <c r="Q443" s="153">
        <v>21.16</v>
      </c>
      <c r="R443" s="153">
        <v>21.07</v>
      </c>
      <c r="S443" s="4"/>
      <c r="U443" s="147" t="s">
        <v>520</v>
      </c>
      <c r="V443" s="11"/>
      <c r="W443" s="4"/>
      <c r="X443" s="12"/>
      <c r="Y443" s="14"/>
      <c r="Z443" s="4"/>
      <c r="AA443" s="13"/>
      <c r="AB443" s="11"/>
      <c r="AC443" s="4"/>
      <c r="AD443" s="12"/>
      <c r="AE443" s="13"/>
      <c r="AF443" s="14">
        <v>5.0137999999999998</v>
      </c>
      <c r="AG443" s="133"/>
      <c r="AI443" s="84"/>
      <c r="AL443" s="64">
        <v>4.1721214</v>
      </c>
      <c r="AM443" s="56">
        <v>14.400000000000009</v>
      </c>
      <c r="AN443" s="56">
        <v>16.32000000000016</v>
      </c>
      <c r="AO443" s="62">
        <v>22.420000000000151</v>
      </c>
      <c r="AQ443" s="64">
        <v>4.0821846499999994</v>
      </c>
      <c r="AR443" s="56">
        <v>13.840000000000069</v>
      </c>
      <c r="AS443" s="56">
        <v>15.26000000000014</v>
      </c>
      <c r="AT443" s="62">
        <v>19.240000000000009</v>
      </c>
      <c r="AV443" s="64">
        <v>3.7290796500000001</v>
      </c>
      <c r="AW443" s="56">
        <v>13.559999999999929</v>
      </c>
      <c r="AX443" s="56">
        <v>14.97999999999999</v>
      </c>
      <c r="AY443" s="62">
        <v>19.70000000000001</v>
      </c>
      <c r="BA443" s="64">
        <v>3.1889781500000001</v>
      </c>
      <c r="BB443" s="56">
        <v>16.5</v>
      </c>
      <c r="BC443" s="56">
        <v>18.96000000000004</v>
      </c>
      <c r="BD443" s="62">
        <v>30.839999999999979</v>
      </c>
      <c r="BF443" s="64">
        <v>2.938766216666667</v>
      </c>
      <c r="BG443" s="56">
        <v>20.259999999999941</v>
      </c>
      <c r="BH443" s="56">
        <v>27.099999999999991</v>
      </c>
      <c r="BI443" s="62">
        <v>55.779999999999937</v>
      </c>
      <c r="BJ443" s="70"/>
      <c r="BK443" s="51"/>
    </row>
    <row r="444" spans="1:63" x14ac:dyDescent="0.4">
      <c r="A444" s="11" t="s">
        <v>521</v>
      </c>
      <c r="B444" s="4"/>
      <c r="C444" s="4"/>
      <c r="D444" s="4"/>
      <c r="E444" s="12"/>
      <c r="G444" s="147" t="s">
        <v>521</v>
      </c>
      <c r="H444" s="159">
        <v>70.025000000000006</v>
      </c>
      <c r="I444" s="153">
        <v>70.28</v>
      </c>
      <c r="J444" s="153">
        <v>70.31</v>
      </c>
      <c r="K444" s="153">
        <v>70.37</v>
      </c>
      <c r="L444" s="153">
        <v>70.37</v>
      </c>
      <c r="M444" s="80">
        <f t="shared" si="12"/>
        <v>70.37</v>
      </c>
      <c r="N444" s="80">
        <f t="shared" si="13"/>
        <v>70.28</v>
      </c>
      <c r="O444" s="153">
        <v>21.16</v>
      </c>
      <c r="P444" s="153">
        <v>21.07</v>
      </c>
      <c r="Q444" s="153">
        <v>21.12</v>
      </c>
      <c r="R444" s="153">
        <v>21.08</v>
      </c>
      <c r="S444" s="4"/>
      <c r="U444" s="147" t="s">
        <v>521</v>
      </c>
      <c r="V444" s="11"/>
      <c r="W444" s="4"/>
      <c r="X444" s="12"/>
      <c r="Y444" s="14"/>
      <c r="Z444" s="4"/>
      <c r="AA444" s="13"/>
      <c r="AB444" s="11"/>
      <c r="AC444" s="4"/>
      <c r="AD444" s="12"/>
      <c r="AE444" s="13"/>
      <c r="AF444" s="14">
        <v>5.0373000000000001</v>
      </c>
      <c r="AG444" s="133"/>
      <c r="AI444" s="84"/>
      <c r="AL444" s="64">
        <v>4.171566116666666</v>
      </c>
      <c r="AM444" s="56">
        <v>13.54000000000006</v>
      </c>
      <c r="AN444" s="56">
        <v>15.440000000000079</v>
      </c>
      <c r="AO444" s="62">
        <v>21.439999999999952</v>
      </c>
      <c r="AQ444" s="64">
        <v>4.0833826999999996</v>
      </c>
      <c r="AR444" s="56">
        <v>13.26000000000001</v>
      </c>
      <c r="AS444" s="56">
        <v>14.63999999999999</v>
      </c>
      <c r="AT444" s="62">
        <v>18.599999999999991</v>
      </c>
      <c r="AV444" s="64">
        <v>3.729493216666667</v>
      </c>
      <c r="AW444" s="56">
        <v>13.100000000000019</v>
      </c>
      <c r="AX444" s="56">
        <v>14.52</v>
      </c>
      <c r="AY444" s="62">
        <v>19.200000000000021</v>
      </c>
      <c r="BA444" s="64">
        <v>3.1829670833333328</v>
      </c>
      <c r="BB444" s="56">
        <v>16.340000000000021</v>
      </c>
      <c r="BC444" s="56">
        <v>18.86000000000001</v>
      </c>
      <c r="BD444" s="62">
        <v>31.12000000000004</v>
      </c>
      <c r="BF444" s="64">
        <v>2.9458415333333341</v>
      </c>
      <c r="BG444" s="56">
        <v>19.83999999999995</v>
      </c>
      <c r="BH444" s="56">
        <v>26.31999999999994</v>
      </c>
      <c r="BI444" s="62">
        <v>54.179999999999943</v>
      </c>
      <c r="BJ444" s="70"/>
      <c r="BK444" s="51"/>
    </row>
    <row r="445" spans="1:63" x14ac:dyDescent="0.4">
      <c r="A445" s="11" t="s">
        <v>522</v>
      </c>
      <c r="B445" s="4"/>
      <c r="C445" s="4"/>
      <c r="D445" s="4"/>
      <c r="E445" s="12"/>
      <c r="G445" s="147" t="s">
        <v>522</v>
      </c>
      <c r="H445" s="159">
        <v>69.822999999999993</v>
      </c>
      <c r="I445" s="153">
        <v>70.290000000000006</v>
      </c>
      <c r="J445" s="153">
        <v>70.3</v>
      </c>
      <c r="K445" s="153">
        <v>70.319999999999993</v>
      </c>
      <c r="L445" s="153">
        <v>70.33</v>
      </c>
      <c r="M445" s="80">
        <f t="shared" si="12"/>
        <v>70.33</v>
      </c>
      <c r="N445" s="80">
        <f t="shared" si="13"/>
        <v>70.290000000000006</v>
      </c>
      <c r="O445" s="153">
        <v>21.19</v>
      </c>
      <c r="P445" s="153">
        <v>21.06</v>
      </c>
      <c r="Q445" s="153">
        <v>21.13</v>
      </c>
      <c r="R445" s="153">
        <v>21.07</v>
      </c>
      <c r="S445" s="4"/>
      <c r="U445" s="147" t="s">
        <v>522</v>
      </c>
      <c r="V445" s="11"/>
      <c r="W445" s="4"/>
      <c r="X445" s="12"/>
      <c r="Y445" s="14"/>
      <c r="Z445" s="4"/>
      <c r="AA445" s="13"/>
      <c r="AB445" s="11"/>
      <c r="AC445" s="4"/>
      <c r="AD445" s="12"/>
      <c r="AE445" s="13"/>
      <c r="AF445" s="14">
        <v>5.0240999999999998</v>
      </c>
      <c r="AG445" s="133"/>
      <c r="AI445" s="84"/>
      <c r="AL445" s="64">
        <v>4.1715832333333331</v>
      </c>
      <c r="AM445" s="56">
        <v>14.03999999999996</v>
      </c>
      <c r="AN445" s="56">
        <v>16.039999999999921</v>
      </c>
      <c r="AO445" s="62">
        <v>21.94000000000003</v>
      </c>
      <c r="AQ445" s="64">
        <v>4.0814515333333334</v>
      </c>
      <c r="AR445" s="56">
        <v>13.35999999999995</v>
      </c>
      <c r="AS445" s="56">
        <v>14.74000000000011</v>
      </c>
      <c r="AT445" s="62">
        <v>18.660000000000029</v>
      </c>
      <c r="AV445" s="64">
        <v>3.7300936999999998</v>
      </c>
      <c r="AW445" s="56">
        <v>12.999999999999989</v>
      </c>
      <c r="AX445" s="56">
        <v>14.41999999999997</v>
      </c>
      <c r="AY445" s="62">
        <v>19.040000000000031</v>
      </c>
      <c r="BA445" s="64">
        <v>3.1897877333333331</v>
      </c>
      <c r="BB445" s="56">
        <v>15.80000000000004</v>
      </c>
      <c r="BC445" s="56">
        <v>18.219999999999992</v>
      </c>
      <c r="BD445" s="62">
        <v>29.88</v>
      </c>
      <c r="BF445" s="64">
        <v>2.9367916333333328</v>
      </c>
      <c r="BG445" s="56">
        <v>19.339999999999961</v>
      </c>
      <c r="BH445" s="56">
        <v>26.039999999999971</v>
      </c>
      <c r="BI445" s="62">
        <v>54.42</v>
      </c>
      <c r="BJ445" s="70"/>
      <c r="BK445" s="51"/>
    </row>
    <row r="446" spans="1:63" x14ac:dyDescent="0.4">
      <c r="A446" s="11" t="s">
        <v>523</v>
      </c>
      <c r="B446" s="4"/>
      <c r="C446" s="4"/>
      <c r="D446" s="4"/>
      <c r="E446" s="12"/>
      <c r="G446" s="147" t="s">
        <v>523</v>
      </c>
      <c r="H446" s="159">
        <v>70.039000000000001</v>
      </c>
      <c r="I446" s="153">
        <v>70.349999999999994</v>
      </c>
      <c r="J446" s="153">
        <v>70.319999999999993</v>
      </c>
      <c r="K446" s="153">
        <v>70.33</v>
      </c>
      <c r="L446" s="153">
        <v>70.37</v>
      </c>
      <c r="M446" s="80">
        <f t="shared" si="12"/>
        <v>70.37</v>
      </c>
      <c r="N446" s="80">
        <f t="shared" si="13"/>
        <v>70.319999999999993</v>
      </c>
      <c r="O446" s="153">
        <v>21.17</v>
      </c>
      <c r="P446" s="153">
        <v>21.09</v>
      </c>
      <c r="Q446" s="153">
        <v>21.15</v>
      </c>
      <c r="R446" s="153">
        <v>21.1</v>
      </c>
      <c r="S446" s="4"/>
      <c r="U446" s="147" t="s">
        <v>523</v>
      </c>
      <c r="V446" s="11"/>
      <c r="W446" s="4"/>
      <c r="X446" s="12"/>
      <c r="Y446" s="14"/>
      <c r="Z446" s="4"/>
      <c r="AA446" s="13"/>
      <c r="AB446" s="11"/>
      <c r="AC446" s="4"/>
      <c r="AD446" s="12"/>
      <c r="AE446" s="13"/>
      <c r="AF446" s="14">
        <v>5.0277000000000003</v>
      </c>
      <c r="AG446" s="133"/>
      <c r="AI446" s="84"/>
      <c r="AL446" s="64">
        <v>4.1718765833333338</v>
      </c>
      <c r="AM446" s="56">
        <v>14.02000000000001</v>
      </c>
      <c r="AN446" s="56">
        <v>15.939999999999969</v>
      </c>
      <c r="AO446" s="62">
        <v>21.95999999999998</v>
      </c>
      <c r="AQ446" s="64">
        <v>4.0811591333333341</v>
      </c>
      <c r="AR446" s="56">
        <v>13.400000000000031</v>
      </c>
      <c r="AS446" s="56">
        <v>14.780000000000021</v>
      </c>
      <c r="AT446" s="62">
        <v>18.719999999999981</v>
      </c>
      <c r="AV446" s="64">
        <v>3.727574999999999</v>
      </c>
      <c r="AW446" s="56">
        <v>13.03999999999998</v>
      </c>
      <c r="AX446" s="56">
        <v>14.43999999999992</v>
      </c>
      <c r="AY446" s="62">
        <v>19.059999999999992</v>
      </c>
      <c r="BA446" s="64">
        <v>3.1847925166666671</v>
      </c>
      <c r="BB446" s="56">
        <v>16.07999999999992</v>
      </c>
      <c r="BC446" s="56">
        <v>18.52</v>
      </c>
      <c r="BD446" s="62">
        <v>30.519999999999921</v>
      </c>
      <c r="BF446" s="64">
        <v>2.9499085833333338</v>
      </c>
      <c r="BG446" s="56">
        <v>19.49999999999994</v>
      </c>
      <c r="BH446" s="56">
        <v>26.560000000000009</v>
      </c>
      <c r="BI446" s="62">
        <v>54.739999999999966</v>
      </c>
      <c r="BJ446" s="70"/>
      <c r="BK446" s="51"/>
    </row>
    <row r="447" spans="1:63" x14ac:dyDescent="0.4">
      <c r="A447" s="11" t="s">
        <v>524</v>
      </c>
      <c r="B447" s="4"/>
      <c r="C447" s="4"/>
      <c r="D447" s="4"/>
      <c r="E447" s="12"/>
      <c r="G447" s="147" t="s">
        <v>524</v>
      </c>
      <c r="H447" s="159">
        <v>69.98</v>
      </c>
      <c r="I447" s="153">
        <v>70.27</v>
      </c>
      <c r="J447" s="153">
        <v>70.3</v>
      </c>
      <c r="K447" s="153">
        <v>70.36</v>
      </c>
      <c r="L447" s="153">
        <v>70.39</v>
      </c>
      <c r="M447" s="80">
        <f t="shared" si="12"/>
        <v>70.39</v>
      </c>
      <c r="N447" s="80">
        <f t="shared" si="13"/>
        <v>70.27</v>
      </c>
      <c r="O447" s="153">
        <v>21.18</v>
      </c>
      <c r="P447" s="153">
        <v>21.17</v>
      </c>
      <c r="Q447" s="153">
        <v>21.11</v>
      </c>
      <c r="R447" s="153">
        <v>21.07</v>
      </c>
      <c r="S447" s="4"/>
      <c r="U447" s="147" t="s">
        <v>524</v>
      </c>
      <c r="V447" s="11"/>
      <c r="W447" s="4"/>
      <c r="X447" s="12"/>
      <c r="Y447" s="14"/>
      <c r="Z447" s="4"/>
      <c r="AA447" s="13"/>
      <c r="AB447" s="11"/>
      <c r="AC447" s="4"/>
      <c r="AD447" s="12"/>
      <c r="AE447" s="13"/>
      <c r="AF447" s="14">
        <v>5.0419</v>
      </c>
      <c r="AG447" s="133"/>
      <c r="AI447" s="84"/>
      <c r="AL447" s="64">
        <v>4.1724362166666662</v>
      </c>
      <c r="AM447" s="56">
        <v>14.119999999999949</v>
      </c>
      <c r="AN447" s="56">
        <v>16.019999999999971</v>
      </c>
      <c r="AO447" s="62">
        <v>22.18</v>
      </c>
      <c r="AQ447" s="64">
        <v>4.0817274000000001</v>
      </c>
      <c r="AR447" s="56">
        <v>13.57999999999997</v>
      </c>
      <c r="AS447" s="56">
        <v>14.979999999999899</v>
      </c>
      <c r="AT447" s="62">
        <v>18.959999999999951</v>
      </c>
      <c r="AV447" s="64">
        <v>3.727166716666666</v>
      </c>
      <c r="AW447" s="56">
        <v>13.319999999999951</v>
      </c>
      <c r="AX447" s="56">
        <v>14.739999999999929</v>
      </c>
      <c r="AY447" s="62">
        <v>19.45999999999994</v>
      </c>
      <c r="BA447" s="64">
        <v>3.1846223833333331</v>
      </c>
      <c r="BB447" s="56">
        <v>16.239999999999991</v>
      </c>
      <c r="BC447" s="56">
        <v>18.699999999999939</v>
      </c>
      <c r="BD447" s="62">
        <v>30.719999999999992</v>
      </c>
      <c r="BF447" s="64">
        <v>2.9437669166666671</v>
      </c>
      <c r="BG447" s="56">
        <v>19.660000000000011</v>
      </c>
      <c r="BH447" s="56">
        <v>26.22</v>
      </c>
      <c r="BI447" s="62">
        <v>54.179999999999943</v>
      </c>
      <c r="BJ447" s="70"/>
      <c r="BK447" s="51"/>
    </row>
    <row r="448" spans="1:63" x14ac:dyDescent="0.4">
      <c r="A448" s="11" t="s">
        <v>525</v>
      </c>
      <c r="B448" s="4"/>
      <c r="C448" s="4"/>
      <c r="D448" s="4"/>
      <c r="E448" s="12"/>
      <c r="G448" s="147" t="s">
        <v>525</v>
      </c>
      <c r="H448" s="159">
        <v>69.972999999999999</v>
      </c>
      <c r="I448" s="153">
        <v>70.34</v>
      </c>
      <c r="J448" s="153">
        <v>70.34</v>
      </c>
      <c r="K448" s="153">
        <v>70.28</v>
      </c>
      <c r="L448" s="153">
        <v>70.33</v>
      </c>
      <c r="M448" s="80">
        <f t="shared" si="12"/>
        <v>70.34</v>
      </c>
      <c r="N448" s="80">
        <f t="shared" si="13"/>
        <v>70.28</v>
      </c>
      <c r="O448" s="153">
        <v>21.14</v>
      </c>
      <c r="P448" s="153">
        <v>21.06</v>
      </c>
      <c r="Q448" s="153">
        <v>21.16</v>
      </c>
      <c r="R448" s="153">
        <v>21.13</v>
      </c>
      <c r="S448" s="4"/>
      <c r="U448" s="147" t="s">
        <v>525</v>
      </c>
      <c r="V448" s="11"/>
      <c r="W448" s="4"/>
      <c r="X448" s="12"/>
      <c r="Y448" s="14"/>
      <c r="Z448" s="4"/>
      <c r="AA448" s="13"/>
      <c r="AB448" s="11"/>
      <c r="AC448" s="4"/>
      <c r="AD448" s="12"/>
      <c r="AE448" s="13"/>
      <c r="AF448" s="14">
        <v>5.0263999999999998</v>
      </c>
      <c r="AG448" s="133"/>
      <c r="AI448" s="84"/>
      <c r="AL448" s="64">
        <v>4.1720514500000014</v>
      </c>
      <c r="AM448" s="56">
        <v>13.800000000000169</v>
      </c>
      <c r="AN448" s="56">
        <v>15.6600000000001</v>
      </c>
      <c r="AO448" s="62">
        <v>21.78000000000004</v>
      </c>
      <c r="AQ448" s="64">
        <v>4.0822384500000002</v>
      </c>
      <c r="AR448" s="56">
        <v>13.35999999999995</v>
      </c>
      <c r="AS448" s="56">
        <v>14.719999999999979</v>
      </c>
      <c r="AT448" s="62">
        <v>18.679999999999989</v>
      </c>
      <c r="AV448" s="64">
        <v>3.7281480999999999</v>
      </c>
      <c r="AW448" s="56">
        <v>13.04000000000007</v>
      </c>
      <c r="AX448" s="56">
        <v>14.42000000000005</v>
      </c>
      <c r="AY448" s="62">
        <v>19.08000000000003</v>
      </c>
      <c r="BA448" s="64">
        <v>3.190300216666667</v>
      </c>
      <c r="BB448" s="56">
        <v>15.880000000000029</v>
      </c>
      <c r="BC448" s="56">
        <v>18.259999999999991</v>
      </c>
      <c r="BD448" s="62">
        <v>29.999999999999979</v>
      </c>
      <c r="BF448" s="64">
        <v>2.9471279500000001</v>
      </c>
      <c r="BG448" s="56">
        <v>19.32</v>
      </c>
      <c r="BH448" s="56">
        <v>25.860000000000039</v>
      </c>
      <c r="BI448" s="62">
        <v>53.600000000000051</v>
      </c>
      <c r="BJ448" s="70"/>
      <c r="BK448" s="51"/>
    </row>
    <row r="449" spans="1:63" x14ac:dyDescent="0.4">
      <c r="A449" s="11" t="s">
        <v>526</v>
      </c>
      <c r="B449" s="4"/>
      <c r="C449" s="4"/>
      <c r="D449" s="4"/>
      <c r="E449" s="12"/>
      <c r="G449" s="147" t="s">
        <v>526</v>
      </c>
      <c r="H449" s="159">
        <v>69.989999999999995</v>
      </c>
      <c r="I449" s="153">
        <v>70.34</v>
      </c>
      <c r="J449" s="153">
        <v>70.3</v>
      </c>
      <c r="K449" s="153">
        <v>70.31</v>
      </c>
      <c r="L449" s="153">
        <v>70.319999999999993</v>
      </c>
      <c r="M449" s="80">
        <f t="shared" si="12"/>
        <v>70.34</v>
      </c>
      <c r="N449" s="80">
        <f t="shared" si="13"/>
        <v>70.3</v>
      </c>
      <c r="O449" s="153">
        <v>21.13</v>
      </c>
      <c r="P449" s="153">
        <v>21.04</v>
      </c>
      <c r="Q449" s="153">
        <v>21.13</v>
      </c>
      <c r="R449" s="153">
        <v>21.1</v>
      </c>
      <c r="S449" s="4"/>
      <c r="U449" s="147" t="s">
        <v>526</v>
      </c>
      <c r="V449" s="11"/>
      <c r="W449" s="4"/>
      <c r="X449" s="12"/>
      <c r="Y449" s="14"/>
      <c r="Z449" s="4"/>
      <c r="AA449" s="13"/>
      <c r="AB449" s="11"/>
      <c r="AC449" s="4"/>
      <c r="AD449" s="12"/>
      <c r="AE449" s="13"/>
      <c r="AF449" s="14">
        <v>5.0160999999999998</v>
      </c>
      <c r="AG449" s="133"/>
      <c r="AI449" s="84"/>
      <c r="AL449" s="64">
        <v>4.1724210333333334</v>
      </c>
      <c r="AM449" s="56">
        <v>13.81999999999994</v>
      </c>
      <c r="AN449" s="56">
        <v>15.7</v>
      </c>
      <c r="AO449" s="62">
        <v>21.819999999999951</v>
      </c>
      <c r="AQ449" s="64">
        <v>4.0817775833333334</v>
      </c>
      <c r="AR449" s="56">
        <v>13.34</v>
      </c>
      <c r="AS449" s="56">
        <v>14.680000000000071</v>
      </c>
      <c r="AT449" s="62">
        <v>18.62000000000004</v>
      </c>
      <c r="AV449" s="64">
        <v>3.727444216666667</v>
      </c>
      <c r="AW449" s="56">
        <v>13.03999999999998</v>
      </c>
      <c r="AX449" s="56">
        <v>14.41999999999997</v>
      </c>
      <c r="AY449" s="62">
        <v>19.059999999999992</v>
      </c>
      <c r="BA449" s="64">
        <v>3.1865519</v>
      </c>
      <c r="BB449" s="56">
        <v>15.87999999999994</v>
      </c>
      <c r="BC449" s="56">
        <v>18.31999999999994</v>
      </c>
      <c r="BD449" s="62">
        <v>30.22</v>
      </c>
      <c r="BF449" s="64">
        <v>2.9485853333333329</v>
      </c>
      <c r="BG449" s="56">
        <v>19.23999999999992</v>
      </c>
      <c r="BH449" s="56">
        <v>25.719999999999921</v>
      </c>
      <c r="BI449" s="62">
        <v>53.179999999999957</v>
      </c>
      <c r="BJ449" s="70"/>
      <c r="BK449" s="51"/>
    </row>
    <row r="450" spans="1:63" x14ac:dyDescent="0.4">
      <c r="A450" s="11" t="s">
        <v>527</v>
      </c>
      <c r="B450" s="4"/>
      <c r="C450" s="4"/>
      <c r="D450" s="4"/>
      <c r="E450" s="12"/>
      <c r="G450" s="147" t="s">
        <v>527</v>
      </c>
      <c r="H450" s="159">
        <v>69.989000000000004</v>
      </c>
      <c r="I450" s="153">
        <v>70.27</v>
      </c>
      <c r="J450" s="153">
        <v>70.31</v>
      </c>
      <c r="K450" s="153">
        <v>70.3</v>
      </c>
      <c r="L450" s="153">
        <v>70.31</v>
      </c>
      <c r="M450" s="80">
        <f t="shared" si="12"/>
        <v>70.31</v>
      </c>
      <c r="N450" s="80">
        <f t="shared" si="13"/>
        <v>70.27</v>
      </c>
      <c r="O450" s="153">
        <v>21.19</v>
      </c>
      <c r="P450" s="153">
        <v>21.01</v>
      </c>
      <c r="Q450" s="153">
        <v>21.11</v>
      </c>
      <c r="R450" s="153">
        <v>21.1</v>
      </c>
      <c r="S450" s="4"/>
      <c r="U450" s="147" t="s">
        <v>527</v>
      </c>
      <c r="V450" s="11"/>
      <c r="W450" s="4"/>
      <c r="X450" s="12"/>
      <c r="Y450" s="14"/>
      <c r="Z450" s="4"/>
      <c r="AA450" s="13"/>
      <c r="AB450" s="11"/>
      <c r="AC450" s="4"/>
      <c r="AD450" s="12"/>
      <c r="AE450" s="13"/>
      <c r="AF450" s="14">
        <v>5.0250000000000004</v>
      </c>
      <c r="AG450" s="133"/>
      <c r="AI450" s="84"/>
      <c r="AL450" s="64">
        <v>4.1722664500000004</v>
      </c>
      <c r="AM450" s="56">
        <v>14.00000000000006</v>
      </c>
      <c r="AN450" s="56">
        <v>15.920000000000019</v>
      </c>
      <c r="AO450" s="62">
        <v>21.95999999999998</v>
      </c>
      <c r="AQ450" s="64">
        <v>4.0818681833333326</v>
      </c>
      <c r="AR450" s="56">
        <v>13.35999999999995</v>
      </c>
      <c r="AS450" s="56">
        <v>14.780000000000021</v>
      </c>
      <c r="AT450" s="62">
        <v>18.719999999999981</v>
      </c>
      <c r="AV450" s="64">
        <v>3.7278443499999989</v>
      </c>
      <c r="AW450" s="56">
        <v>13.060000000000031</v>
      </c>
      <c r="AX450" s="56">
        <v>14.45999999999996</v>
      </c>
      <c r="AY450" s="62">
        <v>19.09999999999998</v>
      </c>
      <c r="BA450" s="64">
        <v>3.183350149999999</v>
      </c>
      <c r="BB450" s="56">
        <v>16.560000000000041</v>
      </c>
      <c r="BC450" s="56">
        <v>19.100000000000069</v>
      </c>
      <c r="BD450" s="62">
        <v>31.260000000000069</v>
      </c>
      <c r="BF450" s="64">
        <v>2.9476206000000009</v>
      </c>
      <c r="BG450" s="56">
        <v>20.05999999999997</v>
      </c>
      <c r="BH450" s="56">
        <v>26.999999999999961</v>
      </c>
      <c r="BI450" s="62">
        <v>55.319999999999943</v>
      </c>
      <c r="BJ450" s="70"/>
      <c r="BK450" s="51"/>
    </row>
    <row r="451" spans="1:63" x14ac:dyDescent="0.4">
      <c r="A451" s="11" t="s">
        <v>528</v>
      </c>
      <c r="B451" s="4"/>
      <c r="C451" s="4"/>
      <c r="D451" s="4"/>
      <c r="E451" s="12"/>
      <c r="G451" s="147" t="s">
        <v>528</v>
      </c>
      <c r="H451" s="159">
        <v>69.989999999999995</v>
      </c>
      <c r="I451" s="153">
        <v>70.290000000000006</v>
      </c>
      <c r="J451" s="153">
        <v>70.39</v>
      </c>
      <c r="K451" s="153">
        <v>70.349999999999994</v>
      </c>
      <c r="L451" s="153">
        <v>70.36</v>
      </c>
      <c r="M451" s="80">
        <f t="shared" si="12"/>
        <v>70.39</v>
      </c>
      <c r="N451" s="80">
        <f t="shared" si="13"/>
        <v>70.290000000000006</v>
      </c>
      <c r="O451" s="153">
        <v>21.14</v>
      </c>
      <c r="P451" s="153">
        <v>20.99</v>
      </c>
      <c r="Q451" s="153">
        <v>21.14</v>
      </c>
      <c r="R451" s="153">
        <v>21.1</v>
      </c>
      <c r="S451" s="4"/>
      <c r="U451" s="147" t="s">
        <v>528</v>
      </c>
      <c r="V451" s="11"/>
      <c r="W451" s="4"/>
      <c r="X451" s="12"/>
      <c r="Y451" s="14"/>
      <c r="Z451" s="4"/>
      <c r="AA451" s="13"/>
      <c r="AB451" s="11"/>
      <c r="AC451" s="4"/>
      <c r="AD451" s="12"/>
      <c r="AE451" s="13"/>
      <c r="AF451" s="14">
        <v>5.0113000000000003</v>
      </c>
      <c r="AG451" s="133"/>
      <c r="AI451" s="84"/>
      <c r="AL451" s="64">
        <v>4.172233733333333</v>
      </c>
      <c r="AM451" s="56">
        <v>14.380000000000059</v>
      </c>
      <c r="AN451" s="56">
        <v>16.300000000000029</v>
      </c>
      <c r="AO451" s="62">
        <v>22.36000000000011</v>
      </c>
      <c r="AQ451" s="64">
        <v>4.0811438666666673</v>
      </c>
      <c r="AR451" s="56">
        <v>13.59999999999992</v>
      </c>
      <c r="AS451" s="56">
        <v>14.979999999999899</v>
      </c>
      <c r="AT451" s="62">
        <v>18.959999999999951</v>
      </c>
      <c r="AV451" s="64">
        <v>3.7277295666666661</v>
      </c>
      <c r="AW451" s="56">
        <v>13.27999999999996</v>
      </c>
      <c r="AX451" s="56">
        <v>14.67999999999998</v>
      </c>
      <c r="AY451" s="62">
        <v>19.339999999999961</v>
      </c>
      <c r="BA451" s="64">
        <v>3.1844459333333339</v>
      </c>
      <c r="BB451" s="56">
        <v>16.319999999999979</v>
      </c>
      <c r="BC451" s="56">
        <v>18.77999999999993</v>
      </c>
      <c r="BD451" s="62">
        <v>30.719999999999992</v>
      </c>
      <c r="BF451" s="64">
        <v>2.9392096666666672</v>
      </c>
      <c r="BG451" s="56">
        <v>19.78</v>
      </c>
      <c r="BH451" s="56">
        <v>26.64</v>
      </c>
      <c r="BI451" s="62">
        <v>54.980000000000032</v>
      </c>
      <c r="BJ451" s="70"/>
      <c r="BK451" s="51"/>
    </row>
    <row r="452" spans="1:63" x14ac:dyDescent="0.4">
      <c r="A452" s="11" t="s">
        <v>529</v>
      </c>
      <c r="B452" s="4"/>
      <c r="C452" s="4"/>
      <c r="D452" s="4"/>
      <c r="E452" s="12"/>
      <c r="G452" s="147" t="s">
        <v>529</v>
      </c>
      <c r="H452" s="159">
        <v>70.055000000000007</v>
      </c>
      <c r="I452" s="153">
        <v>70.37</v>
      </c>
      <c r="J452" s="153">
        <v>70.33</v>
      </c>
      <c r="K452" s="153">
        <v>70.28</v>
      </c>
      <c r="L452" s="153">
        <v>70.34</v>
      </c>
      <c r="M452" s="80">
        <f t="shared" si="12"/>
        <v>70.37</v>
      </c>
      <c r="N452" s="80">
        <f t="shared" si="13"/>
        <v>70.28</v>
      </c>
      <c r="O452" s="153">
        <v>21.16</v>
      </c>
      <c r="P452" s="153">
        <v>21.05</v>
      </c>
      <c r="Q452" s="153">
        <v>21.17</v>
      </c>
      <c r="R452" s="153">
        <v>21.11</v>
      </c>
      <c r="S452" s="4"/>
      <c r="U452" s="147" t="s">
        <v>529</v>
      </c>
      <c r="V452" s="11"/>
      <c r="W452" s="4"/>
      <c r="X452" s="12"/>
      <c r="Y452" s="14"/>
      <c r="Z452" s="4"/>
      <c r="AA452" s="13"/>
      <c r="AB452" s="11"/>
      <c r="AC452" s="4"/>
      <c r="AD452" s="12"/>
      <c r="AE452" s="13"/>
      <c r="AF452" s="14">
        <v>5.0316000000000001</v>
      </c>
      <c r="AG452" s="133"/>
      <c r="AI452" s="84"/>
      <c r="AL452" s="64">
        <v>4.1722916000000003</v>
      </c>
      <c r="AM452" s="56">
        <v>15.08000000000003</v>
      </c>
      <c r="AN452" s="56">
        <v>17.040000000000081</v>
      </c>
      <c r="AO452" s="62">
        <v>23.280000000000101</v>
      </c>
      <c r="AQ452" s="64">
        <v>4.0834090499999993</v>
      </c>
      <c r="AR452" s="56">
        <v>14.8200000000001</v>
      </c>
      <c r="AS452" s="56">
        <v>16.319999999999979</v>
      </c>
      <c r="AT452" s="62">
        <v>20.500000000000011</v>
      </c>
      <c r="AV452" s="64">
        <v>3.7300352166666659</v>
      </c>
      <c r="AW452" s="56">
        <v>14.48</v>
      </c>
      <c r="AX452" s="56">
        <v>16.000000000000011</v>
      </c>
      <c r="AY452" s="62">
        <v>20.900000000000048</v>
      </c>
      <c r="BA452" s="64">
        <v>3.1847544999999999</v>
      </c>
      <c r="BB452" s="56">
        <v>17.419999999999991</v>
      </c>
      <c r="BC452" s="56">
        <v>19.979999999999979</v>
      </c>
      <c r="BD452" s="62">
        <v>32.359999999999992</v>
      </c>
      <c r="BF452" s="64">
        <v>2.9399132666666659</v>
      </c>
      <c r="BG452" s="56">
        <v>20.900000000000048</v>
      </c>
      <c r="BH452" s="56">
        <v>27.46000000000004</v>
      </c>
      <c r="BI452" s="62">
        <v>55.700000000000038</v>
      </c>
      <c r="BJ452" s="70"/>
      <c r="BK452" s="51"/>
    </row>
    <row r="453" spans="1:63" x14ac:dyDescent="0.4">
      <c r="A453" s="11" t="s">
        <v>530</v>
      </c>
      <c r="B453" s="4"/>
      <c r="C453" s="4"/>
      <c r="D453" s="4"/>
      <c r="E453" s="12"/>
      <c r="G453" s="147" t="s">
        <v>530</v>
      </c>
      <c r="H453" s="159">
        <v>69.923000000000002</v>
      </c>
      <c r="I453" s="153">
        <v>70.349999999999994</v>
      </c>
      <c r="J453" s="153">
        <v>70.37</v>
      </c>
      <c r="K453" s="153">
        <v>70.33</v>
      </c>
      <c r="L453" s="153">
        <v>70.290000000000006</v>
      </c>
      <c r="M453" s="80">
        <f t="shared" si="12"/>
        <v>70.37</v>
      </c>
      <c r="N453" s="80">
        <f t="shared" si="13"/>
        <v>70.290000000000006</v>
      </c>
      <c r="O453" s="153">
        <v>21.19</v>
      </c>
      <c r="P453" s="153">
        <v>21.11</v>
      </c>
      <c r="Q453" s="153">
        <v>21.16</v>
      </c>
      <c r="R453" s="153">
        <v>21.12</v>
      </c>
      <c r="S453" s="4"/>
      <c r="U453" s="147" t="s">
        <v>530</v>
      </c>
      <c r="V453" s="11"/>
      <c r="W453" s="4"/>
      <c r="X453" s="12"/>
      <c r="Y453" s="14"/>
      <c r="Z453" s="4"/>
      <c r="AA453" s="13"/>
      <c r="AB453" s="11"/>
      <c r="AC453" s="4"/>
      <c r="AD453" s="12"/>
      <c r="AE453" s="13"/>
      <c r="AF453" s="14">
        <v>5.0129999999999999</v>
      </c>
      <c r="AG453" s="133"/>
      <c r="AI453" s="84"/>
      <c r="AL453" s="64">
        <v>4.1722053666666667</v>
      </c>
      <c r="AM453" s="56">
        <v>13.959999999999971</v>
      </c>
      <c r="AN453" s="56">
        <v>15.960000000000109</v>
      </c>
      <c r="AO453" s="62">
        <v>22.100000000000009</v>
      </c>
      <c r="AQ453" s="64">
        <v>4.0822507000000003</v>
      </c>
      <c r="AR453" s="56">
        <v>13.620000000000051</v>
      </c>
      <c r="AS453" s="56">
        <v>15.000000000000041</v>
      </c>
      <c r="AT453" s="62">
        <v>18.98</v>
      </c>
      <c r="AV453" s="64">
        <v>3.72901215</v>
      </c>
      <c r="AW453" s="56">
        <v>13.27999999999996</v>
      </c>
      <c r="AX453" s="56">
        <v>14.65999999999994</v>
      </c>
      <c r="AY453" s="62">
        <v>19.339999999999961</v>
      </c>
      <c r="BA453" s="64">
        <v>3.18921755</v>
      </c>
      <c r="BB453" s="56">
        <v>16.520000000000049</v>
      </c>
      <c r="BC453" s="56">
        <v>18.98</v>
      </c>
      <c r="BD453" s="62">
        <v>30.880000000000059</v>
      </c>
      <c r="BF453" s="64">
        <v>2.9464758666666668</v>
      </c>
      <c r="BG453" s="56">
        <v>19.899999999999981</v>
      </c>
      <c r="BH453" s="56">
        <v>26.619999999999951</v>
      </c>
      <c r="BI453" s="62">
        <v>54.459999999999987</v>
      </c>
      <c r="BJ453" s="70"/>
      <c r="BK453" s="51"/>
    </row>
    <row r="454" spans="1:63" x14ac:dyDescent="0.4">
      <c r="A454" s="11" t="s">
        <v>531</v>
      </c>
      <c r="B454" s="4"/>
      <c r="C454" s="4"/>
      <c r="D454" s="4"/>
      <c r="E454" s="12"/>
      <c r="G454" s="147" t="s">
        <v>531</v>
      </c>
      <c r="H454" s="159">
        <v>69.938000000000002</v>
      </c>
      <c r="I454" s="153">
        <v>70.31</v>
      </c>
      <c r="J454" s="153">
        <v>70.319999999999993</v>
      </c>
      <c r="K454" s="153">
        <v>70.349999999999994</v>
      </c>
      <c r="L454" s="153">
        <v>70.34</v>
      </c>
      <c r="M454" s="80">
        <f t="shared" ref="M454:M517" si="14">MAX(I454:L454)</f>
        <v>70.349999999999994</v>
      </c>
      <c r="N454" s="80">
        <f t="shared" ref="N454:N517" si="15">MIN(I454:L454)</f>
        <v>70.31</v>
      </c>
      <c r="O454" s="153">
        <v>21.09</v>
      </c>
      <c r="P454" s="153">
        <v>21</v>
      </c>
      <c r="Q454" s="153">
        <v>21.15</v>
      </c>
      <c r="R454" s="153">
        <v>21.07</v>
      </c>
      <c r="S454" s="4"/>
      <c r="U454" s="147" t="s">
        <v>531</v>
      </c>
      <c r="V454" s="11"/>
      <c r="W454" s="4"/>
      <c r="X454" s="12"/>
      <c r="Y454" s="14"/>
      <c r="Z454" s="4"/>
      <c r="AA454" s="13"/>
      <c r="AB454" s="11"/>
      <c r="AC454" s="4"/>
      <c r="AD454" s="12"/>
      <c r="AE454" s="13"/>
      <c r="AF454" s="14">
        <v>4.9981999999999998</v>
      </c>
      <c r="AG454" s="133"/>
      <c r="AI454" s="84"/>
      <c r="AL454" s="64">
        <v>4.1721395833333332</v>
      </c>
      <c r="AM454" s="56">
        <v>15.08000000000003</v>
      </c>
      <c r="AN454" s="56">
        <v>17.100000000000119</v>
      </c>
      <c r="AO454" s="62">
        <v>23.320000000000011</v>
      </c>
      <c r="AQ454" s="64">
        <v>4.0830613333333341</v>
      </c>
      <c r="AR454" s="56">
        <v>14.700000000000021</v>
      </c>
      <c r="AS454" s="56">
        <v>16.17999999999995</v>
      </c>
      <c r="AT454" s="62">
        <v>20.359999999999982</v>
      </c>
      <c r="AV454" s="64">
        <v>3.7293907000000002</v>
      </c>
      <c r="AW454" s="56">
        <v>14.33999999999997</v>
      </c>
      <c r="AX454" s="56">
        <v>15.839999999999939</v>
      </c>
      <c r="AY454" s="62">
        <v>20.739999999999981</v>
      </c>
      <c r="BA454" s="64">
        <v>3.1842593333333329</v>
      </c>
      <c r="BB454" s="56">
        <v>17.38</v>
      </c>
      <c r="BC454" s="56">
        <v>19.93999999999998</v>
      </c>
      <c r="BD454" s="62">
        <v>32.279999999999987</v>
      </c>
      <c r="BF454" s="64">
        <v>2.9387523</v>
      </c>
      <c r="BG454" s="56">
        <v>20.719999999999938</v>
      </c>
      <c r="BH454" s="56">
        <v>27.419999999999959</v>
      </c>
      <c r="BI454" s="62">
        <v>55.719999999999992</v>
      </c>
      <c r="BJ454" s="69"/>
      <c r="BK454" s="51"/>
    </row>
    <row r="455" spans="1:63" x14ac:dyDescent="0.4">
      <c r="A455" s="11" t="s">
        <v>532</v>
      </c>
      <c r="B455" s="4"/>
      <c r="C455" s="4"/>
      <c r="D455" s="4"/>
      <c r="E455" s="12"/>
      <c r="G455" s="147" t="s">
        <v>532</v>
      </c>
      <c r="H455" s="159">
        <v>69.933999999999997</v>
      </c>
      <c r="I455" s="153">
        <v>70.319999999999993</v>
      </c>
      <c r="J455" s="153">
        <v>70.400000000000006</v>
      </c>
      <c r="K455" s="153">
        <v>70.349999999999994</v>
      </c>
      <c r="L455" s="153">
        <v>70.3</v>
      </c>
      <c r="M455" s="80">
        <f t="shared" si="14"/>
        <v>70.400000000000006</v>
      </c>
      <c r="N455" s="80">
        <f t="shared" si="15"/>
        <v>70.3</v>
      </c>
      <c r="O455" s="153">
        <v>21.16</v>
      </c>
      <c r="P455" s="153">
        <v>21.14</v>
      </c>
      <c r="Q455" s="153">
        <v>21.14</v>
      </c>
      <c r="R455" s="153">
        <v>21.08</v>
      </c>
      <c r="S455" s="4"/>
      <c r="U455" s="147" t="s">
        <v>532</v>
      </c>
      <c r="V455" s="11"/>
      <c r="W455" s="4"/>
      <c r="X455" s="12"/>
      <c r="Y455" s="14"/>
      <c r="Z455" s="4"/>
      <c r="AA455" s="13"/>
      <c r="AB455" s="11"/>
      <c r="AC455" s="4"/>
      <c r="AD455" s="12"/>
      <c r="AE455" s="13"/>
      <c r="AF455" s="14">
        <v>5.0255999999999998</v>
      </c>
      <c r="AG455" s="133"/>
      <c r="AI455" s="84"/>
      <c r="AL455" s="64">
        <v>4.1722153999999998</v>
      </c>
      <c r="AM455" s="56">
        <v>15.33999999999995</v>
      </c>
      <c r="AN455" s="56">
        <v>17.399999999999949</v>
      </c>
      <c r="AO455" s="62">
        <v>23.639999999999969</v>
      </c>
      <c r="AQ455" s="64">
        <v>4.0818924666666661</v>
      </c>
      <c r="AR455" s="56">
        <v>14.76000000000006</v>
      </c>
      <c r="AS455" s="56">
        <v>16.259999999999941</v>
      </c>
      <c r="AT455" s="62">
        <v>20.39999999999997</v>
      </c>
      <c r="AV455" s="64">
        <v>3.728746566666667</v>
      </c>
      <c r="AW455" s="56">
        <v>14.32000000000002</v>
      </c>
      <c r="AX455" s="56">
        <v>15.84000000000003</v>
      </c>
      <c r="AY455" s="62">
        <v>20.699999999999989</v>
      </c>
      <c r="BA455" s="64">
        <v>3.1803354166666669</v>
      </c>
      <c r="BB455" s="56">
        <v>17.039999999999988</v>
      </c>
      <c r="BC455" s="56">
        <v>19.599999999999969</v>
      </c>
      <c r="BD455" s="62">
        <v>31.939999999999991</v>
      </c>
      <c r="BF455" s="64">
        <v>2.93086475</v>
      </c>
      <c r="BG455" s="56">
        <v>20.26000000000003</v>
      </c>
      <c r="BH455" s="56">
        <v>26.98</v>
      </c>
      <c r="BI455" s="62">
        <v>55.700000000000038</v>
      </c>
      <c r="BJ455" s="70"/>
      <c r="BK455" s="51"/>
    </row>
    <row r="456" spans="1:63" x14ac:dyDescent="0.4">
      <c r="A456" s="11" t="s">
        <v>533</v>
      </c>
      <c r="B456" s="4"/>
      <c r="C456" s="4"/>
      <c r="D456" s="4"/>
      <c r="E456" s="12"/>
      <c r="G456" s="147" t="s">
        <v>533</v>
      </c>
      <c r="H456" s="159">
        <v>69.887</v>
      </c>
      <c r="I456" s="160">
        <v>70.28</v>
      </c>
      <c r="J456" s="153">
        <v>70.290000000000006</v>
      </c>
      <c r="K456" s="153">
        <v>70.3</v>
      </c>
      <c r="L456" s="153">
        <v>70.290000000000006</v>
      </c>
      <c r="M456" s="80">
        <f t="shared" si="14"/>
        <v>70.3</v>
      </c>
      <c r="N456" s="80">
        <f t="shared" si="15"/>
        <v>70.28</v>
      </c>
      <c r="O456" s="153">
        <v>21.14</v>
      </c>
      <c r="P456" s="153">
        <v>21.12</v>
      </c>
      <c r="Q456" s="153">
        <v>21.12</v>
      </c>
      <c r="R456" s="153">
        <v>21.08</v>
      </c>
      <c r="S456" s="4"/>
      <c r="U456" s="147" t="s">
        <v>533</v>
      </c>
      <c r="V456" s="11"/>
      <c r="W456" s="4"/>
      <c r="X456" s="12"/>
      <c r="Y456" s="14"/>
      <c r="Z456" s="4"/>
      <c r="AA456" s="13"/>
      <c r="AB456" s="11"/>
      <c r="AC456" s="4"/>
      <c r="AD456" s="12"/>
      <c r="AE456" s="13"/>
      <c r="AF456" s="14">
        <v>5.0243000000000002</v>
      </c>
      <c r="AG456" s="133"/>
      <c r="AI456" s="84"/>
      <c r="AL456" s="64">
        <v>4.1725808333333338</v>
      </c>
      <c r="AM456" s="56">
        <v>14.00000000000006</v>
      </c>
      <c r="AN456" s="56">
        <v>15.90000000000007</v>
      </c>
      <c r="AO456" s="62">
        <v>22.060000000000102</v>
      </c>
      <c r="AQ456" s="64">
        <v>4.0812143166666672</v>
      </c>
      <c r="AR456" s="56">
        <v>13.57999999999997</v>
      </c>
      <c r="AS456" s="56">
        <v>14.979999999999899</v>
      </c>
      <c r="AT456" s="62">
        <v>18.940000000000001</v>
      </c>
      <c r="AV456" s="64">
        <v>3.7271344000000002</v>
      </c>
      <c r="AW456" s="56">
        <v>13.199999999999971</v>
      </c>
      <c r="AX456" s="56">
        <v>14.599999999999991</v>
      </c>
      <c r="AY456" s="62">
        <v>19.240000000000009</v>
      </c>
      <c r="BA456" s="64">
        <v>3.1859663666666669</v>
      </c>
      <c r="BB456" s="56">
        <v>15.87999999999994</v>
      </c>
      <c r="BC456" s="56">
        <v>18.299999999999979</v>
      </c>
      <c r="BD456" s="62">
        <v>30.140000000000011</v>
      </c>
      <c r="BF456" s="64">
        <v>2.9382279833333329</v>
      </c>
      <c r="BG456" s="56">
        <v>18.98</v>
      </c>
      <c r="BH456" s="56">
        <v>25.199999999999982</v>
      </c>
      <c r="BI456" s="62">
        <v>52.339999999999961</v>
      </c>
      <c r="BJ456" s="70"/>
      <c r="BK456" s="51"/>
    </row>
    <row r="457" spans="1:63" x14ac:dyDescent="0.4">
      <c r="A457" s="11" t="s">
        <v>534</v>
      </c>
      <c r="B457" s="4"/>
      <c r="C457" s="4"/>
      <c r="D457" s="4"/>
      <c r="E457" s="12"/>
      <c r="G457" s="147" t="s">
        <v>534</v>
      </c>
      <c r="H457" s="159">
        <v>70.994</v>
      </c>
      <c r="I457" s="153">
        <v>70.290000000000006</v>
      </c>
      <c r="J457" s="153">
        <v>70.31</v>
      </c>
      <c r="K457" s="153">
        <v>70.290000000000006</v>
      </c>
      <c r="L457" s="153">
        <v>70.39</v>
      </c>
      <c r="M457" s="80">
        <f t="shared" si="14"/>
        <v>70.39</v>
      </c>
      <c r="N457" s="80">
        <f t="shared" si="15"/>
        <v>70.290000000000006</v>
      </c>
      <c r="O457" s="153">
        <v>21.18</v>
      </c>
      <c r="P457" s="153">
        <v>21.16</v>
      </c>
      <c r="Q457" s="153">
        <v>21.14</v>
      </c>
      <c r="R457" s="153">
        <v>21.09</v>
      </c>
      <c r="S457" s="4"/>
      <c r="U457" s="147" t="s">
        <v>534</v>
      </c>
      <c r="V457" s="11"/>
      <c r="W457" s="4"/>
      <c r="X457" s="12"/>
      <c r="Y457" s="14"/>
      <c r="Z457" s="4"/>
      <c r="AA457" s="13"/>
      <c r="AB457" s="11"/>
      <c r="AC457" s="4"/>
      <c r="AD457" s="12"/>
      <c r="AE457" s="13"/>
      <c r="AF457" s="14">
        <v>5.0254000000000003</v>
      </c>
      <c r="AG457" s="133"/>
      <c r="AI457" s="84"/>
      <c r="AL457" s="64">
        <v>4.1726771499999993</v>
      </c>
      <c r="AM457" s="56">
        <v>14.13999999999991</v>
      </c>
      <c r="AN457" s="56">
        <v>16.060000000000048</v>
      </c>
      <c r="AO457" s="62">
        <v>22.19999999999995</v>
      </c>
      <c r="AQ457" s="64">
        <v>4.081242416666667</v>
      </c>
      <c r="AR457" s="56">
        <v>13.61999999999988</v>
      </c>
      <c r="AS457" s="56">
        <v>15.019999999999991</v>
      </c>
      <c r="AT457" s="62">
        <v>18.99999999999995</v>
      </c>
      <c r="AV457" s="64">
        <v>3.7266099000000001</v>
      </c>
      <c r="AW457" s="56">
        <v>13.34</v>
      </c>
      <c r="AX457" s="56">
        <v>14.76000000000006</v>
      </c>
      <c r="AY457" s="62">
        <v>19.460000000000029</v>
      </c>
      <c r="BA457" s="64">
        <v>3.1846985999999999</v>
      </c>
      <c r="BB457" s="56">
        <v>16.5</v>
      </c>
      <c r="BC457" s="56">
        <v>19.000000000000039</v>
      </c>
      <c r="BD457" s="62">
        <v>31.099999999999991</v>
      </c>
      <c r="BF457" s="64">
        <v>2.941141116666667</v>
      </c>
      <c r="BG457" s="56">
        <v>19.620000000000019</v>
      </c>
      <c r="BH457" s="56">
        <v>25.900000000000031</v>
      </c>
      <c r="BI457" s="62">
        <v>53.04000000000002</v>
      </c>
      <c r="BJ457" s="69"/>
      <c r="BK457" s="51"/>
    </row>
    <row r="458" spans="1:63" x14ac:dyDescent="0.4">
      <c r="A458" s="11" t="s">
        <v>535</v>
      </c>
      <c r="B458" s="4"/>
      <c r="C458" s="4"/>
      <c r="D458" s="4"/>
      <c r="E458" s="12"/>
      <c r="G458" s="147" t="s">
        <v>535</v>
      </c>
      <c r="H458" s="159">
        <v>69.864000000000004</v>
      </c>
      <c r="I458" s="153">
        <v>70.28</v>
      </c>
      <c r="J458" s="153">
        <v>70.34</v>
      </c>
      <c r="K458" s="153">
        <v>70.319999999999993</v>
      </c>
      <c r="L458" s="153">
        <v>70.400000000000006</v>
      </c>
      <c r="M458" s="80">
        <f t="shared" si="14"/>
        <v>70.400000000000006</v>
      </c>
      <c r="N458" s="80">
        <f t="shared" si="15"/>
        <v>70.28</v>
      </c>
      <c r="O458" s="153">
        <v>21.17</v>
      </c>
      <c r="P458" s="153">
        <v>21.14</v>
      </c>
      <c r="Q458" s="153">
        <v>21.14</v>
      </c>
      <c r="R458" s="153">
        <v>21.12</v>
      </c>
      <c r="S458" s="4"/>
      <c r="U458" s="147" t="s">
        <v>535</v>
      </c>
      <c r="V458" s="11"/>
      <c r="W458" s="4"/>
      <c r="X458" s="12"/>
      <c r="Y458" s="14"/>
      <c r="Z458" s="4"/>
      <c r="AA458" s="13"/>
      <c r="AB458" s="11"/>
      <c r="AC458" s="4"/>
      <c r="AD458" s="12"/>
      <c r="AE458" s="13"/>
      <c r="AF458" s="14">
        <v>5.0183999999999997</v>
      </c>
      <c r="AG458" s="133"/>
      <c r="AI458" s="84"/>
      <c r="AL458" s="64">
        <v>4.173081016666667</v>
      </c>
      <c r="AM458" s="56">
        <v>14.059999999999921</v>
      </c>
      <c r="AN458" s="56">
        <v>15.95999999999993</v>
      </c>
      <c r="AO458" s="62">
        <v>22.080000000000059</v>
      </c>
      <c r="AQ458" s="64">
        <v>4.0816174833333339</v>
      </c>
      <c r="AR458" s="56">
        <v>13.539999999999891</v>
      </c>
      <c r="AS458" s="56">
        <v>14.89999999999991</v>
      </c>
      <c r="AT458" s="62">
        <v>18.839999999999971</v>
      </c>
      <c r="AV458" s="64">
        <v>3.7270492666666661</v>
      </c>
      <c r="AW458" s="56">
        <v>13.15999999999997</v>
      </c>
      <c r="AX458" s="56">
        <v>14.56</v>
      </c>
      <c r="AY458" s="62">
        <v>19.179999999999971</v>
      </c>
      <c r="BA458" s="64">
        <v>3.1865066166666671</v>
      </c>
      <c r="BB458" s="56">
        <v>15.839999999999939</v>
      </c>
      <c r="BC458" s="56">
        <v>18.259999999999991</v>
      </c>
      <c r="BD458" s="62">
        <v>30.09999999999993</v>
      </c>
      <c r="BF458" s="64">
        <v>2.9423071333333328</v>
      </c>
      <c r="BG458" s="56">
        <v>18.86000000000001</v>
      </c>
      <c r="BH458" s="56">
        <v>25.079999999999991</v>
      </c>
      <c r="BI458" s="62">
        <v>51.94</v>
      </c>
      <c r="BJ458" s="70"/>
      <c r="BK458" s="51"/>
    </row>
    <row r="459" spans="1:63" x14ac:dyDescent="0.4">
      <c r="A459" s="11" t="s">
        <v>536</v>
      </c>
      <c r="B459" s="4"/>
      <c r="C459" s="4"/>
      <c r="D459" s="4"/>
      <c r="E459" s="12"/>
      <c r="G459" s="147" t="s">
        <v>536</v>
      </c>
      <c r="H459" s="159">
        <v>70.146000000000001</v>
      </c>
      <c r="I459" s="153">
        <v>70.28</v>
      </c>
      <c r="J459" s="153">
        <v>70.319999999999993</v>
      </c>
      <c r="K459" s="153">
        <v>70.400000000000006</v>
      </c>
      <c r="L459" s="153">
        <v>70.38</v>
      </c>
      <c r="M459" s="80">
        <f t="shared" si="14"/>
        <v>70.400000000000006</v>
      </c>
      <c r="N459" s="80">
        <f t="shared" si="15"/>
        <v>70.28</v>
      </c>
      <c r="O459" s="153">
        <v>21.18</v>
      </c>
      <c r="P459" s="153">
        <v>21.16</v>
      </c>
      <c r="Q459" s="153">
        <v>21.17</v>
      </c>
      <c r="R459" s="153">
        <v>21.15</v>
      </c>
      <c r="S459" s="4"/>
      <c r="U459" s="147" t="s">
        <v>536</v>
      </c>
      <c r="V459" s="11"/>
      <c r="W459" s="4"/>
      <c r="X459" s="12"/>
      <c r="Y459" s="14"/>
      <c r="Z459" s="4"/>
      <c r="AA459" s="13"/>
      <c r="AB459" s="11"/>
      <c r="AC459" s="4"/>
      <c r="AD459" s="12"/>
      <c r="AE459" s="13"/>
      <c r="AF459" s="14">
        <v>5.0159000000000002</v>
      </c>
      <c r="AG459" s="133"/>
      <c r="AI459" s="84"/>
      <c r="AL459" s="64">
        <v>4.1727818499999998</v>
      </c>
      <c r="AM459" s="56">
        <v>14.460000000000051</v>
      </c>
      <c r="AN459" s="56">
        <v>16.41999999999992</v>
      </c>
      <c r="AO459" s="62">
        <v>22.65999999999995</v>
      </c>
      <c r="AQ459" s="64">
        <v>4.0823369666666673</v>
      </c>
      <c r="AR459" s="56">
        <v>14.160000000000039</v>
      </c>
      <c r="AS459" s="56">
        <v>15.579999999999931</v>
      </c>
      <c r="AT459" s="62">
        <v>19.699999999999921</v>
      </c>
      <c r="AV459" s="64">
        <v>3.7275493833333342</v>
      </c>
      <c r="AW459" s="56">
        <v>13.879999999999979</v>
      </c>
      <c r="AX459" s="56">
        <v>15.33999999999995</v>
      </c>
      <c r="AY459" s="62">
        <v>20.12</v>
      </c>
      <c r="BA459" s="64">
        <v>3.184938966666667</v>
      </c>
      <c r="BB459" s="56">
        <v>17.079999999999981</v>
      </c>
      <c r="BC459" s="56">
        <v>19.620000000000019</v>
      </c>
      <c r="BD459" s="62">
        <v>31.86</v>
      </c>
      <c r="BF459" s="64">
        <v>2.9392425333333332</v>
      </c>
      <c r="BG459" s="56">
        <v>20.12</v>
      </c>
      <c r="BH459" s="56">
        <v>26.52000000000001</v>
      </c>
      <c r="BI459" s="62">
        <v>53.979999999999961</v>
      </c>
      <c r="BJ459" s="70"/>
      <c r="BK459" s="51"/>
    </row>
    <row r="460" spans="1:63" x14ac:dyDescent="0.4">
      <c r="A460" s="11" t="s">
        <v>537</v>
      </c>
      <c r="B460" s="4"/>
      <c r="C460" s="4"/>
      <c r="D460" s="4"/>
      <c r="E460" s="12"/>
      <c r="G460" s="147" t="s">
        <v>537</v>
      </c>
      <c r="H460" s="159">
        <v>70.016000000000005</v>
      </c>
      <c r="I460" s="153">
        <v>70.38</v>
      </c>
      <c r="J460" s="153">
        <v>70.3</v>
      </c>
      <c r="K460" s="153">
        <v>70.290000000000006</v>
      </c>
      <c r="L460" s="153">
        <v>70.36</v>
      </c>
      <c r="M460" s="80">
        <f t="shared" si="14"/>
        <v>70.38</v>
      </c>
      <c r="N460" s="80">
        <f t="shared" si="15"/>
        <v>70.290000000000006</v>
      </c>
      <c r="O460" s="153">
        <v>21.18</v>
      </c>
      <c r="P460" s="153">
        <v>21.17</v>
      </c>
      <c r="Q460" s="153">
        <v>21.14</v>
      </c>
      <c r="R460" s="153">
        <v>21.12</v>
      </c>
      <c r="S460" s="4"/>
      <c r="U460" s="147" t="s">
        <v>537</v>
      </c>
      <c r="V460" s="11"/>
      <c r="W460" s="4"/>
      <c r="X460" s="12"/>
      <c r="Y460" s="14"/>
      <c r="Z460" s="4"/>
      <c r="AA460" s="13"/>
      <c r="AB460" s="11"/>
      <c r="AC460" s="4"/>
      <c r="AD460" s="12"/>
      <c r="AE460" s="13"/>
      <c r="AF460" s="14">
        <v>5.0255999999999998</v>
      </c>
      <c r="AG460" s="133"/>
      <c r="AI460" s="84"/>
      <c r="AL460" s="64">
        <v>4.1730231</v>
      </c>
      <c r="AM460" s="56">
        <v>15.019999999999991</v>
      </c>
      <c r="AN460" s="56">
        <v>16.999999999999989</v>
      </c>
      <c r="AO460" s="62">
        <v>23.140000000000072</v>
      </c>
      <c r="AQ460" s="64">
        <v>4.0814416166666669</v>
      </c>
      <c r="AR460" s="56">
        <v>14.25999999999998</v>
      </c>
      <c r="AS460" s="56">
        <v>15.82000000000008</v>
      </c>
      <c r="AT460" s="62">
        <v>20.000000000000021</v>
      </c>
      <c r="AV460" s="64">
        <v>3.7296939000000009</v>
      </c>
      <c r="AW460" s="56">
        <v>13.99999999999997</v>
      </c>
      <c r="AX460" s="56">
        <v>15.479999999999981</v>
      </c>
      <c r="AY460" s="62">
        <v>20.27999999999999</v>
      </c>
      <c r="BA460" s="64">
        <v>3.1880516666666661</v>
      </c>
      <c r="BB460" s="56">
        <v>16.999999999999989</v>
      </c>
      <c r="BC460" s="56">
        <v>19.500000000000028</v>
      </c>
      <c r="BD460" s="62">
        <v>31.540000000000031</v>
      </c>
      <c r="BF460" s="64">
        <v>2.9362945833333329</v>
      </c>
      <c r="BG460" s="56">
        <v>20.339999999999939</v>
      </c>
      <c r="BH460" s="56">
        <v>26.940000000000008</v>
      </c>
      <c r="BI460" s="62">
        <v>55.059999999999931</v>
      </c>
      <c r="BJ460" s="70"/>
      <c r="BK460" s="51"/>
    </row>
    <row r="461" spans="1:63" x14ac:dyDescent="0.4">
      <c r="A461" s="11" t="s">
        <v>538</v>
      </c>
      <c r="B461" s="4"/>
      <c r="C461" s="4"/>
      <c r="D461" s="4"/>
      <c r="E461" s="12"/>
      <c r="G461" s="147" t="s">
        <v>538</v>
      </c>
      <c r="H461" s="159">
        <v>70.042000000000002</v>
      </c>
      <c r="I461" s="153">
        <v>70.39</v>
      </c>
      <c r="J461" s="153">
        <v>70.34</v>
      </c>
      <c r="K461" s="153">
        <v>70.34</v>
      </c>
      <c r="L461" s="153">
        <v>70.31</v>
      </c>
      <c r="M461" s="80">
        <f t="shared" si="14"/>
        <v>70.39</v>
      </c>
      <c r="N461" s="80">
        <f t="shared" si="15"/>
        <v>70.31</v>
      </c>
      <c r="O461" s="153">
        <v>21.19</v>
      </c>
      <c r="P461" s="153">
        <v>21.17</v>
      </c>
      <c r="Q461" s="153">
        <v>21.14</v>
      </c>
      <c r="R461" s="153">
        <v>21.12</v>
      </c>
      <c r="S461" s="4"/>
      <c r="U461" s="147" t="s">
        <v>538</v>
      </c>
      <c r="V461" s="11"/>
      <c r="W461" s="4"/>
      <c r="X461" s="12"/>
      <c r="Y461" s="14"/>
      <c r="Z461" s="4"/>
      <c r="AA461" s="13"/>
      <c r="AB461" s="11"/>
      <c r="AC461" s="4"/>
      <c r="AD461" s="12"/>
      <c r="AE461" s="13"/>
      <c r="AF461" s="14">
        <v>5.0328999999999997</v>
      </c>
      <c r="AG461" s="133"/>
      <c r="AI461" s="84"/>
      <c r="AL461" s="64">
        <v>4.1731935333333334</v>
      </c>
      <c r="AM461" s="56">
        <v>13.79999999999999</v>
      </c>
      <c r="AN461" s="56">
        <v>15.7</v>
      </c>
      <c r="AO461" s="62">
        <v>21.759999999999909</v>
      </c>
      <c r="AQ461" s="64">
        <v>4.0825105333333314</v>
      </c>
      <c r="AR461" s="56">
        <v>13.30000000000009</v>
      </c>
      <c r="AS461" s="56">
        <v>14.700000000000021</v>
      </c>
      <c r="AT461" s="62">
        <v>18.62000000000004</v>
      </c>
      <c r="AV461" s="64">
        <v>3.7292513999999999</v>
      </c>
      <c r="AW461" s="56">
        <v>12.899999999999959</v>
      </c>
      <c r="AX461" s="56">
        <v>14.279999999999941</v>
      </c>
      <c r="AY461" s="62">
        <v>18.87999999999996</v>
      </c>
      <c r="BA461" s="64">
        <v>3.186616466666667</v>
      </c>
      <c r="BB461" s="56">
        <v>15.7</v>
      </c>
      <c r="BC461" s="56">
        <v>18.100000000000001</v>
      </c>
      <c r="BD461" s="62">
        <v>29.84</v>
      </c>
      <c r="BF461" s="64">
        <v>2.9272510999999999</v>
      </c>
      <c r="BG461" s="56">
        <v>18.99999999999995</v>
      </c>
      <c r="BH461" s="56">
        <v>25.560000000000031</v>
      </c>
      <c r="BI461" s="62">
        <v>54.059999999999953</v>
      </c>
      <c r="BJ461" s="70"/>
      <c r="BK461" s="51"/>
    </row>
    <row r="462" spans="1:63" x14ac:dyDescent="0.4">
      <c r="A462" s="11" t="s">
        <v>539</v>
      </c>
      <c r="B462" s="4"/>
      <c r="C462" s="4"/>
      <c r="D462" s="4"/>
      <c r="E462" s="12"/>
      <c r="G462" s="147" t="s">
        <v>539</v>
      </c>
      <c r="H462" s="159">
        <v>69.991</v>
      </c>
      <c r="I462" s="153">
        <v>70.37</v>
      </c>
      <c r="J462" s="153">
        <v>70.290000000000006</v>
      </c>
      <c r="K462" s="153">
        <v>70.31</v>
      </c>
      <c r="L462" s="153">
        <v>70.33</v>
      </c>
      <c r="M462" s="80">
        <f t="shared" si="14"/>
        <v>70.37</v>
      </c>
      <c r="N462" s="80">
        <f t="shared" si="15"/>
        <v>70.290000000000006</v>
      </c>
      <c r="O462" s="153">
        <v>21.18</v>
      </c>
      <c r="P462" s="153">
        <v>21.16</v>
      </c>
      <c r="Q462" s="153">
        <v>21.14</v>
      </c>
      <c r="R462" s="153">
        <v>21.1</v>
      </c>
      <c r="S462" s="4"/>
      <c r="U462" s="147" t="s">
        <v>539</v>
      </c>
      <c r="V462" s="11"/>
      <c r="W462" s="4"/>
      <c r="X462" s="12"/>
      <c r="Y462" s="14"/>
      <c r="Z462" s="4"/>
      <c r="AA462" s="13"/>
      <c r="AB462" s="11"/>
      <c r="AC462" s="4"/>
      <c r="AD462" s="12"/>
      <c r="AE462" s="13"/>
      <c r="AF462" s="14">
        <v>5.0225</v>
      </c>
      <c r="AG462" s="133"/>
      <c r="AI462" s="84"/>
      <c r="AL462" s="64">
        <v>4.1729391333333332</v>
      </c>
      <c r="AM462" s="56">
        <v>13.78000000000004</v>
      </c>
      <c r="AN462" s="56">
        <v>15.7</v>
      </c>
      <c r="AO462" s="62">
        <v>21.739999999999959</v>
      </c>
      <c r="AQ462" s="64">
        <v>4.0823247833333349</v>
      </c>
      <c r="AR462" s="56">
        <v>13.320000000000039</v>
      </c>
      <c r="AS462" s="56">
        <v>14.719999999999979</v>
      </c>
      <c r="AT462" s="62">
        <v>18.63999999999999</v>
      </c>
      <c r="AV462" s="64">
        <v>3.729788783333333</v>
      </c>
      <c r="AW462" s="56">
        <v>12.960000000000081</v>
      </c>
      <c r="AX462" s="56">
        <v>14.34000000000006</v>
      </c>
      <c r="AY462" s="62">
        <v>18.940000000000001</v>
      </c>
      <c r="BA462" s="64">
        <v>3.1885931333333328</v>
      </c>
      <c r="BB462" s="56">
        <v>15.7</v>
      </c>
      <c r="BC462" s="56">
        <v>18.080000000000052</v>
      </c>
      <c r="BD462" s="62">
        <v>29.740000000000059</v>
      </c>
      <c r="BF462" s="64">
        <v>2.9268468666666672</v>
      </c>
      <c r="BG462" s="56">
        <v>18.940000000000001</v>
      </c>
      <c r="BH462" s="56">
        <v>25.560000000000031</v>
      </c>
      <c r="BI462" s="62">
        <v>54.04</v>
      </c>
      <c r="BJ462" s="69"/>
      <c r="BK462" s="51"/>
    </row>
    <row r="463" spans="1:63" x14ac:dyDescent="0.4">
      <c r="A463" s="11" t="s">
        <v>540</v>
      </c>
      <c r="B463" s="4"/>
      <c r="C463" s="4"/>
      <c r="D463" s="4"/>
      <c r="E463" s="12"/>
      <c r="G463" s="147" t="s">
        <v>540</v>
      </c>
      <c r="H463" s="159">
        <v>69.896000000000001</v>
      </c>
      <c r="I463" s="153">
        <v>70.34</v>
      </c>
      <c r="J463" s="153">
        <v>70.3</v>
      </c>
      <c r="K463" s="153">
        <v>70.28</v>
      </c>
      <c r="L463" s="153">
        <v>70.349999999999994</v>
      </c>
      <c r="M463" s="80">
        <f t="shared" si="14"/>
        <v>70.349999999999994</v>
      </c>
      <c r="N463" s="80">
        <f t="shared" si="15"/>
        <v>70.28</v>
      </c>
      <c r="O463" s="153">
        <v>21.19</v>
      </c>
      <c r="P463" s="153">
        <v>21.17</v>
      </c>
      <c r="Q463" s="153">
        <v>21.13</v>
      </c>
      <c r="R463" s="153">
        <v>21.09</v>
      </c>
      <c r="S463" s="4"/>
      <c r="U463" s="147" t="s">
        <v>540</v>
      </c>
      <c r="V463" s="11"/>
      <c r="W463" s="4"/>
      <c r="X463" s="12"/>
      <c r="Y463" s="14"/>
      <c r="Z463" s="4"/>
      <c r="AA463" s="13"/>
      <c r="AB463" s="11"/>
      <c r="AC463" s="4"/>
      <c r="AD463" s="12"/>
      <c r="AE463" s="13"/>
      <c r="AF463" s="14">
        <v>5.0103999999999997</v>
      </c>
      <c r="AG463" s="133"/>
      <c r="AI463" s="84"/>
      <c r="AL463" s="64">
        <v>4.1723723833333333</v>
      </c>
      <c r="AM463" s="56">
        <v>13.419999999999989</v>
      </c>
      <c r="AN463" s="56">
        <v>15.279999999999919</v>
      </c>
      <c r="AO463" s="62">
        <v>21.299999999999919</v>
      </c>
      <c r="AQ463" s="64">
        <v>4.0836768999999986</v>
      </c>
      <c r="AR463" s="56">
        <v>13.26000000000001</v>
      </c>
      <c r="AS463" s="56">
        <v>14.620000000000029</v>
      </c>
      <c r="AT463" s="62">
        <v>18.520000000000088</v>
      </c>
      <c r="AV463" s="64">
        <v>3.7303197666666672</v>
      </c>
      <c r="AW463" s="56">
        <v>12.85999999999996</v>
      </c>
      <c r="AX463" s="56">
        <v>14.21999999999999</v>
      </c>
      <c r="AY463" s="62">
        <v>18.799999999999969</v>
      </c>
      <c r="BA463" s="64">
        <v>3.1877022500000001</v>
      </c>
      <c r="BB463" s="56">
        <v>15.60000000000006</v>
      </c>
      <c r="BC463" s="56">
        <v>18.00000000000006</v>
      </c>
      <c r="BD463" s="62">
        <v>29.760000000000009</v>
      </c>
      <c r="BF463" s="64">
        <v>2.9349554666666662</v>
      </c>
      <c r="BG463" s="56">
        <v>18.74000000000002</v>
      </c>
      <c r="BH463" s="56">
        <v>25.140000000000029</v>
      </c>
      <c r="BI463" s="62">
        <v>53.000000000000028</v>
      </c>
      <c r="BJ463" s="70"/>
      <c r="BK463" s="51"/>
    </row>
    <row r="464" spans="1:63" x14ac:dyDescent="0.4">
      <c r="A464" s="11" t="s">
        <v>541</v>
      </c>
      <c r="B464" s="4"/>
      <c r="C464" s="4"/>
      <c r="D464" s="4"/>
      <c r="E464" s="12"/>
      <c r="G464" s="147" t="s">
        <v>541</v>
      </c>
      <c r="H464" s="159">
        <v>69.912000000000006</v>
      </c>
      <c r="I464" s="153">
        <v>70.31</v>
      </c>
      <c r="J464" s="153">
        <v>70.349999999999994</v>
      </c>
      <c r="K464" s="153">
        <v>70.290000000000006</v>
      </c>
      <c r="L464" s="153">
        <v>70.33</v>
      </c>
      <c r="M464" s="80">
        <f t="shared" si="14"/>
        <v>70.349999999999994</v>
      </c>
      <c r="N464" s="80">
        <f t="shared" si="15"/>
        <v>70.290000000000006</v>
      </c>
      <c r="O464" s="153">
        <v>21.18</v>
      </c>
      <c r="P464" s="153">
        <v>21.17</v>
      </c>
      <c r="Q464" s="153">
        <v>21.13</v>
      </c>
      <c r="R464" s="153">
        <v>21.11</v>
      </c>
      <c r="S464" s="4"/>
      <c r="U464" s="147" t="s">
        <v>541</v>
      </c>
      <c r="V464" s="11"/>
      <c r="W464" s="4"/>
      <c r="X464" s="12"/>
      <c r="Y464" s="14"/>
      <c r="Z464" s="4"/>
      <c r="AA464" s="13"/>
      <c r="AB464" s="11"/>
      <c r="AC464" s="4"/>
      <c r="AD464" s="12"/>
      <c r="AE464" s="13"/>
      <c r="AF464" s="14">
        <v>5.0113000000000003</v>
      </c>
      <c r="AG464" s="133"/>
      <c r="AI464" s="84"/>
      <c r="AL464" s="64">
        <v>4.1722715833333321</v>
      </c>
      <c r="AM464" s="56">
        <v>14.220000000000081</v>
      </c>
      <c r="AN464" s="56">
        <v>16.119999999999909</v>
      </c>
      <c r="AO464" s="62">
        <v>22.100000000000009</v>
      </c>
      <c r="AQ464" s="64">
        <v>4.0811826666666677</v>
      </c>
      <c r="AR464" s="56">
        <v>13.620000000000051</v>
      </c>
      <c r="AS464" s="56">
        <v>15.019999999999991</v>
      </c>
      <c r="AT464" s="62">
        <v>18.99999999999995</v>
      </c>
      <c r="AV464" s="64">
        <v>3.727894</v>
      </c>
      <c r="AW464" s="56">
        <v>13.280000000000051</v>
      </c>
      <c r="AX464" s="56">
        <v>14.680000000000071</v>
      </c>
      <c r="AY464" s="62">
        <v>19.34000000000005</v>
      </c>
      <c r="BA464" s="64">
        <v>3.1816334999999998</v>
      </c>
      <c r="BB464" s="56">
        <v>16.239999999999991</v>
      </c>
      <c r="BC464" s="56">
        <v>18.680000000000071</v>
      </c>
      <c r="BD464" s="62">
        <v>30.719999999999992</v>
      </c>
      <c r="BF464" s="64">
        <v>2.9279319333333329</v>
      </c>
      <c r="BG464" s="56">
        <v>19.25999999999997</v>
      </c>
      <c r="BH464" s="56">
        <v>25.579999999999981</v>
      </c>
      <c r="BI464" s="62">
        <v>53.519999999999968</v>
      </c>
      <c r="BJ464" s="70"/>
      <c r="BK464" s="51"/>
    </row>
    <row r="465" spans="1:63" x14ac:dyDescent="0.4">
      <c r="A465" s="11" t="s">
        <v>542</v>
      </c>
      <c r="B465" s="4"/>
      <c r="C465" s="4"/>
      <c r="D465" s="4"/>
      <c r="E465" s="12"/>
      <c r="G465" s="147" t="s">
        <v>542</v>
      </c>
      <c r="H465" s="159">
        <v>69.994</v>
      </c>
      <c r="I465" s="153">
        <v>70.34</v>
      </c>
      <c r="J465" s="153">
        <v>70.28</v>
      </c>
      <c r="K465" s="153">
        <v>70.31</v>
      </c>
      <c r="L465" s="153">
        <v>70.290000000000006</v>
      </c>
      <c r="M465" s="80">
        <f t="shared" si="14"/>
        <v>70.34</v>
      </c>
      <c r="N465" s="80">
        <f t="shared" si="15"/>
        <v>70.28</v>
      </c>
      <c r="O465" s="153">
        <v>21.19</v>
      </c>
      <c r="P465" s="153">
        <v>21.18</v>
      </c>
      <c r="Q465" s="153">
        <v>21.13</v>
      </c>
      <c r="R465" s="153">
        <v>21.1</v>
      </c>
      <c r="S465" s="4"/>
      <c r="U465" s="147" t="s">
        <v>542</v>
      </c>
      <c r="V465" s="11"/>
      <c r="W465" s="4"/>
      <c r="X465" s="12"/>
      <c r="Y465" s="14"/>
      <c r="Z465" s="4"/>
      <c r="AA465" s="13"/>
      <c r="AB465" s="11"/>
      <c r="AC465" s="4"/>
      <c r="AD465" s="12"/>
      <c r="AE465" s="13"/>
      <c r="AF465" s="14">
        <v>5.0006000000000004</v>
      </c>
      <c r="AG465" s="133"/>
      <c r="AI465" s="84"/>
      <c r="AL465" s="64">
        <v>4.1721046666666659</v>
      </c>
      <c r="AM465" s="56">
        <v>14.54000000000004</v>
      </c>
      <c r="AN465" s="56">
        <v>16.460000000000012</v>
      </c>
      <c r="AO465" s="62">
        <v>22.460000000000061</v>
      </c>
      <c r="AQ465" s="64">
        <v>4.0809099666666659</v>
      </c>
      <c r="AR465" s="56">
        <v>14.02000000000001</v>
      </c>
      <c r="AS465" s="56">
        <v>15.440000000000079</v>
      </c>
      <c r="AT465" s="62">
        <v>19.460000000000122</v>
      </c>
      <c r="AV465" s="64">
        <v>3.7275214833333332</v>
      </c>
      <c r="AW465" s="56">
        <v>13.639999999999921</v>
      </c>
      <c r="AX465" s="56">
        <v>15.039999999999941</v>
      </c>
      <c r="AY465" s="62">
        <v>19.739999999999998</v>
      </c>
      <c r="BA465" s="64">
        <v>3.181947383333334</v>
      </c>
      <c r="BB465" s="56">
        <v>16.420000000000009</v>
      </c>
      <c r="BC465" s="56">
        <v>18.87999999999996</v>
      </c>
      <c r="BD465" s="62">
        <v>30.879999999999971</v>
      </c>
      <c r="BF465" s="64">
        <v>2.926602616666667</v>
      </c>
      <c r="BG465" s="56">
        <v>19.519999999999978</v>
      </c>
      <c r="BH465" s="56">
        <v>25.84</v>
      </c>
      <c r="BI465" s="62">
        <v>53.720000000000027</v>
      </c>
      <c r="BJ465" s="70"/>
      <c r="BK465" s="51"/>
    </row>
    <row r="466" spans="1:63" x14ac:dyDescent="0.4">
      <c r="A466" s="11" t="s">
        <v>543</v>
      </c>
      <c r="B466" s="4"/>
      <c r="C466" s="4"/>
      <c r="D466" s="4"/>
      <c r="E466" s="12"/>
      <c r="G466" s="147" t="s">
        <v>543</v>
      </c>
      <c r="H466" s="159">
        <v>69.951999999999998</v>
      </c>
      <c r="I466" s="153">
        <v>70.28</v>
      </c>
      <c r="J466" s="153">
        <v>70.400000000000006</v>
      </c>
      <c r="K466" s="153">
        <v>70.31</v>
      </c>
      <c r="L466" s="153">
        <v>70.38</v>
      </c>
      <c r="M466" s="80">
        <f t="shared" si="14"/>
        <v>70.400000000000006</v>
      </c>
      <c r="N466" s="80">
        <f t="shared" si="15"/>
        <v>70.28</v>
      </c>
      <c r="O466" s="153">
        <v>21.17</v>
      </c>
      <c r="P466" s="153">
        <v>21.16</v>
      </c>
      <c r="Q466" s="153">
        <v>21.13</v>
      </c>
      <c r="R466" s="153">
        <v>21.12</v>
      </c>
      <c r="S466" s="4"/>
      <c r="U466" s="147" t="s">
        <v>543</v>
      </c>
      <c r="V466" s="11"/>
      <c r="W466" s="4"/>
      <c r="X466" s="12"/>
      <c r="Y466" s="14"/>
      <c r="Z466" s="4"/>
      <c r="AA466" s="13"/>
      <c r="AB466" s="11"/>
      <c r="AC466" s="4"/>
      <c r="AD466" s="12"/>
      <c r="AE466" s="13"/>
      <c r="AF466" s="14">
        <v>5.0167999999999999</v>
      </c>
      <c r="AG466" s="133"/>
      <c r="AI466" s="84"/>
      <c r="AL466" s="64">
        <v>4.1722774666666664</v>
      </c>
      <c r="AM466" s="56">
        <v>13.940000000000021</v>
      </c>
      <c r="AN466" s="56">
        <v>15.84000000000003</v>
      </c>
      <c r="AO466" s="62">
        <v>21.860000000000031</v>
      </c>
      <c r="AQ466" s="64">
        <v>4.0808733666666663</v>
      </c>
      <c r="AR466" s="56">
        <v>13.28000000000014</v>
      </c>
      <c r="AS466" s="56">
        <v>14.680000000000071</v>
      </c>
      <c r="AT466" s="62">
        <v>18.620000000000129</v>
      </c>
      <c r="AV466" s="64">
        <v>3.727014183333333</v>
      </c>
      <c r="AW466" s="56">
        <v>12.900000000000039</v>
      </c>
      <c r="AX466" s="56">
        <v>14.28000000000003</v>
      </c>
      <c r="AY466" s="62">
        <v>18.880000000000049</v>
      </c>
      <c r="BA466" s="64">
        <v>3.1798643666666671</v>
      </c>
      <c r="BB466" s="56">
        <v>15.880000000000029</v>
      </c>
      <c r="BC466" s="56">
        <v>18.340000000000071</v>
      </c>
      <c r="BD466" s="62">
        <v>30.440000000000019</v>
      </c>
      <c r="BF466" s="64">
        <v>2.9382426000000001</v>
      </c>
      <c r="BG466" s="56">
        <v>18.940000000000001</v>
      </c>
      <c r="BH466" s="56">
        <v>25.479999999999951</v>
      </c>
      <c r="BI466" s="62">
        <v>53.019999999999968</v>
      </c>
      <c r="BJ466" s="69"/>
      <c r="BK466" s="51"/>
    </row>
    <row r="467" spans="1:63" x14ac:dyDescent="0.4">
      <c r="A467" s="11" t="s">
        <v>544</v>
      </c>
      <c r="B467" s="4"/>
      <c r="C467" s="4"/>
      <c r="D467" s="4"/>
      <c r="E467" s="12"/>
      <c r="G467" s="147" t="s">
        <v>544</v>
      </c>
      <c r="H467" s="159">
        <v>69.912999999999997</v>
      </c>
      <c r="I467" s="153">
        <v>70.3</v>
      </c>
      <c r="J467" s="153">
        <v>70.36</v>
      </c>
      <c r="K467" s="153">
        <v>70.37</v>
      </c>
      <c r="L467" s="153">
        <v>70.349999999999994</v>
      </c>
      <c r="M467" s="80">
        <f t="shared" si="14"/>
        <v>70.37</v>
      </c>
      <c r="N467" s="80">
        <f t="shared" si="15"/>
        <v>70.3</v>
      </c>
      <c r="O467" s="153">
        <v>21.2</v>
      </c>
      <c r="P467" s="153">
        <v>21.19</v>
      </c>
      <c r="Q467" s="153">
        <v>21.16</v>
      </c>
      <c r="R467" s="153">
        <v>21.15</v>
      </c>
      <c r="S467" s="4"/>
      <c r="U467" s="147" t="s">
        <v>544</v>
      </c>
      <c r="V467" s="11"/>
      <c r="W467" s="4"/>
      <c r="X467" s="12"/>
      <c r="Y467" s="14"/>
      <c r="Z467" s="4"/>
      <c r="AA467" s="13"/>
      <c r="AB467" s="11"/>
      <c r="AC467" s="4"/>
      <c r="AD467" s="12"/>
      <c r="AE467" s="13"/>
      <c r="AF467" s="14">
        <v>5.0198</v>
      </c>
      <c r="AG467" s="133"/>
      <c r="AI467" s="84"/>
      <c r="AL467" s="64">
        <v>4.1722251833333326</v>
      </c>
      <c r="AM467" s="56">
        <v>14.20000000000012</v>
      </c>
      <c r="AN467" s="56">
        <v>16.12000000000009</v>
      </c>
      <c r="AO467" s="62">
        <v>22.240000000000041</v>
      </c>
      <c r="AQ467" s="64">
        <v>4.0813781333333354</v>
      </c>
      <c r="AR467" s="56">
        <v>13.920000000000069</v>
      </c>
      <c r="AS467" s="56">
        <v>15.34000000000013</v>
      </c>
      <c r="AT467" s="62">
        <v>19.360000000000088</v>
      </c>
      <c r="AV467" s="64">
        <v>3.7269463666666658</v>
      </c>
      <c r="AW467" s="56">
        <v>13.539999999999971</v>
      </c>
      <c r="AX467" s="56">
        <v>14.959999999999949</v>
      </c>
      <c r="AY467" s="62">
        <v>19.679999999999961</v>
      </c>
      <c r="BA467" s="64">
        <v>3.183844633333333</v>
      </c>
      <c r="BB467" s="56">
        <v>16.63999999999994</v>
      </c>
      <c r="BC467" s="56">
        <v>19.139999999999979</v>
      </c>
      <c r="BD467" s="62">
        <v>31.280000000000019</v>
      </c>
      <c r="BF467" s="64">
        <v>2.93957085</v>
      </c>
      <c r="BG467" s="56">
        <v>19.660000000000011</v>
      </c>
      <c r="BH467" s="56">
        <v>25.939999999999941</v>
      </c>
      <c r="BI467" s="62">
        <v>53.080000000000013</v>
      </c>
      <c r="BJ467" s="70"/>
      <c r="BK467" s="51"/>
    </row>
    <row r="468" spans="1:63" x14ac:dyDescent="0.4">
      <c r="A468" s="11" t="s">
        <v>545</v>
      </c>
      <c r="B468" s="4"/>
      <c r="C468" s="4"/>
      <c r="D468" s="4"/>
      <c r="E468" s="12"/>
      <c r="G468" s="147" t="s">
        <v>545</v>
      </c>
      <c r="H468" s="159">
        <v>69.926000000000002</v>
      </c>
      <c r="I468" s="153">
        <v>70.33</v>
      </c>
      <c r="J468" s="153">
        <v>70.319999999999993</v>
      </c>
      <c r="K468" s="153">
        <v>70.319999999999993</v>
      </c>
      <c r="L468" s="153">
        <v>70.39</v>
      </c>
      <c r="M468" s="80">
        <f t="shared" si="14"/>
        <v>70.39</v>
      </c>
      <c r="N468" s="80">
        <f t="shared" si="15"/>
        <v>70.319999999999993</v>
      </c>
      <c r="O468" s="153">
        <v>21.18</v>
      </c>
      <c r="P468" s="153">
        <v>21.15</v>
      </c>
      <c r="Q468" s="153">
        <v>21.15</v>
      </c>
      <c r="R468" s="153">
        <v>21.13</v>
      </c>
      <c r="S468" s="4"/>
      <c r="U468" s="147" t="s">
        <v>545</v>
      </c>
      <c r="V468" s="11"/>
      <c r="W468" s="4"/>
      <c r="X468" s="12"/>
      <c r="Y468" s="14"/>
      <c r="Z468" s="4"/>
      <c r="AA468" s="13"/>
      <c r="AB468" s="11"/>
      <c r="AC468" s="4"/>
      <c r="AD468" s="12"/>
      <c r="AE468" s="13"/>
      <c r="AF468" s="14">
        <v>5.0235000000000003</v>
      </c>
      <c r="AG468" s="133"/>
      <c r="AI468" s="84"/>
      <c r="AL468" s="64">
        <v>4.1724751666666666</v>
      </c>
      <c r="AM468" s="56">
        <v>13.759999999999909</v>
      </c>
      <c r="AN468" s="56">
        <v>15.67999999999987</v>
      </c>
      <c r="AO468" s="62">
        <v>21.8399999999999</v>
      </c>
      <c r="AQ468" s="64">
        <v>4.0823102166666674</v>
      </c>
      <c r="AR468" s="56">
        <v>13.68000000000009</v>
      </c>
      <c r="AS468" s="56">
        <v>15.08000000000003</v>
      </c>
      <c r="AT468" s="62">
        <v>19.09999999999998</v>
      </c>
      <c r="AV468" s="64">
        <v>3.728282633333333</v>
      </c>
      <c r="AW468" s="56">
        <v>13.20000000000006</v>
      </c>
      <c r="AX468" s="56">
        <v>14.599999999999991</v>
      </c>
      <c r="AY468" s="62">
        <v>19.280000000000008</v>
      </c>
      <c r="BA468" s="64">
        <v>3.1866013833333331</v>
      </c>
      <c r="BB468" s="56">
        <v>15.920000000000019</v>
      </c>
      <c r="BC468" s="56">
        <v>18.360000000000021</v>
      </c>
      <c r="BD468" s="62">
        <v>30.28000000000004</v>
      </c>
      <c r="BF468" s="64">
        <v>2.938945466666667</v>
      </c>
      <c r="BG468" s="56">
        <v>18.940000000000001</v>
      </c>
      <c r="BH468" s="56">
        <v>25.180000000000021</v>
      </c>
      <c r="BI468" s="62">
        <v>52.44</v>
      </c>
      <c r="BJ468" s="70"/>
      <c r="BK468" s="51"/>
    </row>
    <row r="469" spans="1:63" x14ac:dyDescent="0.4">
      <c r="A469" s="11" t="s">
        <v>546</v>
      </c>
      <c r="B469" s="4"/>
      <c r="C469" s="4"/>
      <c r="D469" s="4"/>
      <c r="E469" s="12"/>
      <c r="G469" s="147" t="s">
        <v>546</v>
      </c>
      <c r="H469" s="159">
        <v>69.972999999999999</v>
      </c>
      <c r="I469" s="153">
        <v>70.38</v>
      </c>
      <c r="J469" s="153">
        <v>70.400000000000006</v>
      </c>
      <c r="K469" s="153">
        <v>70.290000000000006</v>
      </c>
      <c r="L469" s="153">
        <v>70.37</v>
      </c>
      <c r="M469" s="80">
        <f t="shared" si="14"/>
        <v>70.400000000000006</v>
      </c>
      <c r="N469" s="80">
        <f t="shared" si="15"/>
        <v>70.290000000000006</v>
      </c>
      <c r="O469" s="153">
        <v>21.19</v>
      </c>
      <c r="P469" s="153">
        <v>21.17</v>
      </c>
      <c r="Q469" s="153">
        <v>21.12</v>
      </c>
      <c r="R469" s="153">
        <v>21.08</v>
      </c>
      <c r="S469" s="4"/>
      <c r="U469" s="147" t="s">
        <v>546</v>
      </c>
      <c r="V469" s="11"/>
      <c r="W469" s="4"/>
      <c r="X469" s="12"/>
      <c r="Y469" s="14"/>
      <c r="Z469" s="4"/>
      <c r="AA469" s="13"/>
      <c r="AB469" s="11"/>
      <c r="AC469" s="4"/>
      <c r="AD469" s="12"/>
      <c r="AE469" s="136"/>
      <c r="AF469" s="14">
        <v>5.0406000000000004</v>
      </c>
      <c r="AG469" s="133"/>
      <c r="AI469" s="84"/>
      <c r="AL469" s="64">
        <v>4.1728774499999997</v>
      </c>
      <c r="AM469" s="56">
        <v>13.940000000000021</v>
      </c>
      <c r="AN469" s="56">
        <v>15.859999999999991</v>
      </c>
      <c r="AO469" s="62">
        <v>21.980000000000111</v>
      </c>
      <c r="AQ469" s="64">
        <v>4.0820619333333328</v>
      </c>
      <c r="AR469" s="56">
        <v>13.72</v>
      </c>
      <c r="AS469" s="56">
        <v>15.09999999999998</v>
      </c>
      <c r="AT469" s="62">
        <v>19.099999999999891</v>
      </c>
      <c r="AV469" s="64">
        <v>3.7280096500000002</v>
      </c>
      <c r="AW469" s="56">
        <v>13.3</v>
      </c>
      <c r="AX469" s="56">
        <v>14.700000000000021</v>
      </c>
      <c r="AY469" s="62">
        <v>19.379999999999949</v>
      </c>
      <c r="BA469" s="64">
        <v>3.1867367166666658</v>
      </c>
      <c r="BB469" s="56">
        <v>16.019999999999971</v>
      </c>
      <c r="BC469" s="56">
        <v>18.43999999999992</v>
      </c>
      <c r="BD469" s="62">
        <v>30.339999999999989</v>
      </c>
      <c r="BF469" s="64">
        <v>2.9356020333333328</v>
      </c>
      <c r="BG469" s="56">
        <v>19.09999999999998</v>
      </c>
      <c r="BH469" s="56">
        <v>25.399999999999959</v>
      </c>
      <c r="BI469" s="62">
        <v>53.04000000000002</v>
      </c>
      <c r="BJ469" s="70"/>
      <c r="BK469" s="51"/>
    </row>
    <row r="470" spans="1:63" x14ac:dyDescent="0.4">
      <c r="A470" s="11" t="s">
        <v>547</v>
      </c>
      <c r="B470" s="4"/>
      <c r="C470" s="4"/>
      <c r="D470" s="4"/>
      <c r="E470" s="12"/>
      <c r="G470" s="147" t="s">
        <v>547</v>
      </c>
      <c r="H470" s="159">
        <v>69.986000000000004</v>
      </c>
      <c r="I470" s="153">
        <v>70.39</v>
      </c>
      <c r="J470" s="153">
        <v>70.290000000000006</v>
      </c>
      <c r="K470" s="153">
        <v>70.28</v>
      </c>
      <c r="L470" s="153">
        <v>70.37</v>
      </c>
      <c r="M470" s="80">
        <f t="shared" si="14"/>
        <v>70.39</v>
      </c>
      <c r="N470" s="80">
        <f t="shared" si="15"/>
        <v>70.28</v>
      </c>
      <c r="O470" s="153">
        <v>21.16</v>
      </c>
      <c r="P470" s="153">
        <v>21.14</v>
      </c>
      <c r="Q470" s="153">
        <v>21.14</v>
      </c>
      <c r="R470" s="153">
        <v>21.12</v>
      </c>
      <c r="S470" s="4"/>
      <c r="U470" s="147" t="s">
        <v>547</v>
      </c>
      <c r="V470" s="11"/>
      <c r="W470" s="4"/>
      <c r="X470" s="12"/>
      <c r="Y470" s="14"/>
      <c r="Z470" s="4"/>
      <c r="AA470" s="13"/>
      <c r="AB470" s="11"/>
      <c r="AC470" s="4"/>
      <c r="AD470" s="12"/>
      <c r="AE470" s="13"/>
      <c r="AF470" s="14">
        <v>5.0278</v>
      </c>
      <c r="AG470" s="133"/>
      <c r="AI470" s="84"/>
      <c r="AL470" s="64">
        <v>4.1729877166666656</v>
      </c>
      <c r="AM470" s="56">
        <v>13.81999999999994</v>
      </c>
      <c r="AN470" s="56">
        <v>15.7</v>
      </c>
      <c r="AO470" s="62">
        <v>21.819999999999951</v>
      </c>
      <c r="AQ470" s="64">
        <v>4.0809602666666676</v>
      </c>
      <c r="AR470" s="56">
        <v>13.20000000000014</v>
      </c>
      <c r="AS470" s="56">
        <v>14.56</v>
      </c>
      <c r="AT470" s="62">
        <v>18.4800000000001</v>
      </c>
      <c r="AV470" s="64">
        <v>3.726447016666667</v>
      </c>
      <c r="AW470" s="56">
        <v>12.80000000000001</v>
      </c>
      <c r="AX470" s="56">
        <v>14.179999999999991</v>
      </c>
      <c r="AY470" s="62">
        <v>18.780000000000019</v>
      </c>
      <c r="BA470" s="64">
        <v>3.188535733333334</v>
      </c>
      <c r="BB470" s="56">
        <v>15.49999999999994</v>
      </c>
      <c r="BC470" s="56">
        <v>17.879999999999981</v>
      </c>
      <c r="BD470" s="62">
        <v>29.539999999999988</v>
      </c>
      <c r="BF470" s="64">
        <v>2.9341479166666669</v>
      </c>
      <c r="BG470" s="56">
        <v>18.480000000000011</v>
      </c>
      <c r="BH470" s="56">
        <v>24.900000000000059</v>
      </c>
      <c r="BI470" s="62">
        <v>52.420000000000037</v>
      </c>
      <c r="BJ470" s="70"/>
      <c r="BK470" s="51"/>
    </row>
    <row r="471" spans="1:63" x14ac:dyDescent="0.4">
      <c r="A471" s="11" t="s">
        <v>548</v>
      </c>
      <c r="B471" s="4"/>
      <c r="C471" s="4"/>
      <c r="D471" s="4"/>
      <c r="E471" s="12"/>
      <c r="G471" s="147" t="s">
        <v>548</v>
      </c>
      <c r="H471" s="159">
        <v>70.024000000000001</v>
      </c>
      <c r="I471" s="153">
        <v>70.34</v>
      </c>
      <c r="J471" s="153">
        <v>70.38</v>
      </c>
      <c r="K471" s="153">
        <v>70.290000000000006</v>
      </c>
      <c r="L471" s="153">
        <v>70.37</v>
      </c>
      <c r="M471" s="80">
        <f t="shared" si="14"/>
        <v>70.38</v>
      </c>
      <c r="N471" s="80">
        <f t="shared" si="15"/>
        <v>70.290000000000006</v>
      </c>
      <c r="O471" s="153">
        <v>21.17</v>
      </c>
      <c r="P471" s="153">
        <v>21.16</v>
      </c>
      <c r="Q471" s="153">
        <v>21.14</v>
      </c>
      <c r="R471" s="153">
        <v>21.11</v>
      </c>
      <c r="S471" s="4"/>
      <c r="U471" s="147" t="s">
        <v>548</v>
      </c>
      <c r="V471" s="11"/>
      <c r="W471" s="4"/>
      <c r="X471" s="12"/>
      <c r="Y471" s="14"/>
      <c r="Z471" s="4"/>
      <c r="AA471" s="13"/>
      <c r="AB471" s="11"/>
      <c r="AC471" s="4"/>
      <c r="AD471" s="12"/>
      <c r="AE471" s="13"/>
      <c r="AF471" s="14">
        <v>5.0278</v>
      </c>
      <c r="AG471" s="133"/>
      <c r="AI471" s="84"/>
      <c r="AL471" s="64">
        <v>4.1726662000000001</v>
      </c>
      <c r="AM471" s="56">
        <v>14.94</v>
      </c>
      <c r="AN471" s="56">
        <v>16.900000000000048</v>
      </c>
      <c r="AO471" s="62">
        <v>23.119999999999941</v>
      </c>
      <c r="AQ471" s="64">
        <v>4.0814700166666658</v>
      </c>
      <c r="AR471" s="56">
        <v>14.19999999999995</v>
      </c>
      <c r="AS471" s="56">
        <v>15.63999999999997</v>
      </c>
      <c r="AT471" s="62">
        <v>19.70000000000001</v>
      </c>
      <c r="AV471" s="64">
        <v>3.728429283333333</v>
      </c>
      <c r="AW471" s="56">
        <v>13.879999999999979</v>
      </c>
      <c r="AX471" s="56">
        <v>15.33999999999995</v>
      </c>
      <c r="AY471" s="62">
        <v>20.12</v>
      </c>
      <c r="BA471" s="64">
        <v>3.187316833333333</v>
      </c>
      <c r="BB471" s="56">
        <v>16.620000000000079</v>
      </c>
      <c r="BC471" s="56">
        <v>19.100000000000069</v>
      </c>
      <c r="BD471" s="62">
        <v>31.06</v>
      </c>
      <c r="BF471" s="64">
        <v>2.9328177833333329</v>
      </c>
      <c r="BG471" s="56">
        <v>19.799999999999951</v>
      </c>
      <c r="BH471" s="56">
        <v>26.339999999999989</v>
      </c>
      <c r="BI471" s="62">
        <v>54.179999999999943</v>
      </c>
      <c r="BJ471" s="70"/>
      <c r="BK471" s="51"/>
    </row>
    <row r="472" spans="1:63" x14ac:dyDescent="0.4">
      <c r="A472" s="11" t="s">
        <v>549</v>
      </c>
      <c r="B472" s="4"/>
      <c r="C472" s="4"/>
      <c r="D472" s="4"/>
      <c r="E472" s="12"/>
      <c r="G472" s="147" t="s">
        <v>549</v>
      </c>
      <c r="H472" s="159">
        <v>69.986999999999995</v>
      </c>
      <c r="I472" s="153">
        <v>70.3</v>
      </c>
      <c r="J472" s="153">
        <v>70.290000000000006</v>
      </c>
      <c r="K472" s="153">
        <v>70.290000000000006</v>
      </c>
      <c r="L472" s="153">
        <v>70.38</v>
      </c>
      <c r="M472" s="80">
        <f t="shared" si="14"/>
        <v>70.38</v>
      </c>
      <c r="N472" s="80">
        <f t="shared" si="15"/>
        <v>70.290000000000006</v>
      </c>
      <c r="O472" s="153">
        <v>21.17</v>
      </c>
      <c r="P472" s="153">
        <v>21.15</v>
      </c>
      <c r="Q472" s="153">
        <v>21.12</v>
      </c>
      <c r="R472" s="153">
        <v>21.11</v>
      </c>
      <c r="S472" s="4"/>
      <c r="U472" s="147" t="s">
        <v>549</v>
      </c>
      <c r="V472" s="11"/>
      <c r="W472" s="4"/>
      <c r="X472" s="12"/>
      <c r="Y472" s="14"/>
      <c r="Z472" s="4"/>
      <c r="AA472" s="13"/>
      <c r="AB472" s="11"/>
      <c r="AC472" s="4"/>
      <c r="AD472" s="12"/>
      <c r="AE472" s="13"/>
      <c r="AF472" s="14">
        <v>5.0213999999999999</v>
      </c>
      <c r="AG472" s="133"/>
      <c r="AI472" s="84"/>
      <c r="AL472" s="64">
        <v>4.1729402166666674</v>
      </c>
      <c r="AM472" s="56">
        <v>14.58000000000013</v>
      </c>
      <c r="AN472" s="56">
        <v>16.54</v>
      </c>
      <c r="AO472" s="62">
        <v>22.62000000000004</v>
      </c>
      <c r="AQ472" s="64">
        <v>4.0817234166666649</v>
      </c>
      <c r="AR472" s="56">
        <v>14.179999999999991</v>
      </c>
      <c r="AS472" s="56">
        <v>15.60000000000006</v>
      </c>
      <c r="AT472" s="62">
        <v>19.6200000000001</v>
      </c>
      <c r="AV472" s="64">
        <v>3.728939183333333</v>
      </c>
      <c r="AW472" s="56">
        <v>13.759999999999989</v>
      </c>
      <c r="AX472" s="56">
        <v>15.20000000000001</v>
      </c>
      <c r="AY472" s="62">
        <v>19.960000000000019</v>
      </c>
      <c r="BA472" s="64">
        <v>3.1881622333333342</v>
      </c>
      <c r="BB472" s="56">
        <v>16.560000000000041</v>
      </c>
      <c r="BC472" s="56">
        <v>19.000000000000039</v>
      </c>
      <c r="BD472" s="62">
        <v>30.860000000000021</v>
      </c>
      <c r="BF472" s="64">
        <v>2.9326666499999998</v>
      </c>
      <c r="BG472" s="56">
        <v>19.70000000000001</v>
      </c>
      <c r="BH472" s="56">
        <v>26.159999999999961</v>
      </c>
      <c r="BI472" s="62">
        <v>53.920000000000009</v>
      </c>
      <c r="BJ472" s="70"/>
      <c r="BK472" s="51"/>
    </row>
    <row r="473" spans="1:63" x14ac:dyDescent="0.4">
      <c r="A473" s="11" t="s">
        <v>550</v>
      </c>
      <c r="B473" s="4"/>
      <c r="C473" s="4"/>
      <c r="D473" s="4"/>
      <c r="E473" s="12"/>
      <c r="G473" s="147" t="s">
        <v>550</v>
      </c>
      <c r="H473" s="159">
        <v>69.888000000000005</v>
      </c>
      <c r="I473" s="153">
        <v>70.36</v>
      </c>
      <c r="J473" s="153">
        <v>70.34</v>
      </c>
      <c r="K473" s="153">
        <v>70.319999999999993</v>
      </c>
      <c r="L473" s="153">
        <v>70.38</v>
      </c>
      <c r="M473" s="80">
        <f t="shared" si="14"/>
        <v>70.38</v>
      </c>
      <c r="N473" s="80">
        <f t="shared" si="15"/>
        <v>70.319999999999993</v>
      </c>
      <c r="O473" s="153">
        <v>21.19</v>
      </c>
      <c r="P473" s="153">
        <v>21.17</v>
      </c>
      <c r="Q473" s="153">
        <v>21.15</v>
      </c>
      <c r="R473" s="153">
        <v>21.13</v>
      </c>
      <c r="S473" s="4"/>
      <c r="U473" s="147" t="s">
        <v>550</v>
      </c>
      <c r="V473" s="11"/>
      <c r="W473" s="4"/>
      <c r="X473" s="12"/>
      <c r="Y473" s="14"/>
      <c r="Z473" s="4"/>
      <c r="AA473" s="13"/>
      <c r="AB473" s="11"/>
      <c r="AC473" s="4"/>
      <c r="AD473" s="12"/>
      <c r="AE473" s="13"/>
      <c r="AF473" s="14">
        <v>5.0096999999999996</v>
      </c>
      <c r="AG473" s="133"/>
      <c r="AI473" s="84"/>
      <c r="AL473" s="64">
        <v>4.1730121999999996</v>
      </c>
      <c r="AM473" s="56">
        <v>13.879999999999979</v>
      </c>
      <c r="AN473" s="56">
        <v>15.760000000000041</v>
      </c>
      <c r="AO473" s="62">
        <v>21.819999999999951</v>
      </c>
      <c r="AQ473" s="64">
        <v>4.0820128666666662</v>
      </c>
      <c r="AR473" s="56">
        <v>13.29999999999991</v>
      </c>
      <c r="AS473" s="56">
        <v>14.65999999999994</v>
      </c>
      <c r="AT473" s="62">
        <v>18.579999999999949</v>
      </c>
      <c r="AV473" s="64">
        <v>3.7286922333333341</v>
      </c>
      <c r="AW473" s="56">
        <v>12.88</v>
      </c>
      <c r="AX473" s="56">
        <v>14.25999999999998</v>
      </c>
      <c r="AY473" s="62">
        <v>18.86000000000001</v>
      </c>
      <c r="BA473" s="64">
        <v>3.1864554833333329</v>
      </c>
      <c r="BB473" s="56">
        <v>15.660000000000011</v>
      </c>
      <c r="BC473" s="56">
        <v>18.060000000000009</v>
      </c>
      <c r="BD473" s="62">
        <v>29.8</v>
      </c>
      <c r="BF473" s="64">
        <v>2.9345507666666659</v>
      </c>
      <c r="BG473" s="56">
        <v>18.739999999999931</v>
      </c>
      <c r="BH473" s="56">
        <v>25.099999999999941</v>
      </c>
      <c r="BI473" s="62">
        <v>52.519999999999989</v>
      </c>
      <c r="BJ473" s="70"/>
      <c r="BK473" s="51"/>
    </row>
    <row r="474" spans="1:63" x14ac:dyDescent="0.4">
      <c r="A474" s="11" t="s">
        <v>551</v>
      </c>
      <c r="B474" s="4"/>
      <c r="C474" s="4"/>
      <c r="D474" s="4"/>
      <c r="E474" s="12"/>
      <c r="G474" s="147" t="s">
        <v>551</v>
      </c>
      <c r="H474" s="159">
        <v>69.896000000000001</v>
      </c>
      <c r="I474" s="153">
        <v>70.319999999999993</v>
      </c>
      <c r="J474" s="153">
        <v>70.38</v>
      </c>
      <c r="K474" s="153">
        <v>70.33</v>
      </c>
      <c r="L474" s="153">
        <v>70.319999999999993</v>
      </c>
      <c r="M474" s="80">
        <f t="shared" si="14"/>
        <v>70.38</v>
      </c>
      <c r="N474" s="80">
        <f t="shared" si="15"/>
        <v>70.319999999999993</v>
      </c>
      <c r="O474" s="153">
        <v>21.18</v>
      </c>
      <c r="P474" s="153">
        <v>21.16</v>
      </c>
      <c r="Q474" s="153">
        <v>21.12</v>
      </c>
      <c r="R474" s="153">
        <v>21.1</v>
      </c>
      <c r="S474" s="4"/>
      <c r="U474" s="147" t="s">
        <v>551</v>
      </c>
      <c r="V474" s="11"/>
      <c r="W474" s="4"/>
      <c r="X474" s="12"/>
      <c r="Y474" s="14"/>
      <c r="Z474" s="4"/>
      <c r="AA474" s="13"/>
      <c r="AB474" s="11"/>
      <c r="AC474" s="4"/>
      <c r="AD474" s="12"/>
      <c r="AE474" s="13"/>
      <c r="AF474" s="14">
        <v>5.0072000000000001</v>
      </c>
      <c r="AG474" s="133"/>
      <c r="AI474" s="84"/>
      <c r="AL474" s="64">
        <v>4.1728762833333333</v>
      </c>
      <c r="AM474" s="56">
        <v>14.57999999999995</v>
      </c>
      <c r="AN474" s="56">
        <v>16.579999999999909</v>
      </c>
      <c r="AO474" s="62">
        <v>22.739999999999942</v>
      </c>
      <c r="AQ474" s="64">
        <v>4.0828537833333343</v>
      </c>
      <c r="AR474" s="56">
        <v>14.460000000000051</v>
      </c>
      <c r="AS474" s="56">
        <v>15.940000000000159</v>
      </c>
      <c r="AT474" s="62">
        <v>20.080000000000101</v>
      </c>
      <c r="AV474" s="64">
        <v>3.7294372833333331</v>
      </c>
      <c r="AW474" s="56">
        <v>14.060000000000009</v>
      </c>
      <c r="AX474" s="56">
        <v>15.53999999999993</v>
      </c>
      <c r="AY474" s="62">
        <v>20.39999999999997</v>
      </c>
      <c r="BA474" s="64">
        <v>3.184000183333334</v>
      </c>
      <c r="BB474" s="56">
        <v>16.899999999999959</v>
      </c>
      <c r="BC474" s="56">
        <v>19.419999999999948</v>
      </c>
      <c r="BD474" s="62">
        <v>31.59999999999998</v>
      </c>
      <c r="BF474" s="64">
        <v>2.930458349999999</v>
      </c>
      <c r="BG474" s="56">
        <v>19.979999999999979</v>
      </c>
      <c r="BH474" s="56">
        <v>26.259999999999991</v>
      </c>
      <c r="BI474" s="62">
        <v>54.000000000000007</v>
      </c>
      <c r="BJ474" s="70"/>
      <c r="BK474" s="51"/>
    </row>
    <row r="475" spans="1:63" x14ac:dyDescent="0.4">
      <c r="A475" s="11" t="s">
        <v>552</v>
      </c>
      <c r="B475" s="4"/>
      <c r="C475" s="4"/>
      <c r="D475" s="4"/>
      <c r="E475" s="12"/>
      <c r="G475" s="147" t="s">
        <v>552</v>
      </c>
      <c r="H475" s="159">
        <v>70.049000000000007</v>
      </c>
      <c r="I475" s="153">
        <v>70.33</v>
      </c>
      <c r="J475" s="153">
        <v>70.31</v>
      </c>
      <c r="K475" s="153">
        <v>70.37</v>
      </c>
      <c r="L475" s="153">
        <v>70.34</v>
      </c>
      <c r="M475" s="80">
        <f t="shared" si="14"/>
        <v>70.37</v>
      </c>
      <c r="N475" s="80">
        <f t="shared" si="15"/>
        <v>70.31</v>
      </c>
      <c r="O475" s="153">
        <v>21.17</v>
      </c>
      <c r="P475" s="153">
        <v>21.15</v>
      </c>
      <c r="Q475" s="153">
        <v>21.13</v>
      </c>
      <c r="R475" s="153">
        <v>21.12</v>
      </c>
      <c r="S475" s="4"/>
      <c r="U475" s="147" t="s">
        <v>552</v>
      </c>
      <c r="V475" s="11"/>
      <c r="W475" s="4"/>
      <c r="X475" s="12"/>
      <c r="Y475" s="14"/>
      <c r="Z475" s="4"/>
      <c r="AA475" s="13"/>
      <c r="AB475" s="11"/>
      <c r="AC475" s="4"/>
      <c r="AD475" s="12"/>
      <c r="AE475" s="13"/>
      <c r="AF475" s="14">
        <v>5.0004</v>
      </c>
      <c r="AG475" s="133"/>
      <c r="AI475" s="84"/>
      <c r="AL475" s="64">
        <v>4.1726510833333332</v>
      </c>
      <c r="AM475" s="56">
        <v>14.87999999999996</v>
      </c>
      <c r="AN475" s="56">
        <v>16.85999999999996</v>
      </c>
      <c r="AO475" s="62">
        <v>23.06000000000008</v>
      </c>
      <c r="AQ475" s="64">
        <v>4.0813167999999989</v>
      </c>
      <c r="AR475" s="56">
        <v>14.36000000000011</v>
      </c>
      <c r="AS475" s="56">
        <v>15.90000000000007</v>
      </c>
      <c r="AT475" s="62">
        <v>20.00000000000011</v>
      </c>
      <c r="AV475" s="64">
        <v>3.7278973999999989</v>
      </c>
      <c r="AW475" s="56">
        <v>13.920000000000069</v>
      </c>
      <c r="AX475" s="56">
        <v>15.40000000000008</v>
      </c>
      <c r="AY475" s="62">
        <v>20.200000000000081</v>
      </c>
      <c r="BA475" s="64">
        <v>3.182035466666667</v>
      </c>
      <c r="BB475" s="56">
        <v>16.860000000000049</v>
      </c>
      <c r="BC475" s="56">
        <v>19.36</v>
      </c>
      <c r="BD475" s="62">
        <v>31.519999999999989</v>
      </c>
      <c r="BF475" s="64">
        <v>2.9289605166666668</v>
      </c>
      <c r="BG475" s="56">
        <v>19.899999999999981</v>
      </c>
      <c r="BH475" s="56">
        <v>26.140000000000011</v>
      </c>
      <c r="BI475" s="62">
        <v>53.77999999999998</v>
      </c>
      <c r="BJ475" s="70"/>
      <c r="BK475" s="51"/>
    </row>
    <row r="476" spans="1:63" x14ac:dyDescent="0.4">
      <c r="A476" s="11" t="s">
        <v>553</v>
      </c>
      <c r="B476" s="4"/>
      <c r="C476" s="4"/>
      <c r="D476" s="4"/>
      <c r="E476" s="12"/>
      <c r="G476" s="147" t="s">
        <v>553</v>
      </c>
      <c r="H476" s="159">
        <v>69.897999999999996</v>
      </c>
      <c r="I476" s="153">
        <v>70.3</v>
      </c>
      <c r="J476" s="153">
        <v>70.39</v>
      </c>
      <c r="K476" s="153">
        <v>70.319999999999993</v>
      </c>
      <c r="L476" s="153">
        <v>70.34</v>
      </c>
      <c r="M476" s="80">
        <f t="shared" si="14"/>
        <v>70.39</v>
      </c>
      <c r="N476" s="80">
        <f t="shared" si="15"/>
        <v>70.3</v>
      </c>
      <c r="O476" s="153">
        <v>21.17</v>
      </c>
      <c r="P476" s="153">
        <v>21.16</v>
      </c>
      <c r="Q476" s="153">
        <v>21.14</v>
      </c>
      <c r="R476" s="153">
        <v>21.11</v>
      </c>
      <c r="S476" s="4"/>
      <c r="U476" s="147" t="s">
        <v>553</v>
      </c>
      <c r="V476" s="11"/>
      <c r="W476" s="4"/>
      <c r="X476" s="12"/>
      <c r="Y476" s="14"/>
      <c r="Z476" s="4"/>
      <c r="AA476" s="13"/>
      <c r="AB476" s="11"/>
      <c r="AC476" s="4"/>
      <c r="AD476" s="12"/>
      <c r="AE476" s="13"/>
      <c r="AF476" s="14">
        <v>5.0237999999999996</v>
      </c>
      <c r="AG476" s="133"/>
      <c r="AI476" s="84"/>
      <c r="AL476" s="64">
        <v>4.1726134333333329</v>
      </c>
      <c r="AM476" s="56">
        <v>13.86000000000003</v>
      </c>
      <c r="AN476" s="56">
        <v>15.78</v>
      </c>
      <c r="AO476" s="62">
        <v>21.819999999999951</v>
      </c>
      <c r="AQ476" s="64">
        <v>4.0814542666666664</v>
      </c>
      <c r="AR476" s="56">
        <v>13.24000000000005</v>
      </c>
      <c r="AS476" s="56">
        <v>14.63999999999999</v>
      </c>
      <c r="AT476" s="62">
        <v>18.599999999999991</v>
      </c>
      <c r="AV476" s="64">
        <v>3.728337049999999</v>
      </c>
      <c r="AW476" s="56">
        <v>12.860000000000049</v>
      </c>
      <c r="AX476" s="56">
        <v>14.260000000000071</v>
      </c>
      <c r="AY476" s="62">
        <v>18.880000000000049</v>
      </c>
      <c r="BA476" s="64">
        <v>3.1818277166666671</v>
      </c>
      <c r="BB476" s="56">
        <v>15.80000000000004</v>
      </c>
      <c r="BC476" s="56">
        <v>18.259999999999991</v>
      </c>
      <c r="BD476" s="62">
        <v>30.320000000000039</v>
      </c>
      <c r="BF476" s="64">
        <v>2.939792433333333</v>
      </c>
      <c r="BG476" s="56">
        <v>18.940000000000001</v>
      </c>
      <c r="BH476" s="56">
        <v>25.300000000000011</v>
      </c>
      <c r="BI476" s="62">
        <v>52.71999999999997</v>
      </c>
      <c r="BJ476" s="70"/>
      <c r="BK476" s="51"/>
    </row>
    <row r="477" spans="1:63" x14ac:dyDescent="0.4">
      <c r="A477" s="11" t="s">
        <v>554</v>
      </c>
      <c r="B477" s="4"/>
      <c r="C477" s="4"/>
      <c r="D477" s="4"/>
      <c r="E477" s="12"/>
      <c r="G477" s="147" t="s">
        <v>554</v>
      </c>
      <c r="H477" s="159">
        <v>69.921000000000006</v>
      </c>
      <c r="I477" s="153">
        <v>70.39</v>
      </c>
      <c r="J477" s="153">
        <v>70.349999999999994</v>
      </c>
      <c r="K477" s="153">
        <v>70.290000000000006</v>
      </c>
      <c r="L477" s="153">
        <v>70.39</v>
      </c>
      <c r="M477" s="80">
        <f t="shared" si="14"/>
        <v>70.39</v>
      </c>
      <c r="N477" s="80">
        <f t="shared" si="15"/>
        <v>70.290000000000006</v>
      </c>
      <c r="O477" s="153">
        <v>21.2</v>
      </c>
      <c r="P477" s="153">
        <v>21.18</v>
      </c>
      <c r="Q477" s="153">
        <v>21.11</v>
      </c>
      <c r="R477" s="153">
        <v>21.09</v>
      </c>
      <c r="S477" s="4"/>
      <c r="U477" s="147" t="s">
        <v>554</v>
      </c>
      <c r="V477" s="11"/>
      <c r="W477" s="4"/>
      <c r="X477" s="12"/>
      <c r="Y477" s="14"/>
      <c r="Z477" s="4"/>
      <c r="AA477" s="13"/>
      <c r="AB477" s="11"/>
      <c r="AC477" s="4"/>
      <c r="AD477" s="12"/>
      <c r="AE477" s="13"/>
      <c r="AF477" s="14">
        <v>5.0259999999999998</v>
      </c>
      <c r="AG477" s="133"/>
      <c r="AI477" s="84"/>
      <c r="AL477" s="64">
        <v>4.1723705499999992</v>
      </c>
      <c r="AM477" s="56">
        <v>14.19999999999995</v>
      </c>
      <c r="AN477" s="56">
        <v>16.119999999999909</v>
      </c>
      <c r="AO477" s="62">
        <v>22.320000000000029</v>
      </c>
      <c r="AQ477" s="64">
        <v>4.0827049666666673</v>
      </c>
      <c r="AR477" s="56">
        <v>13.879999999999979</v>
      </c>
      <c r="AS477" s="56">
        <v>15.30000000000005</v>
      </c>
      <c r="AT477" s="62">
        <v>19.32</v>
      </c>
      <c r="AV477" s="64">
        <v>3.7282256500000002</v>
      </c>
      <c r="AW477" s="56">
        <v>13.60000000000001</v>
      </c>
      <c r="AX477" s="56">
        <v>15.019999999999991</v>
      </c>
      <c r="AY477" s="62">
        <v>19.78</v>
      </c>
      <c r="BA477" s="64">
        <v>3.187217683333333</v>
      </c>
      <c r="BB477" s="56">
        <v>16.699999999999982</v>
      </c>
      <c r="BC477" s="56">
        <v>19.240000000000009</v>
      </c>
      <c r="BD477" s="62">
        <v>31.37999999999996</v>
      </c>
      <c r="BF477" s="64">
        <v>2.946068616666667</v>
      </c>
      <c r="BG477" s="56">
        <v>19.759999999999959</v>
      </c>
      <c r="BH477" s="56">
        <v>25.939999999999941</v>
      </c>
      <c r="BI477" s="62">
        <v>52.660000000000018</v>
      </c>
      <c r="BJ477" s="70"/>
      <c r="BK477" s="51"/>
    </row>
    <row r="478" spans="1:63" x14ac:dyDescent="0.4">
      <c r="A478" s="11" t="s">
        <v>555</v>
      </c>
      <c r="B478" s="4"/>
      <c r="C478" s="4"/>
      <c r="D478" s="4"/>
      <c r="E478" s="12"/>
      <c r="G478" s="147" t="s">
        <v>555</v>
      </c>
      <c r="H478" s="159">
        <v>69.936999999999998</v>
      </c>
      <c r="I478" s="160">
        <v>70.349999999999994</v>
      </c>
      <c r="J478" s="153">
        <v>70.31</v>
      </c>
      <c r="K478" s="153">
        <v>70.290000000000006</v>
      </c>
      <c r="L478" s="153">
        <v>70.37</v>
      </c>
      <c r="M478" s="80">
        <f t="shared" si="14"/>
        <v>70.37</v>
      </c>
      <c r="N478" s="80">
        <f t="shared" si="15"/>
        <v>70.290000000000006</v>
      </c>
      <c r="O478" s="153">
        <v>21.19</v>
      </c>
      <c r="P478" s="153">
        <v>21.17</v>
      </c>
      <c r="Q478" s="153">
        <v>21.15</v>
      </c>
      <c r="R478" s="153">
        <v>21.13</v>
      </c>
      <c r="S478" s="4"/>
      <c r="U478" s="147" t="s">
        <v>555</v>
      </c>
      <c r="V478" s="11"/>
      <c r="W478" s="4"/>
      <c r="X478" s="12"/>
      <c r="Y478" s="14"/>
      <c r="Z478" s="4"/>
      <c r="AA478" s="13"/>
      <c r="AB478" s="11"/>
      <c r="AC478" s="4"/>
      <c r="AD478" s="12"/>
      <c r="AE478" s="13"/>
      <c r="AF478" s="14">
        <v>5.0236999999999998</v>
      </c>
      <c r="AG478" s="133"/>
      <c r="AI478" s="84"/>
      <c r="AL478" s="64">
        <v>4.1726850999999998</v>
      </c>
      <c r="AM478" s="56">
        <v>13.679999999999909</v>
      </c>
      <c r="AN478" s="56">
        <v>15.579999999999931</v>
      </c>
      <c r="AO478" s="62">
        <v>21.700000000000049</v>
      </c>
      <c r="AQ478" s="64">
        <v>4.0823239333333348</v>
      </c>
      <c r="AR478" s="56">
        <v>13.35999999999995</v>
      </c>
      <c r="AS478" s="56">
        <v>14.759999999999881</v>
      </c>
      <c r="AT478" s="62">
        <v>18.679999999999989</v>
      </c>
      <c r="AV478" s="64">
        <v>3.7283795</v>
      </c>
      <c r="AW478" s="56">
        <v>13.080000000000069</v>
      </c>
      <c r="AX478" s="56">
        <v>14.48</v>
      </c>
      <c r="AY478" s="62">
        <v>19.120000000000029</v>
      </c>
      <c r="BA478" s="64">
        <v>3.1890942999999998</v>
      </c>
      <c r="BB478" s="56">
        <v>15.839999999999939</v>
      </c>
      <c r="BC478" s="56">
        <v>18.239999999999949</v>
      </c>
      <c r="BD478" s="62">
        <v>29.999999999999979</v>
      </c>
      <c r="BF478" s="64">
        <v>2.93880535</v>
      </c>
      <c r="BG478" s="56">
        <v>18.86000000000001</v>
      </c>
      <c r="BH478" s="56">
        <v>25</v>
      </c>
      <c r="BI478" s="62">
        <v>51.959999999999972</v>
      </c>
      <c r="BJ478" s="70"/>
      <c r="BK478" s="51"/>
    </row>
    <row r="479" spans="1:63" x14ac:dyDescent="0.4">
      <c r="A479" s="11" t="s">
        <v>556</v>
      </c>
      <c r="B479" s="4"/>
      <c r="C479" s="4"/>
      <c r="D479" s="4"/>
      <c r="E479" s="12"/>
      <c r="G479" s="147" t="s">
        <v>556</v>
      </c>
      <c r="H479" s="159">
        <v>69.97</v>
      </c>
      <c r="I479" s="153">
        <v>70.349999999999994</v>
      </c>
      <c r="J479" s="153">
        <v>70.34</v>
      </c>
      <c r="K479" s="153">
        <v>70.39</v>
      </c>
      <c r="L479" s="153">
        <v>70.37</v>
      </c>
      <c r="M479" s="80">
        <f t="shared" si="14"/>
        <v>70.39</v>
      </c>
      <c r="N479" s="80">
        <f t="shared" si="15"/>
        <v>70.34</v>
      </c>
      <c r="O479" s="153">
        <v>21.19</v>
      </c>
      <c r="P479" s="153">
        <v>21.18</v>
      </c>
      <c r="Q479" s="153">
        <v>21.14</v>
      </c>
      <c r="R479" s="153">
        <v>21.13</v>
      </c>
      <c r="S479" s="4"/>
      <c r="U479" s="147" t="s">
        <v>556</v>
      </c>
      <c r="V479" s="11"/>
      <c r="W479" s="4"/>
      <c r="X479" s="12"/>
      <c r="Y479" s="14"/>
      <c r="Z479" s="4"/>
      <c r="AA479" s="13"/>
      <c r="AB479" s="11"/>
      <c r="AC479" s="4"/>
      <c r="AD479" s="12"/>
      <c r="AE479" s="13"/>
      <c r="AF479" s="14">
        <v>5.0293999999999999</v>
      </c>
      <c r="AG479" s="133"/>
      <c r="AI479" s="84"/>
      <c r="AL479" s="64">
        <v>4.1728957833333338</v>
      </c>
      <c r="AM479" s="56">
        <v>14.08000000000005</v>
      </c>
      <c r="AN479" s="56">
        <v>16.000000000000011</v>
      </c>
      <c r="AO479" s="62">
        <v>22.16000000000005</v>
      </c>
      <c r="AQ479" s="64">
        <v>4.0821477499999999</v>
      </c>
      <c r="AR479" s="56">
        <v>13.68000000000009</v>
      </c>
      <c r="AS479" s="56">
        <v>15.06000000000007</v>
      </c>
      <c r="AT479" s="62">
        <v>19.040000000000031</v>
      </c>
      <c r="AV479" s="64">
        <v>3.7278441999999989</v>
      </c>
      <c r="AW479" s="56">
        <v>13.239999999999959</v>
      </c>
      <c r="AX479" s="56">
        <v>14.66000000000003</v>
      </c>
      <c r="AY479" s="62">
        <v>19.32</v>
      </c>
      <c r="BA479" s="64">
        <v>3.1864368833333332</v>
      </c>
      <c r="BB479" s="56">
        <v>16.000000000000011</v>
      </c>
      <c r="BC479" s="56">
        <v>18.41999999999997</v>
      </c>
      <c r="BD479" s="62">
        <v>30.29999999999999</v>
      </c>
      <c r="BF479" s="64">
        <v>2.9405656166666669</v>
      </c>
      <c r="BG479" s="56">
        <v>18.959999999999951</v>
      </c>
      <c r="BH479" s="56">
        <v>25.059999999999949</v>
      </c>
      <c r="BI479" s="62">
        <v>51.93999999999992</v>
      </c>
      <c r="BJ479" s="70"/>
      <c r="BK479" s="51"/>
    </row>
    <row r="480" spans="1:63" x14ac:dyDescent="0.4">
      <c r="A480" s="11" t="s">
        <v>557</v>
      </c>
      <c r="B480" s="4"/>
      <c r="C480" s="4"/>
      <c r="D480" s="4"/>
      <c r="E480" s="12"/>
      <c r="G480" s="147" t="s">
        <v>557</v>
      </c>
      <c r="H480" s="159">
        <v>69.974999999999994</v>
      </c>
      <c r="I480" s="153">
        <v>70.290000000000006</v>
      </c>
      <c r="J480" s="153">
        <v>70.31</v>
      </c>
      <c r="K480" s="153">
        <v>70.3</v>
      </c>
      <c r="L480" s="153">
        <v>70.37</v>
      </c>
      <c r="M480" s="80">
        <f t="shared" si="14"/>
        <v>70.37</v>
      </c>
      <c r="N480" s="80">
        <f t="shared" si="15"/>
        <v>70.290000000000006</v>
      </c>
      <c r="O480" s="153">
        <v>21.17</v>
      </c>
      <c r="P480" s="153">
        <v>21.16</v>
      </c>
      <c r="Q480" s="153">
        <v>21.14</v>
      </c>
      <c r="R480" s="153">
        <v>21.13</v>
      </c>
      <c r="S480" s="4"/>
      <c r="U480" s="147" t="s">
        <v>557</v>
      </c>
      <c r="V480" s="11"/>
      <c r="W480" s="4"/>
      <c r="X480" s="12"/>
      <c r="Y480" s="14"/>
      <c r="Z480" s="4"/>
      <c r="AA480" s="13"/>
      <c r="AB480" s="11"/>
      <c r="AC480" s="4"/>
      <c r="AD480" s="12"/>
      <c r="AE480" s="13"/>
      <c r="AF480" s="14">
        <v>5.0294999999999996</v>
      </c>
      <c r="AG480" s="133"/>
      <c r="AI480" s="84"/>
      <c r="AL480" s="64">
        <v>4.1730023333333328</v>
      </c>
      <c r="AM480" s="56">
        <v>13.76000000000008</v>
      </c>
      <c r="AN480" s="56">
        <v>15.63999999999997</v>
      </c>
      <c r="AO480" s="62">
        <v>21.78000000000004</v>
      </c>
      <c r="AQ480" s="64">
        <v>4.0830037499999996</v>
      </c>
      <c r="AR480" s="56">
        <v>13.46000000000007</v>
      </c>
      <c r="AS480" s="56">
        <v>14.81999999999992</v>
      </c>
      <c r="AT480" s="62">
        <v>18.799999999999969</v>
      </c>
      <c r="AV480" s="64">
        <v>3.7288948166666671</v>
      </c>
      <c r="AW480" s="56">
        <v>13.100000000000019</v>
      </c>
      <c r="AX480" s="56">
        <v>14.50000000000005</v>
      </c>
      <c r="AY480" s="62">
        <v>19.160000000000021</v>
      </c>
      <c r="BA480" s="64">
        <v>3.188537333333334</v>
      </c>
      <c r="BB480" s="56">
        <v>15.920000000000019</v>
      </c>
      <c r="BC480" s="56">
        <v>18.320000000000029</v>
      </c>
      <c r="BD480" s="62">
        <v>30.200000000000049</v>
      </c>
      <c r="BF480" s="64">
        <v>2.9396239166666671</v>
      </c>
      <c r="BG480" s="56">
        <v>18.87999999999996</v>
      </c>
      <c r="BH480" s="56">
        <v>25.04</v>
      </c>
      <c r="BI480" s="62">
        <v>52.179999999999993</v>
      </c>
      <c r="BJ480" s="70"/>
      <c r="BK480" s="51"/>
    </row>
    <row r="481" spans="1:63" x14ac:dyDescent="0.4">
      <c r="A481" s="11" t="s">
        <v>558</v>
      </c>
      <c r="B481" s="4"/>
      <c r="C481" s="4"/>
      <c r="D481" s="4"/>
      <c r="E481" s="12"/>
      <c r="G481" s="147" t="s">
        <v>558</v>
      </c>
      <c r="H481" s="159">
        <v>69.932000000000002</v>
      </c>
      <c r="I481" s="153">
        <v>70.27</v>
      </c>
      <c r="J481" s="153">
        <v>70.34</v>
      </c>
      <c r="K481" s="153">
        <v>70.37</v>
      </c>
      <c r="L481" s="153">
        <v>70.38</v>
      </c>
      <c r="M481" s="80">
        <f t="shared" si="14"/>
        <v>70.38</v>
      </c>
      <c r="N481" s="80">
        <f t="shared" si="15"/>
        <v>70.27</v>
      </c>
      <c r="O481" s="153">
        <v>21.18</v>
      </c>
      <c r="P481" s="153">
        <v>21.17</v>
      </c>
      <c r="Q481" s="153">
        <v>21.14</v>
      </c>
      <c r="R481" s="153">
        <v>21.13</v>
      </c>
      <c r="S481" s="4"/>
      <c r="U481" s="147" t="s">
        <v>558</v>
      </c>
      <c r="V481" s="11"/>
      <c r="W481" s="4"/>
      <c r="X481" s="12"/>
      <c r="Y481" s="14"/>
      <c r="Z481" s="4"/>
      <c r="AA481" s="13"/>
      <c r="AB481" s="11"/>
      <c r="AC481" s="4"/>
      <c r="AD481" s="12"/>
      <c r="AE481" s="13"/>
      <c r="AF481" s="14">
        <v>5.0218999999999996</v>
      </c>
      <c r="AG481" s="133"/>
      <c r="AI481" s="84"/>
      <c r="AL481" s="64">
        <v>4.172595883333333</v>
      </c>
      <c r="AM481" s="56">
        <v>14.00000000000006</v>
      </c>
      <c r="AN481" s="56">
        <v>15.939999999999969</v>
      </c>
      <c r="AO481" s="62">
        <v>22.060000000000102</v>
      </c>
      <c r="AQ481" s="64">
        <v>4.0837445166666662</v>
      </c>
      <c r="AR481" s="56">
        <v>13.79999999999999</v>
      </c>
      <c r="AS481" s="56">
        <v>15.200000000000101</v>
      </c>
      <c r="AT481" s="62">
        <v>19.200000000000021</v>
      </c>
      <c r="AV481" s="64">
        <v>3.7309443166666671</v>
      </c>
      <c r="AW481" s="56">
        <v>13.439999999999941</v>
      </c>
      <c r="AX481" s="56">
        <v>14.87999999999996</v>
      </c>
      <c r="AY481" s="62">
        <v>19.559999999999981</v>
      </c>
      <c r="BA481" s="64">
        <v>3.1901945833333332</v>
      </c>
      <c r="BB481" s="56">
        <v>16.479999999999961</v>
      </c>
      <c r="BC481" s="56">
        <v>18.940000000000001</v>
      </c>
      <c r="BD481" s="62">
        <v>30.759999999999991</v>
      </c>
      <c r="BF481" s="64">
        <v>2.9322966666666659</v>
      </c>
      <c r="BG481" s="56">
        <v>19.579999999999931</v>
      </c>
      <c r="BH481" s="56">
        <v>26.059999999999931</v>
      </c>
      <c r="BI481" s="62">
        <v>53.89999999999997</v>
      </c>
      <c r="BJ481" s="70"/>
      <c r="BK481" s="51"/>
    </row>
    <row r="482" spans="1:63" x14ac:dyDescent="0.4">
      <c r="A482" s="11" t="s">
        <v>559</v>
      </c>
      <c r="B482" s="4"/>
      <c r="C482" s="4"/>
      <c r="D482" s="4"/>
      <c r="E482" s="12"/>
      <c r="G482" s="147" t="s">
        <v>559</v>
      </c>
      <c r="H482" s="159">
        <v>69.989000000000004</v>
      </c>
      <c r="I482" s="153">
        <v>70.31</v>
      </c>
      <c r="J482" s="153">
        <v>70.38</v>
      </c>
      <c r="K482" s="153">
        <v>70.28</v>
      </c>
      <c r="L482" s="153">
        <v>70.38</v>
      </c>
      <c r="M482" s="80">
        <f t="shared" si="14"/>
        <v>70.38</v>
      </c>
      <c r="N482" s="80">
        <f t="shared" si="15"/>
        <v>70.28</v>
      </c>
      <c r="O482" s="153">
        <v>21.17</v>
      </c>
      <c r="P482" s="153">
        <v>21.16</v>
      </c>
      <c r="Q482" s="153">
        <v>21.13</v>
      </c>
      <c r="R482" s="153">
        <v>21.11</v>
      </c>
      <c r="S482" s="4"/>
      <c r="U482" s="147" t="s">
        <v>559</v>
      </c>
      <c r="V482" s="11"/>
      <c r="W482" s="4"/>
      <c r="X482" s="12"/>
      <c r="Y482" s="14"/>
      <c r="Z482" s="4"/>
      <c r="AA482" s="13"/>
      <c r="AB482" s="11"/>
      <c r="AC482" s="4"/>
      <c r="AD482" s="12"/>
      <c r="AE482" s="13"/>
      <c r="AF482" s="14">
        <v>5.0186999999999999</v>
      </c>
      <c r="AG482" s="133"/>
      <c r="AI482" s="84"/>
      <c r="AL482" s="64">
        <v>4.1724243999999997</v>
      </c>
      <c r="AM482" s="56">
        <v>14.33999999999997</v>
      </c>
      <c r="AN482" s="56">
        <v>16.300000000000029</v>
      </c>
      <c r="AO482" s="62">
        <v>22.43999999999993</v>
      </c>
      <c r="AQ482" s="64">
        <v>4.0831845333333323</v>
      </c>
      <c r="AR482" s="56">
        <v>14.03999999999996</v>
      </c>
      <c r="AS482" s="56">
        <v>15.460000000000029</v>
      </c>
      <c r="AT482" s="62">
        <v>19.519999999999978</v>
      </c>
      <c r="AV482" s="64">
        <v>3.7302160166666671</v>
      </c>
      <c r="AW482" s="56">
        <v>13.66000000000005</v>
      </c>
      <c r="AX482" s="56">
        <v>15.120000000000021</v>
      </c>
      <c r="AY482" s="62">
        <v>19.860000000000081</v>
      </c>
      <c r="BA482" s="64">
        <v>3.1882853166666671</v>
      </c>
      <c r="BB482" s="56">
        <v>16.63999999999994</v>
      </c>
      <c r="BC482" s="56">
        <v>19.119999999999941</v>
      </c>
      <c r="BD482" s="62">
        <v>31.119999999999951</v>
      </c>
      <c r="BF482" s="64">
        <v>2.935454233333334</v>
      </c>
      <c r="BG482" s="56">
        <v>19.759999999999959</v>
      </c>
      <c r="BH482" s="56">
        <v>26.18</v>
      </c>
      <c r="BI482" s="62">
        <v>53.840000000000018</v>
      </c>
      <c r="BJ482" s="69"/>
      <c r="BK482" s="51"/>
    </row>
    <row r="483" spans="1:63" x14ac:dyDescent="0.4">
      <c r="A483" s="11" t="s">
        <v>560</v>
      </c>
      <c r="B483" s="4"/>
      <c r="C483" s="4"/>
      <c r="D483" s="4"/>
      <c r="E483" s="12"/>
      <c r="G483" s="147" t="s">
        <v>560</v>
      </c>
      <c r="H483" s="159">
        <v>69.826999999999998</v>
      </c>
      <c r="I483" s="153">
        <v>70.290000000000006</v>
      </c>
      <c r="J483" s="153">
        <v>70.319999999999993</v>
      </c>
      <c r="K483" s="153">
        <v>70.37</v>
      </c>
      <c r="L483" s="153">
        <v>70.290000000000006</v>
      </c>
      <c r="M483" s="80">
        <f t="shared" si="14"/>
        <v>70.37</v>
      </c>
      <c r="N483" s="80">
        <f t="shared" si="15"/>
        <v>70.290000000000006</v>
      </c>
      <c r="O483" s="153">
        <v>21.19</v>
      </c>
      <c r="P483" s="153">
        <v>21.17</v>
      </c>
      <c r="Q483" s="153">
        <v>21.15</v>
      </c>
      <c r="R483" s="153">
        <v>21.14</v>
      </c>
      <c r="S483" s="4"/>
      <c r="U483" s="147" t="s">
        <v>560</v>
      </c>
      <c r="V483" s="11"/>
      <c r="W483" s="4"/>
      <c r="X483" s="12"/>
      <c r="Y483" s="14"/>
      <c r="Z483" s="4"/>
      <c r="AA483" s="13"/>
      <c r="AB483" s="11"/>
      <c r="AC483" s="4"/>
      <c r="AD483" s="12"/>
      <c r="AE483" s="13"/>
      <c r="AF483" s="14">
        <v>5.0023999999999997</v>
      </c>
      <c r="AG483" s="133"/>
      <c r="AI483" s="84"/>
      <c r="AL483" s="64">
        <v>4.1722789833333334</v>
      </c>
      <c r="AM483" s="56">
        <v>14.86000000000001</v>
      </c>
      <c r="AN483" s="56">
        <v>16.820000000000061</v>
      </c>
      <c r="AO483" s="62">
        <v>22.959999999999962</v>
      </c>
      <c r="AQ483" s="64">
        <v>4.0812840333333327</v>
      </c>
      <c r="AR483" s="56">
        <v>14.219999999999899</v>
      </c>
      <c r="AS483" s="56">
        <v>15.65999999999992</v>
      </c>
      <c r="AT483" s="62">
        <v>19.71999999999996</v>
      </c>
      <c r="AV483" s="64">
        <v>3.727547616666667</v>
      </c>
      <c r="AW483" s="56">
        <v>13.859999999999941</v>
      </c>
      <c r="AX483" s="56">
        <v>15.29999999999996</v>
      </c>
      <c r="AY483" s="62">
        <v>20.07999999999992</v>
      </c>
      <c r="BA483" s="64">
        <v>3.1840297</v>
      </c>
      <c r="BB483" s="56">
        <v>16.979999999999951</v>
      </c>
      <c r="BC483" s="56">
        <v>19.47999999999999</v>
      </c>
      <c r="BD483" s="62">
        <v>31.639999999999979</v>
      </c>
      <c r="BF483" s="64">
        <v>2.932209166666667</v>
      </c>
      <c r="BG483" s="56">
        <v>20.099999999999959</v>
      </c>
      <c r="BH483" s="56">
        <v>26.560000000000009</v>
      </c>
      <c r="BI483" s="62">
        <v>54.479999999999947</v>
      </c>
      <c r="BJ483" s="70"/>
      <c r="BK483" s="51"/>
    </row>
    <row r="484" spans="1:63" x14ac:dyDescent="0.4">
      <c r="A484" s="11" t="s">
        <v>561</v>
      </c>
      <c r="B484" s="4"/>
      <c r="C484" s="4"/>
      <c r="D484" s="4"/>
      <c r="E484" s="12"/>
      <c r="G484" s="147" t="s">
        <v>561</v>
      </c>
      <c r="H484" s="159">
        <v>69.897999999999996</v>
      </c>
      <c r="I484" s="153">
        <v>70.3</v>
      </c>
      <c r="J484" s="153">
        <v>70.36</v>
      </c>
      <c r="K484" s="153">
        <v>70.36</v>
      </c>
      <c r="L484" s="153">
        <v>70.349999999999994</v>
      </c>
      <c r="M484" s="80">
        <f t="shared" si="14"/>
        <v>70.36</v>
      </c>
      <c r="N484" s="80">
        <f t="shared" si="15"/>
        <v>70.3</v>
      </c>
      <c r="O484" s="153">
        <v>21.18</v>
      </c>
      <c r="P484" s="153">
        <v>21.16</v>
      </c>
      <c r="Q484" s="153">
        <v>21.14</v>
      </c>
      <c r="R484" s="153">
        <v>21.13</v>
      </c>
      <c r="S484" s="4"/>
      <c r="U484" s="147" t="s">
        <v>561</v>
      </c>
      <c r="V484" s="11"/>
      <c r="W484" s="4"/>
      <c r="X484" s="12"/>
      <c r="Y484" s="14"/>
      <c r="Z484" s="4"/>
      <c r="AA484" s="13"/>
      <c r="AB484" s="11"/>
      <c r="AC484" s="4"/>
      <c r="AD484" s="12"/>
      <c r="AE484" s="13"/>
      <c r="AF484" s="14">
        <v>5.0038</v>
      </c>
      <c r="AG484" s="133"/>
      <c r="AI484" s="84"/>
      <c r="AL484" s="64">
        <v>4.1720344000000003</v>
      </c>
      <c r="AM484" s="56">
        <v>15.16000000000002</v>
      </c>
      <c r="AN484" s="56">
        <v>17.179999999999929</v>
      </c>
      <c r="AO484" s="62">
        <v>23.439999999999909</v>
      </c>
      <c r="AQ484" s="64">
        <v>4.0819967999999998</v>
      </c>
      <c r="AR484" s="56">
        <v>14.63999999999999</v>
      </c>
      <c r="AS484" s="56">
        <v>16.14000000000004</v>
      </c>
      <c r="AT484" s="62">
        <v>20.29999999999994</v>
      </c>
      <c r="AV484" s="64">
        <v>3.7282217500000008</v>
      </c>
      <c r="AW484" s="56">
        <v>14.179999999999991</v>
      </c>
      <c r="AX484" s="56">
        <v>15.660000000000011</v>
      </c>
      <c r="AY484" s="62">
        <v>20.51999999999996</v>
      </c>
      <c r="BA484" s="64">
        <v>3.1807851500000002</v>
      </c>
      <c r="BB484" s="56">
        <v>17.159999999999979</v>
      </c>
      <c r="BC484" s="56">
        <v>19.720000000000049</v>
      </c>
      <c r="BD484" s="62">
        <v>32.08000000000002</v>
      </c>
      <c r="BF484" s="64">
        <v>2.9323216666666672</v>
      </c>
      <c r="BG484" s="56">
        <v>20.14000000000005</v>
      </c>
      <c r="BH484" s="56">
        <v>26.459999999999969</v>
      </c>
      <c r="BI484" s="62">
        <v>54.04</v>
      </c>
      <c r="BJ484" s="70"/>
      <c r="BK484" s="51"/>
    </row>
    <row r="485" spans="1:63" x14ac:dyDescent="0.4">
      <c r="A485" s="11" t="s">
        <v>562</v>
      </c>
      <c r="B485" s="4"/>
      <c r="C485" s="4"/>
      <c r="D485" s="4"/>
      <c r="E485" s="12"/>
      <c r="G485" s="147" t="s">
        <v>562</v>
      </c>
      <c r="H485" s="159">
        <v>70.069000000000003</v>
      </c>
      <c r="I485" s="153">
        <v>70.36</v>
      </c>
      <c r="J485" s="153">
        <v>70.34</v>
      </c>
      <c r="K485" s="153">
        <v>70.3</v>
      </c>
      <c r="L485" s="153">
        <v>70.31</v>
      </c>
      <c r="M485" s="80">
        <f t="shared" si="14"/>
        <v>70.36</v>
      </c>
      <c r="N485" s="80">
        <f t="shared" si="15"/>
        <v>70.3</v>
      </c>
      <c r="O485" s="153">
        <v>21.17</v>
      </c>
      <c r="P485" s="153">
        <v>21.16</v>
      </c>
      <c r="Q485" s="153">
        <v>21.14</v>
      </c>
      <c r="R485" s="153">
        <v>21.12</v>
      </c>
      <c r="S485" s="4"/>
      <c r="U485" s="147" t="s">
        <v>562</v>
      </c>
      <c r="V485" s="11"/>
      <c r="W485" s="4"/>
      <c r="X485" s="12"/>
      <c r="Y485" s="14"/>
      <c r="Z485" s="4"/>
      <c r="AA485" s="13"/>
      <c r="AB485" s="11"/>
      <c r="AC485" s="4"/>
      <c r="AD485" s="12"/>
      <c r="AE485" s="13"/>
      <c r="AF485" s="14">
        <v>4.9988000000000001</v>
      </c>
      <c r="AG485" s="133"/>
      <c r="AI485" s="84"/>
      <c r="AL485" s="64">
        <v>4.1725072833333341</v>
      </c>
      <c r="AM485" s="56">
        <v>14.94</v>
      </c>
      <c r="AN485" s="56">
        <v>16.920000000000002</v>
      </c>
      <c r="AO485" s="62">
        <v>23.140000000000072</v>
      </c>
      <c r="AQ485" s="64">
        <v>4.0807764666666664</v>
      </c>
      <c r="AR485" s="56">
        <v>14.519999999999911</v>
      </c>
      <c r="AS485" s="56">
        <v>16.000000000000011</v>
      </c>
      <c r="AT485" s="62">
        <v>20.099999999999959</v>
      </c>
      <c r="AV485" s="64">
        <v>3.7272909666666671</v>
      </c>
      <c r="AW485" s="56">
        <v>14.499999999999959</v>
      </c>
      <c r="AX485" s="56">
        <v>16.019999999999971</v>
      </c>
      <c r="AY485" s="62">
        <v>20.920000000000009</v>
      </c>
      <c r="BA485" s="64">
        <v>3.1808481333333329</v>
      </c>
      <c r="BB485" s="56">
        <v>17.299999999999919</v>
      </c>
      <c r="BC485" s="56">
        <v>19.899999999999981</v>
      </c>
      <c r="BD485" s="62">
        <v>32.219999999999963</v>
      </c>
      <c r="BF485" s="64">
        <v>2.9297572999999999</v>
      </c>
      <c r="BG485" s="56">
        <v>20.36000000000007</v>
      </c>
      <c r="BH485" s="56">
        <v>26.580000000000052</v>
      </c>
      <c r="BI485" s="62">
        <v>54.159999999999982</v>
      </c>
      <c r="BJ485" s="69"/>
      <c r="BK485" s="51"/>
    </row>
    <row r="486" spans="1:63" x14ac:dyDescent="0.4">
      <c r="A486" s="11" t="s">
        <v>563</v>
      </c>
      <c r="B486" s="4"/>
      <c r="C486" s="4"/>
      <c r="D486" s="4"/>
      <c r="E486" s="12"/>
      <c r="G486" s="147" t="s">
        <v>563</v>
      </c>
      <c r="H486" s="159">
        <v>70.048000000000002</v>
      </c>
      <c r="I486" s="153">
        <v>70.290000000000006</v>
      </c>
      <c r="J486" s="153">
        <v>70.39</v>
      </c>
      <c r="K486" s="153">
        <v>70.349999999999994</v>
      </c>
      <c r="L486" s="153">
        <v>70.319999999999993</v>
      </c>
      <c r="M486" s="80">
        <f t="shared" si="14"/>
        <v>70.39</v>
      </c>
      <c r="N486" s="80">
        <f t="shared" si="15"/>
        <v>70.290000000000006</v>
      </c>
      <c r="O486" s="153">
        <v>21.17</v>
      </c>
      <c r="P486" s="153">
        <v>21.15</v>
      </c>
      <c r="Q486" s="153">
        <v>21.12</v>
      </c>
      <c r="R486" s="153">
        <v>21.1</v>
      </c>
      <c r="S486" s="4"/>
      <c r="U486" s="147" t="s">
        <v>563</v>
      </c>
      <c r="V486" s="11"/>
      <c r="W486" s="4"/>
      <c r="X486" s="12"/>
      <c r="Y486" s="14"/>
      <c r="Z486" s="4"/>
      <c r="AA486" s="13"/>
      <c r="AB486" s="11"/>
      <c r="AC486" s="4"/>
      <c r="AD486" s="12"/>
      <c r="AE486" s="13"/>
      <c r="AF486" s="14">
        <v>5.0476000000000001</v>
      </c>
      <c r="AG486" s="133"/>
      <c r="AI486" s="84"/>
      <c r="AL486" s="64">
        <v>4.1722827166666674</v>
      </c>
      <c r="AM486" s="56">
        <v>13.840000000000069</v>
      </c>
      <c r="AN486" s="56">
        <v>15.71999999999996</v>
      </c>
      <c r="AO486" s="62">
        <v>21.739999999999959</v>
      </c>
      <c r="AQ486" s="64">
        <v>4.0822067166666676</v>
      </c>
      <c r="AR486" s="56">
        <v>13.30000000000009</v>
      </c>
      <c r="AS486" s="56">
        <v>14.700000000000021</v>
      </c>
      <c r="AT486" s="62">
        <v>18.679999999999989</v>
      </c>
      <c r="AV486" s="64">
        <v>3.728681283333334</v>
      </c>
      <c r="AW486" s="56">
        <v>12.899999999999959</v>
      </c>
      <c r="AX486" s="56">
        <v>14.299999999999979</v>
      </c>
      <c r="AY486" s="62">
        <v>18.940000000000001</v>
      </c>
      <c r="BA486" s="64">
        <v>3.1816508166666662</v>
      </c>
      <c r="BB486" s="56">
        <v>15.939999999999969</v>
      </c>
      <c r="BC486" s="56">
        <v>18.41999999999997</v>
      </c>
      <c r="BD486" s="62">
        <v>30.560000000000009</v>
      </c>
      <c r="BF486" s="64">
        <v>2.9405611</v>
      </c>
      <c r="BG486" s="56">
        <v>18.98</v>
      </c>
      <c r="BH486" s="56">
        <v>25.38</v>
      </c>
      <c r="BI486" s="62">
        <v>52.780000000000008</v>
      </c>
      <c r="BJ486" s="70"/>
      <c r="BK486" s="51"/>
    </row>
    <row r="487" spans="1:63" x14ac:dyDescent="0.4">
      <c r="A487" s="11" t="s">
        <v>564</v>
      </c>
      <c r="B487" s="4"/>
      <c r="C487" s="4"/>
      <c r="D487" s="4"/>
      <c r="E487" s="12"/>
      <c r="G487" s="147" t="s">
        <v>564</v>
      </c>
      <c r="H487" s="159">
        <v>69.918000000000006</v>
      </c>
      <c r="I487" s="153">
        <v>70.33</v>
      </c>
      <c r="J487" s="153">
        <v>70.39</v>
      </c>
      <c r="K487" s="153">
        <v>70.290000000000006</v>
      </c>
      <c r="L487" s="153">
        <v>70.349999999999994</v>
      </c>
      <c r="M487" s="80">
        <f t="shared" si="14"/>
        <v>70.39</v>
      </c>
      <c r="N487" s="80">
        <f t="shared" si="15"/>
        <v>70.290000000000006</v>
      </c>
      <c r="O487" s="153">
        <v>21.18</v>
      </c>
      <c r="P487" s="153">
        <v>21.15</v>
      </c>
      <c r="Q487" s="153">
        <v>21.13</v>
      </c>
      <c r="R487" s="153">
        <v>21.11</v>
      </c>
      <c r="S487" s="4"/>
      <c r="U487" s="147" t="s">
        <v>564</v>
      </c>
      <c r="V487" s="11"/>
      <c r="W487" s="4"/>
      <c r="X487" s="12"/>
      <c r="Y487" s="14"/>
      <c r="Z487" s="4"/>
      <c r="AA487" s="13"/>
      <c r="AB487" s="11"/>
      <c r="AC487" s="4"/>
      <c r="AD487" s="12"/>
      <c r="AE487" s="13"/>
      <c r="AF487" s="14">
        <v>5.0262000000000002</v>
      </c>
      <c r="AG487" s="133"/>
      <c r="AI487" s="84"/>
      <c r="AL487" s="64">
        <v>4.1733481000000001</v>
      </c>
      <c r="AM487" s="56">
        <v>13.959999999999971</v>
      </c>
      <c r="AN487" s="56">
        <v>15.82000000000008</v>
      </c>
      <c r="AO487" s="62">
        <v>21.979999999999929</v>
      </c>
      <c r="AQ487" s="64">
        <v>4.080858516666666</v>
      </c>
      <c r="AR487" s="56">
        <v>13.34</v>
      </c>
      <c r="AS487" s="56">
        <v>14.67999999999989</v>
      </c>
      <c r="AT487" s="62">
        <v>18.63999999999999</v>
      </c>
      <c r="AV487" s="64">
        <v>3.7271513499999989</v>
      </c>
      <c r="AW487" s="56">
        <v>12.95999999999999</v>
      </c>
      <c r="AX487" s="56">
        <v>14.33999999999997</v>
      </c>
      <c r="AY487" s="62">
        <v>18.98</v>
      </c>
      <c r="BA487" s="64">
        <v>3.192442483333334</v>
      </c>
      <c r="BB487" s="56">
        <v>15.680000000000049</v>
      </c>
      <c r="BC487" s="56">
        <v>18.04000000000006</v>
      </c>
      <c r="BD487" s="62">
        <v>29.560000000000031</v>
      </c>
      <c r="BF487" s="64">
        <v>2.935789366666667</v>
      </c>
      <c r="BG487" s="56">
        <v>18.599999999999991</v>
      </c>
      <c r="BH487" s="56">
        <v>24.659999999999989</v>
      </c>
      <c r="BI487" s="62">
        <v>51.52000000000001</v>
      </c>
      <c r="BJ487" s="70"/>
      <c r="BK487" s="51"/>
    </row>
    <row r="488" spans="1:63" x14ac:dyDescent="0.4">
      <c r="A488" s="11" t="s">
        <v>565</v>
      </c>
      <c r="B488" s="4"/>
      <c r="C488" s="4"/>
      <c r="D488" s="4"/>
      <c r="E488" s="12"/>
      <c r="G488" s="147" t="s">
        <v>565</v>
      </c>
      <c r="H488" s="159">
        <v>69.888999999999996</v>
      </c>
      <c r="I488" s="153">
        <v>70.34</v>
      </c>
      <c r="J488" s="153">
        <v>70.349999999999994</v>
      </c>
      <c r="K488" s="153">
        <v>70.27</v>
      </c>
      <c r="L488" s="153">
        <v>70.38</v>
      </c>
      <c r="M488" s="80">
        <f t="shared" si="14"/>
        <v>70.38</v>
      </c>
      <c r="N488" s="80">
        <f t="shared" si="15"/>
        <v>70.27</v>
      </c>
      <c r="O488" s="153">
        <v>21.19</v>
      </c>
      <c r="P488" s="153">
        <v>21.18</v>
      </c>
      <c r="Q488" s="153">
        <v>21.15</v>
      </c>
      <c r="R488" s="153">
        <v>21.13</v>
      </c>
      <c r="S488" s="4"/>
      <c r="U488" s="147" t="s">
        <v>565</v>
      </c>
      <c r="V488" s="11"/>
      <c r="W488" s="4"/>
      <c r="X488" s="12"/>
      <c r="Y488" s="14"/>
      <c r="Z488" s="4"/>
      <c r="AA488" s="13"/>
      <c r="AB488" s="11"/>
      <c r="AC488" s="4"/>
      <c r="AD488" s="12"/>
      <c r="AE488" s="13"/>
      <c r="AF488" s="14">
        <v>5.0225</v>
      </c>
      <c r="AG488" s="133"/>
      <c r="AI488" s="84"/>
      <c r="AL488" s="64">
        <v>4.1720468500000001</v>
      </c>
      <c r="AM488" s="56">
        <v>14.400000000000009</v>
      </c>
      <c r="AN488" s="56">
        <v>16.319999999999979</v>
      </c>
      <c r="AO488" s="62">
        <v>22.519999999999921</v>
      </c>
      <c r="AQ488" s="64">
        <v>4.0809879166666674</v>
      </c>
      <c r="AR488" s="56">
        <v>13.840000000000069</v>
      </c>
      <c r="AS488" s="56">
        <v>15.240000000000011</v>
      </c>
      <c r="AT488" s="62">
        <v>19.260000000000051</v>
      </c>
      <c r="AV488" s="64">
        <v>3.7268620499999998</v>
      </c>
      <c r="AW488" s="56">
        <v>13.619999999999971</v>
      </c>
      <c r="AX488" s="56">
        <v>15.07999999999994</v>
      </c>
      <c r="AY488" s="62">
        <v>19.83999999999995</v>
      </c>
      <c r="BA488" s="64">
        <v>3.186360833333334</v>
      </c>
      <c r="BB488" s="56">
        <v>16.96</v>
      </c>
      <c r="BC488" s="56">
        <v>19.45999999999994</v>
      </c>
      <c r="BD488" s="62">
        <v>31.539999999999939</v>
      </c>
      <c r="BF488" s="64">
        <v>2.937077533333333</v>
      </c>
      <c r="BG488" s="56">
        <v>19.880000000000031</v>
      </c>
      <c r="BH488" s="56">
        <v>26.18</v>
      </c>
      <c r="BI488" s="62">
        <v>53.300000000000033</v>
      </c>
      <c r="BJ488" s="70"/>
      <c r="BK488" s="51"/>
    </row>
    <row r="489" spans="1:63" x14ac:dyDescent="0.4">
      <c r="A489" s="11" t="s">
        <v>566</v>
      </c>
      <c r="B489" s="4"/>
      <c r="C489" s="4"/>
      <c r="D489" s="4"/>
      <c r="E489" s="12"/>
      <c r="G489" s="147" t="s">
        <v>566</v>
      </c>
      <c r="H489" s="159">
        <v>69.941000000000003</v>
      </c>
      <c r="I489" s="153">
        <v>70.39</v>
      </c>
      <c r="J489" s="153">
        <v>70.34</v>
      </c>
      <c r="K489" s="153">
        <v>70.36</v>
      </c>
      <c r="L489" s="153">
        <v>70.39</v>
      </c>
      <c r="M489" s="80">
        <f t="shared" si="14"/>
        <v>70.39</v>
      </c>
      <c r="N489" s="80">
        <f t="shared" si="15"/>
        <v>70.34</v>
      </c>
      <c r="O489" s="153">
        <v>21.16</v>
      </c>
      <c r="P489" s="153">
        <v>21.15</v>
      </c>
      <c r="Q489" s="153">
        <v>21.08</v>
      </c>
      <c r="R489" s="153">
        <v>21.05</v>
      </c>
      <c r="S489" s="4"/>
      <c r="U489" s="147" t="s">
        <v>566</v>
      </c>
      <c r="V489" s="11"/>
      <c r="W489" s="4"/>
      <c r="X489" s="12"/>
      <c r="Y489" s="14"/>
      <c r="Z489" s="4"/>
      <c r="AA489" s="13"/>
      <c r="AB489" s="11"/>
      <c r="AC489" s="4"/>
      <c r="AD489" s="12"/>
      <c r="AE489" s="136"/>
      <c r="AF489" s="14">
        <v>5.0260999999999996</v>
      </c>
      <c r="AG489" s="134"/>
      <c r="AI489" s="84"/>
      <c r="AL489" s="64">
        <v>4.1723202166666669</v>
      </c>
      <c r="AM489" s="56">
        <v>14.87999999999996</v>
      </c>
      <c r="AN489" s="56">
        <v>16.840000000000011</v>
      </c>
      <c r="AO489" s="62">
        <v>23.140000000000072</v>
      </c>
      <c r="AQ489" s="64">
        <v>4.0812492166666674</v>
      </c>
      <c r="AR489" s="56">
        <v>14.56</v>
      </c>
      <c r="AS489" s="56">
        <v>16.020000000000149</v>
      </c>
      <c r="AT489" s="62">
        <v>20.14000000000005</v>
      </c>
      <c r="AV489" s="64">
        <v>3.7270085666666661</v>
      </c>
      <c r="AW489" s="56">
        <v>14.200000000000029</v>
      </c>
      <c r="AX489" s="56">
        <v>15.72000000000005</v>
      </c>
      <c r="AY489" s="62">
        <v>20.58</v>
      </c>
      <c r="BA489" s="64">
        <v>3.1867155833333332</v>
      </c>
      <c r="BB489" s="56">
        <v>17.079999999999981</v>
      </c>
      <c r="BC489" s="56">
        <v>19.599999999999969</v>
      </c>
      <c r="BD489" s="62">
        <v>31.75999999999997</v>
      </c>
      <c r="BF489" s="64">
        <v>2.942491200000001</v>
      </c>
      <c r="BG489" s="56">
        <v>19.979999999999979</v>
      </c>
      <c r="BH489" s="56">
        <v>26.239999999999949</v>
      </c>
      <c r="BI489" s="62">
        <v>53.119999999999933</v>
      </c>
      <c r="BJ489" s="69"/>
      <c r="BK489" s="51"/>
    </row>
    <row r="490" spans="1:63" x14ac:dyDescent="0.4">
      <c r="A490" s="11" t="s">
        <v>567</v>
      </c>
      <c r="B490" s="4"/>
      <c r="C490" s="4"/>
      <c r="D490" s="4"/>
      <c r="E490" s="12"/>
      <c r="G490" s="147" t="s">
        <v>567</v>
      </c>
      <c r="H490" s="159">
        <v>70.012</v>
      </c>
      <c r="I490" s="153">
        <v>70.36</v>
      </c>
      <c r="J490" s="153">
        <v>70.290000000000006</v>
      </c>
      <c r="K490" s="153">
        <v>70.34</v>
      </c>
      <c r="L490" s="153">
        <v>70.349999999999994</v>
      </c>
      <c r="M490" s="80">
        <f t="shared" si="14"/>
        <v>70.36</v>
      </c>
      <c r="N490" s="80">
        <f t="shared" si="15"/>
        <v>70.290000000000006</v>
      </c>
      <c r="O490" s="153">
        <v>21.16</v>
      </c>
      <c r="P490" s="153">
        <v>21.16</v>
      </c>
      <c r="Q490" s="153">
        <v>21.17</v>
      </c>
      <c r="R490" s="153">
        <v>21.07</v>
      </c>
      <c r="S490" s="4"/>
      <c r="U490" s="147" t="s">
        <v>567</v>
      </c>
      <c r="V490" s="11"/>
      <c r="W490" s="4"/>
      <c r="X490" s="12"/>
      <c r="Y490" s="14"/>
      <c r="Z490" s="4"/>
      <c r="AA490" s="13"/>
      <c r="AB490" s="11"/>
      <c r="AC490" s="4"/>
      <c r="AD490" s="12"/>
      <c r="AE490" s="136"/>
      <c r="AF490" s="14">
        <v>5.0251000000000001</v>
      </c>
      <c r="AG490" s="134"/>
      <c r="AI490" s="84"/>
      <c r="AL490" s="64">
        <v>4.1727385166666666</v>
      </c>
      <c r="AM490" s="56">
        <v>13.979999999999929</v>
      </c>
      <c r="AN490" s="56">
        <v>15.87999999999994</v>
      </c>
      <c r="AO490" s="62">
        <v>22.00000000000006</v>
      </c>
      <c r="AQ490" s="64">
        <v>4.0814568666666666</v>
      </c>
      <c r="AR490" s="56">
        <v>13.439999999999941</v>
      </c>
      <c r="AS490" s="56">
        <v>14.799999999999971</v>
      </c>
      <c r="AT490" s="62">
        <v>18.760000000000069</v>
      </c>
      <c r="AV490" s="64">
        <v>3.7269993499999989</v>
      </c>
      <c r="AW490" s="56">
        <v>13.079999999999981</v>
      </c>
      <c r="AX490" s="56">
        <v>14.460000000000051</v>
      </c>
      <c r="AY490" s="62">
        <v>19.120000000000029</v>
      </c>
      <c r="BA490" s="64">
        <v>3.1862663833333329</v>
      </c>
      <c r="BB490" s="56">
        <v>16.080000000000009</v>
      </c>
      <c r="BC490" s="56">
        <v>18.50000000000005</v>
      </c>
      <c r="BD490" s="62">
        <v>30.41999999999998</v>
      </c>
      <c r="BF490" s="64">
        <v>2.9406545666666668</v>
      </c>
      <c r="BG490" s="56">
        <v>18.87999999999996</v>
      </c>
      <c r="BH490" s="56">
        <v>24.96</v>
      </c>
      <c r="BI490" s="62">
        <v>51.6</v>
      </c>
      <c r="BJ490" s="69"/>
      <c r="BK490" s="51"/>
    </row>
    <row r="491" spans="1:63" x14ac:dyDescent="0.4">
      <c r="A491" s="11" t="s">
        <v>568</v>
      </c>
      <c r="B491" s="4"/>
      <c r="C491" s="4"/>
      <c r="D491" s="4"/>
      <c r="E491" s="12"/>
      <c r="G491" s="147" t="s">
        <v>568</v>
      </c>
      <c r="H491" s="159">
        <v>70</v>
      </c>
      <c r="I491" s="153">
        <v>70.33</v>
      </c>
      <c r="J491" s="153">
        <v>70.37</v>
      </c>
      <c r="K491" s="153">
        <v>70.39</v>
      </c>
      <c r="L491" s="153">
        <v>70.39</v>
      </c>
      <c r="M491" s="80">
        <f t="shared" si="14"/>
        <v>70.39</v>
      </c>
      <c r="N491" s="80">
        <f t="shared" si="15"/>
        <v>70.33</v>
      </c>
      <c r="O491" s="153">
        <v>21.17</v>
      </c>
      <c r="P491" s="153">
        <v>21.12</v>
      </c>
      <c r="Q491" s="153">
        <v>21.14</v>
      </c>
      <c r="R491" s="153">
        <v>21.02</v>
      </c>
      <c r="S491" s="4"/>
      <c r="U491" s="147" t="s">
        <v>568</v>
      </c>
      <c r="V491" s="11"/>
      <c r="W491" s="4"/>
      <c r="X491" s="12"/>
      <c r="Y491" s="14"/>
      <c r="Z491" s="4"/>
      <c r="AA491" s="13"/>
      <c r="AB491" s="11"/>
      <c r="AC491" s="4"/>
      <c r="AD491" s="12"/>
      <c r="AE491" s="136"/>
      <c r="AF491" s="14">
        <v>5.0224000000000002</v>
      </c>
      <c r="AG491" s="133"/>
      <c r="AI491" s="84"/>
      <c r="AL491" s="64">
        <v>4.1728189166666656</v>
      </c>
      <c r="AM491" s="56">
        <v>14.499999999999959</v>
      </c>
      <c r="AN491" s="56">
        <v>16.43999999999988</v>
      </c>
      <c r="AO491" s="62">
        <v>22.63999999999999</v>
      </c>
      <c r="AQ491" s="64">
        <v>4.0819868333333336</v>
      </c>
      <c r="AR491" s="56">
        <v>14.13999999999991</v>
      </c>
      <c r="AS491" s="56">
        <v>15.55999999999997</v>
      </c>
      <c r="AT491" s="62">
        <v>19.61999999999993</v>
      </c>
      <c r="AV491" s="64">
        <v>3.7292528333333328</v>
      </c>
      <c r="AW491" s="56">
        <v>13.79999999999999</v>
      </c>
      <c r="AX491" s="56">
        <v>15.259999999999961</v>
      </c>
      <c r="AY491" s="62">
        <v>20.039999999999921</v>
      </c>
      <c r="BA491" s="64">
        <v>3.188663266666667</v>
      </c>
      <c r="BB491" s="56">
        <v>16.920000000000002</v>
      </c>
      <c r="BC491" s="56">
        <v>19.399999999999999</v>
      </c>
      <c r="BD491" s="62">
        <v>31.400000000000009</v>
      </c>
      <c r="BF491" s="64">
        <v>2.9358352166666659</v>
      </c>
      <c r="BG491" s="56">
        <v>19.919999999999941</v>
      </c>
      <c r="BH491" s="56">
        <v>26.379999999999981</v>
      </c>
      <c r="BI491" s="62">
        <v>53.859999999999978</v>
      </c>
      <c r="BJ491" s="70"/>
      <c r="BK491" s="51"/>
    </row>
    <row r="492" spans="1:63" x14ac:dyDescent="0.4">
      <c r="A492" s="11" t="s">
        <v>569</v>
      </c>
      <c r="B492" s="4"/>
      <c r="C492" s="4"/>
      <c r="D492" s="4"/>
      <c r="E492" s="12"/>
      <c r="G492" s="147" t="s">
        <v>569</v>
      </c>
      <c r="H492" s="159">
        <v>69.962999999999994</v>
      </c>
      <c r="I492" s="153">
        <v>70.33</v>
      </c>
      <c r="J492" s="153">
        <v>70.28</v>
      </c>
      <c r="K492" s="153">
        <v>70.400000000000006</v>
      </c>
      <c r="L492" s="153">
        <v>70.38</v>
      </c>
      <c r="M492" s="80">
        <f t="shared" si="14"/>
        <v>70.400000000000006</v>
      </c>
      <c r="N492" s="80">
        <f t="shared" si="15"/>
        <v>70.28</v>
      </c>
      <c r="O492" s="153">
        <v>21.22</v>
      </c>
      <c r="P492" s="153">
        <v>21.11</v>
      </c>
      <c r="Q492" s="153">
        <v>21.16</v>
      </c>
      <c r="R492" s="153">
        <v>21.09</v>
      </c>
      <c r="S492" s="4"/>
      <c r="U492" s="147" t="s">
        <v>569</v>
      </c>
      <c r="V492" s="11"/>
      <c r="W492" s="4"/>
      <c r="X492" s="12"/>
      <c r="Y492" s="14"/>
      <c r="Z492" s="4"/>
      <c r="AA492" s="13"/>
      <c r="AB492" s="11"/>
      <c r="AC492" s="4"/>
      <c r="AD492" s="12"/>
      <c r="AE492" s="13"/>
      <c r="AF492" s="14">
        <v>5.0171999999999999</v>
      </c>
      <c r="AG492" s="133"/>
      <c r="AI492" s="84"/>
      <c r="AL492" s="64">
        <v>4.172685033333333</v>
      </c>
      <c r="AM492" s="56">
        <v>14.89999999999991</v>
      </c>
      <c r="AN492" s="56">
        <v>16.879999999999921</v>
      </c>
      <c r="AO492" s="62">
        <v>23.000000000000039</v>
      </c>
      <c r="AQ492" s="64">
        <v>4.0832674833333336</v>
      </c>
      <c r="AR492" s="56">
        <v>14.460000000000051</v>
      </c>
      <c r="AS492" s="56">
        <v>15.90000000000007</v>
      </c>
      <c r="AT492" s="62">
        <v>20.00000000000011</v>
      </c>
      <c r="AV492" s="64">
        <v>3.730203183333332</v>
      </c>
      <c r="AW492" s="56">
        <v>14.02000000000001</v>
      </c>
      <c r="AX492" s="56">
        <v>15.48000000000007</v>
      </c>
      <c r="AY492" s="62">
        <v>20.280000000000079</v>
      </c>
      <c r="BA492" s="64">
        <v>3.1893041666666671</v>
      </c>
      <c r="BB492" s="56">
        <v>16.939999999999959</v>
      </c>
      <c r="BC492" s="56">
        <v>19.439999999999991</v>
      </c>
      <c r="BD492" s="62">
        <v>31.459999999999951</v>
      </c>
      <c r="BF492" s="64">
        <v>2.9375492833333339</v>
      </c>
      <c r="BG492" s="56">
        <v>19.81999999999999</v>
      </c>
      <c r="BH492" s="56">
        <v>26.29999999999999</v>
      </c>
      <c r="BI492" s="62">
        <v>53.77999999999998</v>
      </c>
      <c r="BJ492" s="69"/>
      <c r="BK492" s="51"/>
    </row>
    <row r="493" spans="1:63" x14ac:dyDescent="0.4">
      <c r="A493" s="11" t="s">
        <v>570</v>
      </c>
      <c r="B493" s="4"/>
      <c r="C493" s="4"/>
      <c r="D493" s="4"/>
      <c r="E493" s="12"/>
      <c r="G493" s="147" t="s">
        <v>570</v>
      </c>
      <c r="H493" s="159">
        <v>69.923000000000002</v>
      </c>
      <c r="I493" s="153">
        <v>70.290000000000006</v>
      </c>
      <c r="J493" s="153">
        <v>70.39</v>
      </c>
      <c r="K493" s="153">
        <v>70.38</v>
      </c>
      <c r="L493" s="153">
        <v>70.34</v>
      </c>
      <c r="M493" s="80">
        <f t="shared" si="14"/>
        <v>70.39</v>
      </c>
      <c r="N493" s="80">
        <f t="shared" si="15"/>
        <v>70.290000000000006</v>
      </c>
      <c r="O493" s="153">
        <v>21.16</v>
      </c>
      <c r="P493" s="153">
        <v>21.16</v>
      </c>
      <c r="Q493" s="153">
        <v>21.16</v>
      </c>
      <c r="R493" s="153">
        <v>21.12</v>
      </c>
      <c r="S493" s="4"/>
      <c r="U493" s="147" t="s">
        <v>570</v>
      </c>
      <c r="V493" s="11"/>
      <c r="W493" s="4"/>
      <c r="X493" s="12"/>
      <c r="Y493" s="14"/>
      <c r="Z493" s="4"/>
      <c r="AA493" s="13"/>
      <c r="AB493" s="11"/>
      <c r="AC493" s="4"/>
      <c r="AD493" s="12"/>
      <c r="AE493" s="136"/>
      <c r="AF493" s="14">
        <v>4.9991000000000003</v>
      </c>
      <c r="AG493" s="133"/>
      <c r="AI493" s="84"/>
      <c r="AL493" s="64">
        <v>4.1728423833333332</v>
      </c>
      <c r="AM493" s="56">
        <v>13.879999999999979</v>
      </c>
      <c r="AN493" s="56">
        <v>15.759999999999859</v>
      </c>
      <c r="AO493" s="62">
        <v>21.819999999999951</v>
      </c>
      <c r="AQ493" s="64">
        <v>4.0824263333333333</v>
      </c>
      <c r="AR493" s="56">
        <v>13.35999999999995</v>
      </c>
      <c r="AS493" s="56">
        <v>14.759999999999881</v>
      </c>
      <c r="AT493" s="62">
        <v>18.699999999999939</v>
      </c>
      <c r="AV493" s="64">
        <v>3.72924715</v>
      </c>
      <c r="AW493" s="56">
        <v>12.979999999999951</v>
      </c>
      <c r="AX493" s="56">
        <v>14.35999999999993</v>
      </c>
      <c r="AY493" s="62">
        <v>18.959999999999951</v>
      </c>
      <c r="BA493" s="64">
        <v>3.1868577</v>
      </c>
      <c r="BB493" s="56">
        <v>15.81999999999999</v>
      </c>
      <c r="BC493" s="56">
        <v>18.259999999999991</v>
      </c>
      <c r="BD493" s="62">
        <v>30.119999999999969</v>
      </c>
      <c r="BF493" s="64">
        <v>2.9388690333333329</v>
      </c>
      <c r="BG493" s="56">
        <v>18.739999999999931</v>
      </c>
      <c r="BH493" s="56">
        <v>25.04</v>
      </c>
      <c r="BI493" s="62">
        <v>52.079999999999949</v>
      </c>
      <c r="BJ493" s="70"/>
      <c r="BK493" s="51"/>
    </row>
    <row r="494" spans="1:63" x14ac:dyDescent="0.4">
      <c r="A494" s="11" t="s">
        <v>571</v>
      </c>
      <c r="B494" s="4"/>
      <c r="C494" s="4"/>
      <c r="D494" s="4"/>
      <c r="E494" s="12"/>
      <c r="G494" s="147" t="s">
        <v>571</v>
      </c>
      <c r="H494" s="159">
        <v>69.882999999999996</v>
      </c>
      <c r="I494" s="153">
        <v>70.349999999999994</v>
      </c>
      <c r="J494" s="153">
        <v>70.319999999999993</v>
      </c>
      <c r="K494" s="153">
        <v>70.28</v>
      </c>
      <c r="L494" s="153">
        <v>70.31</v>
      </c>
      <c r="M494" s="80">
        <f t="shared" si="14"/>
        <v>70.349999999999994</v>
      </c>
      <c r="N494" s="80">
        <f t="shared" si="15"/>
        <v>70.28</v>
      </c>
      <c r="O494" s="153">
        <v>21.19</v>
      </c>
      <c r="P494" s="153">
        <v>21.09</v>
      </c>
      <c r="Q494" s="153">
        <v>21.17</v>
      </c>
      <c r="R494" s="153">
        <v>21.14</v>
      </c>
      <c r="S494" s="4"/>
      <c r="U494" s="147" t="s">
        <v>571</v>
      </c>
      <c r="V494" s="11"/>
      <c r="W494" s="4"/>
      <c r="X494" s="12"/>
      <c r="Y494" s="14"/>
      <c r="Z494" s="4"/>
      <c r="AA494" s="13"/>
      <c r="AB494" s="11"/>
      <c r="AC494" s="4"/>
      <c r="AD494" s="12"/>
      <c r="AE494" s="13"/>
      <c r="AF494" s="14">
        <v>5.0010000000000003</v>
      </c>
      <c r="AG494" s="133"/>
      <c r="AI494" s="84"/>
      <c r="AL494" s="64">
        <v>4.1726945166666667</v>
      </c>
      <c r="AM494" s="56">
        <v>14.719999999999979</v>
      </c>
      <c r="AN494" s="56">
        <v>16.740000000000069</v>
      </c>
      <c r="AO494" s="62">
        <v>22.819999999999929</v>
      </c>
      <c r="AQ494" s="64">
        <v>4.0823839833333331</v>
      </c>
      <c r="AR494" s="56">
        <v>14.5999999999999</v>
      </c>
      <c r="AS494" s="56">
        <v>16.080000000000009</v>
      </c>
      <c r="AT494" s="62">
        <v>20.259999999999941</v>
      </c>
      <c r="AV494" s="64">
        <v>3.7291705833333331</v>
      </c>
      <c r="AW494" s="56">
        <v>14.200000000000029</v>
      </c>
      <c r="AX494" s="56">
        <v>15.680000000000049</v>
      </c>
      <c r="AY494" s="62">
        <v>20.54</v>
      </c>
      <c r="BA494" s="64">
        <v>3.1830479999999999</v>
      </c>
      <c r="BB494" s="56">
        <v>17.039999999999988</v>
      </c>
      <c r="BC494" s="56">
        <v>19.599999999999969</v>
      </c>
      <c r="BD494" s="62">
        <v>31.880000000000042</v>
      </c>
      <c r="BF494" s="64">
        <v>2.9359229500000001</v>
      </c>
      <c r="BG494" s="56">
        <v>19.95999999999993</v>
      </c>
      <c r="BH494" s="56">
        <v>26.159999999999961</v>
      </c>
      <c r="BI494" s="62">
        <v>53.359999999999992</v>
      </c>
      <c r="BJ494" s="69"/>
      <c r="BK494" s="51"/>
    </row>
    <row r="495" spans="1:63" x14ac:dyDescent="0.4">
      <c r="A495" s="11" t="s">
        <v>572</v>
      </c>
      <c r="B495" s="4"/>
      <c r="C495" s="4"/>
      <c r="D495" s="4"/>
      <c r="E495" s="12"/>
      <c r="G495" s="147" t="s">
        <v>572</v>
      </c>
      <c r="H495" s="159">
        <v>70.078000000000003</v>
      </c>
      <c r="I495" s="153">
        <v>70.37</v>
      </c>
      <c r="J495" s="153">
        <v>70.27</v>
      </c>
      <c r="K495" s="153">
        <v>70.31</v>
      </c>
      <c r="L495" s="153">
        <v>70.319999999999993</v>
      </c>
      <c r="M495" s="80">
        <f t="shared" si="14"/>
        <v>70.37</v>
      </c>
      <c r="N495" s="80">
        <f t="shared" si="15"/>
        <v>70.27</v>
      </c>
      <c r="O495" s="153">
        <v>21.15</v>
      </c>
      <c r="P495" s="153">
        <v>21.17</v>
      </c>
      <c r="Q495" s="153">
        <v>21.06</v>
      </c>
      <c r="R495" s="153">
        <v>20.99</v>
      </c>
      <c r="S495" s="4"/>
      <c r="U495" s="147" t="s">
        <v>572</v>
      </c>
      <c r="V495" s="11"/>
      <c r="W495" s="4"/>
      <c r="X495" s="12"/>
      <c r="Y495" s="14"/>
      <c r="Z495" s="4"/>
      <c r="AA495" s="13"/>
      <c r="AB495" s="11"/>
      <c r="AC495" s="4"/>
      <c r="AD495" s="12"/>
      <c r="AE495" s="136"/>
      <c r="AF495" s="14">
        <v>4.9999000000000002</v>
      </c>
      <c r="AG495" s="133"/>
      <c r="AI495" s="84"/>
      <c r="AL495" s="64">
        <v>4.1719546666666663</v>
      </c>
      <c r="AM495" s="56">
        <v>14.89999999999991</v>
      </c>
      <c r="AN495" s="56">
        <v>16.900000000000048</v>
      </c>
      <c r="AO495" s="62">
        <v>23.039999999999949</v>
      </c>
      <c r="AQ495" s="64">
        <v>4.0821962166666674</v>
      </c>
      <c r="AR495" s="56">
        <v>14.52000000000009</v>
      </c>
      <c r="AS495" s="56">
        <v>16.000000000000011</v>
      </c>
      <c r="AT495" s="62">
        <v>20.14000000000005</v>
      </c>
      <c r="AV495" s="64">
        <v>3.7288768500000011</v>
      </c>
      <c r="AW495" s="56">
        <v>14.23999999999994</v>
      </c>
      <c r="AX495" s="56">
        <v>15.74</v>
      </c>
      <c r="AY495" s="62">
        <v>20.599999999999952</v>
      </c>
      <c r="BA495" s="64">
        <v>3.181706133333333</v>
      </c>
      <c r="BB495" s="56">
        <v>17.159999999999979</v>
      </c>
      <c r="BC495" s="56">
        <v>19.70000000000001</v>
      </c>
      <c r="BD495" s="62">
        <v>32.019999999999982</v>
      </c>
      <c r="BF495" s="64">
        <v>2.9318396666666668</v>
      </c>
      <c r="BG495" s="56">
        <v>20.099999999999959</v>
      </c>
      <c r="BH495" s="56">
        <v>26.259999999999991</v>
      </c>
      <c r="BI495" s="62">
        <v>53.759999999999941</v>
      </c>
      <c r="BJ495" s="70"/>
      <c r="BK495" s="51"/>
    </row>
    <row r="496" spans="1:63" x14ac:dyDescent="0.4">
      <c r="A496" s="11" t="s">
        <v>573</v>
      </c>
      <c r="B496" s="4"/>
      <c r="C496" s="4"/>
      <c r="D496" s="4"/>
      <c r="E496" s="12"/>
      <c r="G496" s="147" t="s">
        <v>573</v>
      </c>
      <c r="H496" s="159">
        <v>70.027000000000001</v>
      </c>
      <c r="I496" s="153">
        <v>70.34</v>
      </c>
      <c r="J496" s="153">
        <v>70.39</v>
      </c>
      <c r="K496" s="153">
        <v>70.319999999999993</v>
      </c>
      <c r="L496" s="153">
        <v>70.319999999999993</v>
      </c>
      <c r="M496" s="80">
        <f t="shared" si="14"/>
        <v>70.39</v>
      </c>
      <c r="N496" s="80">
        <f t="shared" si="15"/>
        <v>70.319999999999993</v>
      </c>
      <c r="O496" s="153">
        <v>21.21</v>
      </c>
      <c r="P496" s="153">
        <v>21.11</v>
      </c>
      <c r="Q496" s="153">
        <v>21.14</v>
      </c>
      <c r="R496" s="153">
        <v>21.04</v>
      </c>
      <c r="S496" s="4"/>
      <c r="U496" s="147" t="s">
        <v>573</v>
      </c>
      <c r="V496" s="11"/>
      <c r="W496" s="4"/>
      <c r="X496" s="12"/>
      <c r="Y496" s="14"/>
      <c r="Z496" s="4"/>
      <c r="AA496" s="13"/>
      <c r="AB496" s="11"/>
      <c r="AC496" s="4"/>
      <c r="AD496" s="12"/>
      <c r="AE496" s="136"/>
      <c r="AF496" s="14">
        <v>5.0377999999999998</v>
      </c>
      <c r="AG496" s="134"/>
      <c r="AI496" s="84"/>
      <c r="AL496" s="64">
        <v>4.1719948666666662</v>
      </c>
      <c r="AM496" s="56">
        <v>13.480000000000031</v>
      </c>
      <c r="AN496" s="56">
        <v>15.38000000000004</v>
      </c>
      <c r="AO496" s="62">
        <v>21.419999999999991</v>
      </c>
      <c r="AQ496" s="64">
        <v>4.0835824499999989</v>
      </c>
      <c r="AR496" s="56">
        <v>13.29999999999991</v>
      </c>
      <c r="AS496" s="56">
        <v>14.69999999999985</v>
      </c>
      <c r="AT496" s="62">
        <v>18.699999999999939</v>
      </c>
      <c r="AV496" s="64">
        <v>3.7304526166666672</v>
      </c>
      <c r="AW496" s="56">
        <v>12.95999999999999</v>
      </c>
      <c r="AX496" s="56">
        <v>14.32000000000002</v>
      </c>
      <c r="AY496" s="62">
        <v>18.96000000000004</v>
      </c>
      <c r="BA496" s="64">
        <v>3.1847931666666658</v>
      </c>
      <c r="BB496" s="56">
        <v>15.919999999999931</v>
      </c>
      <c r="BC496" s="56">
        <v>18.379999999999971</v>
      </c>
      <c r="BD496" s="62">
        <v>30.43999999999993</v>
      </c>
      <c r="BF496" s="64">
        <v>2.9444260333333339</v>
      </c>
      <c r="BG496" s="56">
        <v>18.700000000000031</v>
      </c>
      <c r="BH496" s="56">
        <v>25.079999999999991</v>
      </c>
      <c r="BI496" s="62">
        <v>52.099999999999987</v>
      </c>
      <c r="BJ496" s="69"/>
      <c r="BK496" s="51"/>
    </row>
    <row r="497" spans="1:63" x14ac:dyDescent="0.4">
      <c r="A497" s="11" t="s">
        <v>574</v>
      </c>
      <c r="B497" s="4"/>
      <c r="C497" s="4"/>
      <c r="D497" s="4"/>
      <c r="E497" s="12"/>
      <c r="G497" s="147" t="s">
        <v>574</v>
      </c>
      <c r="H497" s="159">
        <v>69.933999999999997</v>
      </c>
      <c r="I497" s="153">
        <v>70.37</v>
      </c>
      <c r="J497" s="153">
        <v>70.33</v>
      </c>
      <c r="K497" s="153">
        <v>70.3</v>
      </c>
      <c r="L497" s="153">
        <v>70.33</v>
      </c>
      <c r="M497" s="80">
        <f t="shared" si="14"/>
        <v>70.37</v>
      </c>
      <c r="N497" s="80">
        <f t="shared" si="15"/>
        <v>70.3</v>
      </c>
      <c r="O497" s="153">
        <v>21.2</v>
      </c>
      <c r="P497" s="153">
        <v>21.08</v>
      </c>
      <c r="Q497" s="153">
        <v>21.12</v>
      </c>
      <c r="R497" s="153">
        <v>21</v>
      </c>
      <c r="S497" s="4"/>
      <c r="U497" s="147" t="s">
        <v>574</v>
      </c>
      <c r="V497" s="11"/>
      <c r="W497" s="4"/>
      <c r="X497" s="12"/>
      <c r="Y497" s="14"/>
      <c r="Z497" s="4"/>
      <c r="AA497" s="13"/>
      <c r="AB497" s="11"/>
      <c r="AC497" s="4"/>
      <c r="AD497" s="12"/>
      <c r="AE497" s="13"/>
      <c r="AF497" s="14">
        <v>5.0187999999999997</v>
      </c>
      <c r="AG497" s="133"/>
      <c r="AI497" s="84"/>
      <c r="AL497" s="64">
        <v>4.172220133333334</v>
      </c>
      <c r="AM497" s="56">
        <v>13.68000000000009</v>
      </c>
      <c r="AN497" s="56">
        <v>15.55999999999997</v>
      </c>
      <c r="AO497" s="62">
        <v>21.680000000000099</v>
      </c>
      <c r="AQ497" s="64">
        <v>4.082454883333333</v>
      </c>
      <c r="AR497" s="56">
        <v>13.35999999999995</v>
      </c>
      <c r="AS497" s="56">
        <v>14.719999999999979</v>
      </c>
      <c r="AT497" s="62">
        <v>18.6799999999999</v>
      </c>
      <c r="AV497" s="64">
        <v>3.72859775</v>
      </c>
      <c r="AW497" s="56">
        <v>12.94000000000004</v>
      </c>
      <c r="AX497" s="56">
        <v>14.32000000000002</v>
      </c>
      <c r="AY497" s="62">
        <v>18.96000000000004</v>
      </c>
      <c r="BA497" s="64">
        <v>3.191461083333333</v>
      </c>
      <c r="BB497" s="56">
        <v>15.78</v>
      </c>
      <c r="BC497" s="56">
        <v>18.15999999999995</v>
      </c>
      <c r="BD497" s="62">
        <v>29.88</v>
      </c>
      <c r="BF497" s="64">
        <v>2.9458254666666668</v>
      </c>
      <c r="BG497" s="56">
        <v>18.559999999999999</v>
      </c>
      <c r="BH497" s="56">
        <v>24.720000000000031</v>
      </c>
      <c r="BI497" s="62">
        <v>51.160000000000053</v>
      </c>
      <c r="BJ497" s="69"/>
      <c r="BK497" s="51"/>
    </row>
    <row r="498" spans="1:63" x14ac:dyDescent="0.4">
      <c r="A498" s="11" t="s">
        <v>575</v>
      </c>
      <c r="B498" s="4"/>
      <c r="C498" s="4"/>
      <c r="D498" s="4"/>
      <c r="E498" s="12"/>
      <c r="G498" s="147" t="s">
        <v>575</v>
      </c>
      <c r="H498" s="159">
        <v>69.930999999999997</v>
      </c>
      <c r="I498" s="153">
        <v>70.290000000000006</v>
      </c>
      <c r="J498" s="153">
        <v>70.290000000000006</v>
      </c>
      <c r="K498" s="153">
        <v>70.33</v>
      </c>
      <c r="L498" s="153">
        <v>70.319999999999993</v>
      </c>
      <c r="M498" s="80">
        <f t="shared" si="14"/>
        <v>70.33</v>
      </c>
      <c r="N498" s="80">
        <f t="shared" si="15"/>
        <v>70.290000000000006</v>
      </c>
      <c r="O498" s="153">
        <v>21.14</v>
      </c>
      <c r="P498" s="153">
        <v>21.05</v>
      </c>
      <c r="Q498" s="153">
        <v>21.14</v>
      </c>
      <c r="R498" s="153">
        <v>21.11</v>
      </c>
      <c r="S498" s="4"/>
      <c r="U498" s="147" t="s">
        <v>575</v>
      </c>
      <c r="V498" s="11"/>
      <c r="W498" s="4"/>
      <c r="X498" s="12"/>
      <c r="Y498" s="14"/>
      <c r="Z498" s="4"/>
      <c r="AA498" s="13"/>
      <c r="AB498" s="11"/>
      <c r="AC498" s="4"/>
      <c r="AD498" s="12"/>
      <c r="AE498" s="13"/>
      <c r="AF498" s="14">
        <v>5.0130999999999997</v>
      </c>
      <c r="AG498" s="133"/>
      <c r="AI498" s="84"/>
      <c r="AL498" s="64">
        <v>4.1719458999999999</v>
      </c>
      <c r="AM498" s="56">
        <v>14.220000000000081</v>
      </c>
      <c r="AN498" s="56">
        <v>16.099999999999959</v>
      </c>
      <c r="AO498" s="62">
        <v>22.279999999999941</v>
      </c>
      <c r="AQ498" s="64">
        <v>4.0798101500000001</v>
      </c>
      <c r="AR498" s="56">
        <v>13.54000000000006</v>
      </c>
      <c r="AS498" s="56">
        <v>14.900000000000089</v>
      </c>
      <c r="AT498" s="62">
        <v>18.920000000000051</v>
      </c>
      <c r="AV498" s="64">
        <v>3.725365716666666</v>
      </c>
      <c r="AW498" s="56">
        <v>13.15999999999997</v>
      </c>
      <c r="AX498" s="56">
        <v>14.56</v>
      </c>
      <c r="AY498" s="62">
        <v>19.25999999999997</v>
      </c>
      <c r="BA498" s="64">
        <v>3.1838345166666668</v>
      </c>
      <c r="BB498" s="56">
        <v>16.05999999999996</v>
      </c>
      <c r="BC498" s="56">
        <v>18.480000000000011</v>
      </c>
      <c r="BD498" s="62">
        <v>30.399999999999942</v>
      </c>
      <c r="BF498" s="64">
        <v>2.942907299999999</v>
      </c>
      <c r="BG498" s="56">
        <v>18.65999999999994</v>
      </c>
      <c r="BH498" s="56">
        <v>24.699999999999989</v>
      </c>
      <c r="BI498" s="62">
        <v>50.85999999999995</v>
      </c>
      <c r="BJ498" s="69"/>
      <c r="BK498" s="51"/>
    </row>
    <row r="499" spans="1:63" x14ac:dyDescent="0.4">
      <c r="A499" s="11" t="s">
        <v>576</v>
      </c>
      <c r="B499" s="4"/>
      <c r="C499" s="4"/>
      <c r="D499" s="4"/>
      <c r="E499" s="12"/>
      <c r="G499" s="147" t="s">
        <v>576</v>
      </c>
      <c r="H499" s="161">
        <v>69.902000000000001</v>
      </c>
      <c r="I499" s="153">
        <v>70.39</v>
      </c>
      <c r="J499" s="153">
        <v>70.319999999999993</v>
      </c>
      <c r="K499" s="153">
        <v>70.349999999999994</v>
      </c>
      <c r="L499" s="153">
        <v>70.349999999999994</v>
      </c>
      <c r="M499" s="80">
        <f t="shared" si="14"/>
        <v>70.39</v>
      </c>
      <c r="N499" s="80">
        <f t="shared" si="15"/>
        <v>70.319999999999993</v>
      </c>
      <c r="O499" s="153">
        <v>21.1</v>
      </c>
      <c r="P499" s="153">
        <v>21.08</v>
      </c>
      <c r="Q499" s="153">
        <v>21.13</v>
      </c>
      <c r="R499" s="153">
        <v>21.11</v>
      </c>
      <c r="S499" s="4"/>
      <c r="U499" s="147" t="s">
        <v>576</v>
      </c>
      <c r="V499" s="11"/>
      <c r="W499" s="4"/>
      <c r="X499" s="12"/>
      <c r="Y499" s="14"/>
      <c r="Z499" s="4"/>
      <c r="AA499" s="13"/>
      <c r="AB499" s="11"/>
      <c r="AC499" s="4"/>
      <c r="AD499" s="12"/>
      <c r="AE499" s="13"/>
      <c r="AF499" s="14">
        <v>5.0160999999999998</v>
      </c>
      <c r="AG499" s="133"/>
      <c r="AI499" s="84"/>
      <c r="AL499" s="64">
        <v>4.1715827333333344</v>
      </c>
      <c r="AM499" s="56">
        <v>14.19999999999995</v>
      </c>
      <c r="AN499" s="56">
        <v>16.099999999999959</v>
      </c>
      <c r="AO499" s="62">
        <v>22.279999999999941</v>
      </c>
      <c r="AQ499" s="64">
        <v>4.0815148999999993</v>
      </c>
      <c r="AR499" s="56">
        <v>13.759999999999909</v>
      </c>
      <c r="AS499" s="56">
        <v>15.16000000000002</v>
      </c>
      <c r="AT499" s="62">
        <v>19.179999999999971</v>
      </c>
      <c r="AV499" s="64">
        <v>3.7272651666666672</v>
      </c>
      <c r="AW499" s="56">
        <v>13.34</v>
      </c>
      <c r="AX499" s="56">
        <v>14.74000000000002</v>
      </c>
      <c r="AY499" s="62">
        <v>19.439999999999991</v>
      </c>
      <c r="BA499" s="64">
        <v>3.184908183333333</v>
      </c>
      <c r="BB499" s="56">
        <v>16.199999999999989</v>
      </c>
      <c r="BC499" s="56">
        <v>18.63999999999999</v>
      </c>
      <c r="BD499" s="62">
        <v>30.700000000000038</v>
      </c>
      <c r="BF499" s="64">
        <v>2.947052366666667</v>
      </c>
      <c r="BG499" s="56">
        <v>18.820000000000011</v>
      </c>
      <c r="BH499" s="56">
        <v>24.88000000000001</v>
      </c>
      <c r="BI499" s="62">
        <v>51.100000000000023</v>
      </c>
      <c r="BJ499" s="70"/>
      <c r="BK499" s="51"/>
    </row>
    <row r="500" spans="1:63" x14ac:dyDescent="0.4">
      <c r="A500" s="11" t="s">
        <v>577</v>
      </c>
      <c r="B500" s="4"/>
      <c r="C500" s="4"/>
      <c r="D500" s="4"/>
      <c r="E500" s="12"/>
      <c r="G500" s="147" t="s">
        <v>577</v>
      </c>
      <c r="H500" s="159">
        <v>70.021000000000001</v>
      </c>
      <c r="I500" s="153">
        <v>70.27</v>
      </c>
      <c r="J500" s="153">
        <v>70.36</v>
      </c>
      <c r="K500" s="153">
        <v>70.290000000000006</v>
      </c>
      <c r="L500" s="153">
        <v>70.39</v>
      </c>
      <c r="M500" s="80">
        <f t="shared" si="14"/>
        <v>70.39</v>
      </c>
      <c r="N500" s="80">
        <f t="shared" si="15"/>
        <v>70.27</v>
      </c>
      <c r="O500" s="153">
        <v>21.16</v>
      </c>
      <c r="P500" s="153">
        <v>21.1</v>
      </c>
      <c r="Q500" s="153">
        <v>21.16</v>
      </c>
      <c r="R500" s="153">
        <v>21.01</v>
      </c>
      <c r="S500" s="4"/>
      <c r="U500" s="147" t="s">
        <v>577</v>
      </c>
      <c r="V500" s="11"/>
      <c r="W500" s="4"/>
      <c r="X500" s="12"/>
      <c r="Y500" s="14"/>
      <c r="Z500" s="4"/>
      <c r="AA500" s="13"/>
      <c r="AB500" s="11"/>
      <c r="AC500" s="4"/>
      <c r="AD500" s="12"/>
      <c r="AE500" s="13"/>
      <c r="AF500" s="14">
        <v>5.0126999999999997</v>
      </c>
      <c r="AG500" s="133"/>
      <c r="AI500" s="84"/>
      <c r="AL500" s="64">
        <v>4.1717866499999996</v>
      </c>
      <c r="AM500" s="56">
        <v>14.440000000000101</v>
      </c>
      <c r="AN500" s="56">
        <v>16.319999999999979</v>
      </c>
      <c r="AO500" s="62">
        <v>22.480000000000011</v>
      </c>
      <c r="AQ500" s="64">
        <v>4.0791209833333326</v>
      </c>
      <c r="AR500" s="56">
        <v>13.52000000000011</v>
      </c>
      <c r="AS500" s="56">
        <v>14.900000000000089</v>
      </c>
      <c r="AT500" s="62">
        <v>18.900000000000009</v>
      </c>
      <c r="AV500" s="64">
        <v>3.7243297000000011</v>
      </c>
      <c r="AW500" s="56">
        <v>13.12000000000006</v>
      </c>
      <c r="AX500" s="56">
        <v>14.52</v>
      </c>
      <c r="AY500" s="62">
        <v>19.200000000000021</v>
      </c>
      <c r="BA500" s="64">
        <v>3.181366633333333</v>
      </c>
      <c r="BB500" s="56">
        <v>16.12</v>
      </c>
      <c r="BC500" s="56">
        <v>18.599999999999991</v>
      </c>
      <c r="BD500" s="62">
        <v>30.65999999999995</v>
      </c>
      <c r="BF500" s="64">
        <v>2.9438525333333332</v>
      </c>
      <c r="BG500" s="56">
        <v>18.660000000000029</v>
      </c>
      <c r="BH500" s="56">
        <v>24.76000000000003</v>
      </c>
      <c r="BI500" s="62">
        <v>50.919999999999987</v>
      </c>
      <c r="BJ500" s="70"/>
      <c r="BK500" s="51"/>
    </row>
    <row r="501" spans="1:63" x14ac:dyDescent="0.4">
      <c r="A501" s="11" t="s">
        <v>578</v>
      </c>
      <c r="B501" s="4"/>
      <c r="C501" s="4"/>
      <c r="D501" s="4"/>
      <c r="E501" s="12"/>
      <c r="G501" s="147" t="s">
        <v>578</v>
      </c>
      <c r="H501" s="159">
        <v>70</v>
      </c>
      <c r="I501" s="153">
        <v>70.290000000000006</v>
      </c>
      <c r="J501" s="153">
        <v>70.319999999999993</v>
      </c>
      <c r="K501" s="153">
        <v>70.28</v>
      </c>
      <c r="L501" s="153">
        <v>70.400000000000006</v>
      </c>
      <c r="M501" s="80">
        <f t="shared" si="14"/>
        <v>70.400000000000006</v>
      </c>
      <c r="N501" s="80">
        <f t="shared" si="15"/>
        <v>70.28</v>
      </c>
      <c r="O501" s="153">
        <v>21.17</v>
      </c>
      <c r="P501" s="153">
        <v>21.02</v>
      </c>
      <c r="Q501" s="153">
        <v>21.09</v>
      </c>
      <c r="R501" s="153">
        <v>21.05</v>
      </c>
      <c r="S501" s="4"/>
      <c r="U501" s="147" t="s">
        <v>578</v>
      </c>
      <c r="V501" s="11"/>
      <c r="W501" s="4"/>
      <c r="X501" s="12"/>
      <c r="Y501" s="14"/>
      <c r="Z501" s="4"/>
      <c r="AA501" s="13"/>
      <c r="AB501" s="11"/>
      <c r="AC501" s="4"/>
      <c r="AD501" s="12"/>
      <c r="AE501" s="136"/>
      <c r="AF501" s="14">
        <v>5.0141</v>
      </c>
      <c r="AG501" s="133"/>
      <c r="AI501" s="84"/>
      <c r="AL501" s="64">
        <v>4.1716653333333333</v>
      </c>
      <c r="AM501" s="56">
        <v>14.08000000000005</v>
      </c>
      <c r="AN501" s="56">
        <v>16.019999999999971</v>
      </c>
      <c r="AO501" s="62">
        <v>22.119999999999958</v>
      </c>
      <c r="AQ501" s="64">
        <v>4.0810098333333347</v>
      </c>
      <c r="AR501" s="56">
        <v>13.46000000000007</v>
      </c>
      <c r="AS501" s="56">
        <v>14.86000000000001</v>
      </c>
      <c r="AT501" s="62">
        <v>18.860000000000099</v>
      </c>
      <c r="AV501" s="64">
        <v>3.7277621500000002</v>
      </c>
      <c r="AW501" s="56">
        <v>13.09999999999993</v>
      </c>
      <c r="AX501" s="56">
        <v>14.47999999999992</v>
      </c>
      <c r="AY501" s="62">
        <v>19.159999999999929</v>
      </c>
      <c r="BA501" s="64">
        <v>3.184117983333334</v>
      </c>
      <c r="BB501" s="56">
        <v>16.12</v>
      </c>
      <c r="BC501" s="56">
        <v>18.599999999999991</v>
      </c>
      <c r="BD501" s="62">
        <v>30.6</v>
      </c>
      <c r="BF501" s="64">
        <v>2.9369453666666669</v>
      </c>
      <c r="BG501" s="56">
        <v>18.780000000000019</v>
      </c>
      <c r="BH501" s="56">
        <v>24.920000000000009</v>
      </c>
      <c r="BI501" s="62">
        <v>51.799999999999983</v>
      </c>
      <c r="BJ501" s="70"/>
      <c r="BK501" s="51"/>
    </row>
    <row r="502" spans="1:63" x14ac:dyDescent="0.4">
      <c r="A502" s="11" t="s">
        <v>579</v>
      </c>
      <c r="B502" s="4"/>
      <c r="C502" s="4"/>
      <c r="D502" s="4"/>
      <c r="E502" s="12"/>
      <c r="G502" s="147" t="s">
        <v>579</v>
      </c>
      <c r="H502" s="159">
        <v>69.965999999999994</v>
      </c>
      <c r="I502" s="153">
        <v>70.34</v>
      </c>
      <c r="J502" s="153">
        <v>70.349999999999994</v>
      </c>
      <c r="K502" s="153">
        <v>70.28</v>
      </c>
      <c r="L502" s="153">
        <v>70.37</v>
      </c>
      <c r="M502" s="80">
        <f t="shared" si="14"/>
        <v>70.37</v>
      </c>
      <c r="N502" s="80">
        <f t="shared" si="15"/>
        <v>70.28</v>
      </c>
      <c r="O502" s="153">
        <v>21.21</v>
      </c>
      <c r="P502" s="153">
        <v>21.12</v>
      </c>
      <c r="Q502" s="153">
        <v>21.1</v>
      </c>
      <c r="R502" s="153">
        <v>21.09</v>
      </c>
      <c r="S502" s="4"/>
      <c r="U502" s="147" t="s">
        <v>579</v>
      </c>
      <c r="V502" s="11"/>
      <c r="W502" s="4"/>
      <c r="X502" s="12"/>
      <c r="Y502" s="14"/>
      <c r="Z502" s="4"/>
      <c r="AA502" s="13"/>
      <c r="AB502" s="11"/>
      <c r="AC502" s="4"/>
      <c r="AD502" s="12"/>
      <c r="AE502" s="13"/>
      <c r="AF502" s="14">
        <v>5.024</v>
      </c>
      <c r="AG502" s="133"/>
      <c r="AI502" s="84"/>
      <c r="AL502" s="64">
        <v>4.1721750166666656</v>
      </c>
      <c r="AM502" s="56">
        <v>14.41999999999997</v>
      </c>
      <c r="AN502" s="56">
        <v>16.38000000000002</v>
      </c>
      <c r="AO502" s="62">
        <v>22.499999999999961</v>
      </c>
      <c r="AQ502" s="64">
        <v>4.0821330499999986</v>
      </c>
      <c r="AR502" s="56">
        <v>14.120000000000131</v>
      </c>
      <c r="AS502" s="56">
        <v>15.55999999999997</v>
      </c>
      <c r="AT502" s="62">
        <v>19.640000000000061</v>
      </c>
      <c r="AV502" s="64">
        <v>3.7290922000000002</v>
      </c>
      <c r="AW502" s="56">
        <v>13.72</v>
      </c>
      <c r="AX502" s="56">
        <v>15.139999999999979</v>
      </c>
      <c r="AY502" s="62">
        <v>19.880000000000031</v>
      </c>
      <c r="BA502" s="64">
        <v>3.1864853000000002</v>
      </c>
      <c r="BB502" s="56">
        <v>16.560000000000041</v>
      </c>
      <c r="BC502" s="56">
        <v>19.059999999999992</v>
      </c>
      <c r="BD502" s="62">
        <v>31.040000000000049</v>
      </c>
      <c r="BF502" s="64">
        <v>2.9371796833333339</v>
      </c>
      <c r="BG502" s="56">
        <v>19.379999999999949</v>
      </c>
      <c r="BH502" s="56">
        <v>25.760000000000009</v>
      </c>
      <c r="BI502" s="62">
        <v>53.019999999999968</v>
      </c>
      <c r="BJ502" s="70"/>
      <c r="BK502" s="51"/>
    </row>
    <row r="503" spans="1:63" x14ac:dyDescent="0.4">
      <c r="A503" s="11" t="s">
        <v>580</v>
      </c>
      <c r="B503" s="4"/>
      <c r="C503" s="4"/>
      <c r="D503" s="4"/>
      <c r="E503" s="12"/>
      <c r="G503" s="147" t="s">
        <v>580</v>
      </c>
      <c r="H503" s="159">
        <v>69.900000000000006</v>
      </c>
      <c r="I503" s="153">
        <v>70.3</v>
      </c>
      <c r="J503" s="153">
        <v>70.39</v>
      </c>
      <c r="K503" s="153">
        <v>70.3</v>
      </c>
      <c r="L503" s="153">
        <v>70.290000000000006</v>
      </c>
      <c r="M503" s="80">
        <f t="shared" si="14"/>
        <v>70.39</v>
      </c>
      <c r="N503" s="80">
        <f t="shared" si="15"/>
        <v>70.290000000000006</v>
      </c>
      <c r="O503" s="153">
        <v>21.18</v>
      </c>
      <c r="P503" s="153">
        <v>21.03</v>
      </c>
      <c r="Q503" s="153">
        <v>21.11</v>
      </c>
      <c r="R503" s="153">
        <v>21.1</v>
      </c>
      <c r="S503" s="4"/>
      <c r="U503" s="147" t="s">
        <v>580</v>
      </c>
      <c r="V503" s="11"/>
      <c r="W503" s="4"/>
      <c r="X503" s="12"/>
      <c r="Y503" s="14"/>
      <c r="Z503" s="4"/>
      <c r="AA503" s="13"/>
      <c r="AB503" s="11"/>
      <c r="AC503" s="4"/>
      <c r="AD503" s="12"/>
      <c r="AE503" s="136"/>
      <c r="AF503" s="14">
        <v>4.9985999999999997</v>
      </c>
      <c r="AG503" s="134"/>
      <c r="AI503" s="84"/>
      <c r="AL503" s="64">
        <v>4.1716943166666667</v>
      </c>
      <c r="AM503" s="56">
        <v>14.859999999999831</v>
      </c>
      <c r="AN503" s="56">
        <v>16.779999999999969</v>
      </c>
      <c r="AO503" s="62">
        <v>22.91999999999987</v>
      </c>
      <c r="AQ503" s="64">
        <v>4.0802287666666661</v>
      </c>
      <c r="AR503" s="56">
        <v>14.00000000000006</v>
      </c>
      <c r="AS503" s="56">
        <v>15.39999999999999</v>
      </c>
      <c r="AT503" s="62">
        <v>19.460000000000029</v>
      </c>
      <c r="AV503" s="64">
        <v>3.726869900000001</v>
      </c>
      <c r="AW503" s="56">
        <v>13.659999999999959</v>
      </c>
      <c r="AX503" s="56">
        <v>15.07999999999994</v>
      </c>
      <c r="AY503" s="62">
        <v>19.83999999999995</v>
      </c>
      <c r="BA503" s="64">
        <v>3.1846979833333329</v>
      </c>
      <c r="BB503" s="56">
        <v>16.779999999999969</v>
      </c>
      <c r="BC503" s="56">
        <v>19.280000000000008</v>
      </c>
      <c r="BD503" s="62">
        <v>31.339999999999961</v>
      </c>
      <c r="BF503" s="64">
        <v>2.9361177166666659</v>
      </c>
      <c r="BG503" s="56">
        <v>19.70000000000001</v>
      </c>
      <c r="BH503" s="56">
        <v>26.100000000000009</v>
      </c>
      <c r="BI503" s="62">
        <v>53.359999999999992</v>
      </c>
      <c r="BJ503" s="69"/>
      <c r="BK503" s="51"/>
    </row>
    <row r="504" spans="1:63" x14ac:dyDescent="0.4">
      <c r="A504" s="11" t="s">
        <v>581</v>
      </c>
      <c r="B504" s="4"/>
      <c r="C504" s="4"/>
      <c r="D504" s="4"/>
      <c r="E504" s="12"/>
      <c r="G504" s="147" t="s">
        <v>581</v>
      </c>
      <c r="H504" s="159">
        <v>69.897999999999996</v>
      </c>
      <c r="I504" s="153">
        <v>70.27</v>
      </c>
      <c r="J504" s="153">
        <v>70.33</v>
      </c>
      <c r="K504" s="153">
        <v>70.34</v>
      </c>
      <c r="L504" s="153">
        <v>70.28</v>
      </c>
      <c r="M504" s="80">
        <f t="shared" si="14"/>
        <v>70.34</v>
      </c>
      <c r="N504" s="80">
        <f t="shared" si="15"/>
        <v>70.27</v>
      </c>
      <c r="O504" s="153">
        <v>21.16</v>
      </c>
      <c r="P504" s="153">
        <v>21.05</v>
      </c>
      <c r="Q504" s="153">
        <v>21.1</v>
      </c>
      <c r="R504" s="153">
        <v>21.04</v>
      </c>
      <c r="S504" s="4"/>
      <c r="U504" s="147" t="s">
        <v>581</v>
      </c>
      <c r="V504" s="11"/>
      <c r="W504" s="4"/>
      <c r="X504" s="12"/>
      <c r="Y504" s="14"/>
      <c r="Z504" s="4"/>
      <c r="AA504" s="13"/>
      <c r="AB504" s="11"/>
      <c r="AC504" s="4"/>
      <c r="AD504" s="12"/>
      <c r="AE504" s="13"/>
      <c r="AF504" s="14">
        <v>4.9999000000000002</v>
      </c>
      <c r="AG504" s="133"/>
      <c r="AI504" s="84"/>
      <c r="AL504" s="64">
        <v>4.171789716666666</v>
      </c>
      <c r="AM504" s="56">
        <v>14.780000000000021</v>
      </c>
      <c r="AN504" s="56">
        <v>16.740000000000069</v>
      </c>
      <c r="AO504" s="62">
        <v>22.959999999999962</v>
      </c>
      <c r="AQ504" s="64">
        <v>4.083061933333334</v>
      </c>
      <c r="AR504" s="56">
        <v>14.81999999999992</v>
      </c>
      <c r="AS504" s="56">
        <v>16.300000000000029</v>
      </c>
      <c r="AT504" s="62">
        <v>20.460000000000012</v>
      </c>
      <c r="AV504" s="64">
        <v>3.729237799999999</v>
      </c>
      <c r="AW504" s="56">
        <v>14.57999999999995</v>
      </c>
      <c r="AX504" s="56">
        <v>16.080000000000009</v>
      </c>
      <c r="AY504" s="62">
        <v>21.01999999999995</v>
      </c>
      <c r="BA504" s="64">
        <v>3.182176866666667</v>
      </c>
      <c r="BB504" s="56">
        <v>17.539999999999981</v>
      </c>
      <c r="BC504" s="56">
        <v>20.12</v>
      </c>
      <c r="BD504" s="62">
        <v>32.540000000000013</v>
      </c>
      <c r="BF504" s="64">
        <v>2.937054900000001</v>
      </c>
      <c r="BG504" s="56">
        <v>20.220000000000041</v>
      </c>
      <c r="BH504" s="56">
        <v>26.499999999999972</v>
      </c>
      <c r="BI504" s="62">
        <v>53.599999999999959</v>
      </c>
      <c r="BJ504" s="70"/>
      <c r="BK504" s="51"/>
    </row>
    <row r="505" spans="1:63" x14ac:dyDescent="0.4">
      <c r="A505" s="11" t="s">
        <v>582</v>
      </c>
      <c r="B505" s="4"/>
      <c r="C505" s="4"/>
      <c r="D505" s="4"/>
      <c r="E505" s="12"/>
      <c r="G505" s="147" t="s">
        <v>582</v>
      </c>
      <c r="H505" s="159">
        <v>70.045000000000002</v>
      </c>
      <c r="I505" s="153">
        <v>70.37</v>
      </c>
      <c r="J505" s="153">
        <v>70.33</v>
      </c>
      <c r="K505" s="153">
        <v>70.34</v>
      </c>
      <c r="L505" s="153">
        <v>70.33</v>
      </c>
      <c r="M505" s="80">
        <f t="shared" si="14"/>
        <v>70.37</v>
      </c>
      <c r="N505" s="80">
        <f t="shared" si="15"/>
        <v>70.33</v>
      </c>
      <c r="O505" s="153">
        <v>21.17</v>
      </c>
      <c r="P505" s="153">
        <v>21.11</v>
      </c>
      <c r="Q505" s="153">
        <v>21.16</v>
      </c>
      <c r="R505" s="153">
        <v>21.08</v>
      </c>
      <c r="S505" s="4"/>
      <c r="U505" s="147" t="s">
        <v>582</v>
      </c>
      <c r="V505" s="11"/>
      <c r="W505" s="4"/>
      <c r="X505" s="12"/>
      <c r="Y505" s="14"/>
      <c r="Z505" s="4"/>
      <c r="AA505" s="13"/>
      <c r="AB505" s="11"/>
      <c r="AC505" s="4"/>
      <c r="AD505" s="12"/>
      <c r="AE505" s="136"/>
      <c r="AF505" s="14">
        <v>4.9968000000000004</v>
      </c>
      <c r="AG505" s="134"/>
      <c r="AI505" s="84"/>
      <c r="AL505" s="64">
        <v>4.1712562666666662</v>
      </c>
      <c r="AM505" s="56">
        <v>15.199999999999919</v>
      </c>
      <c r="AN505" s="56">
        <v>17.25999999999992</v>
      </c>
      <c r="AO505" s="62">
        <v>23.5199999999999</v>
      </c>
      <c r="AQ505" s="64">
        <v>4.0833335166666673</v>
      </c>
      <c r="AR505" s="56">
        <v>14.98000000000008</v>
      </c>
      <c r="AS505" s="56">
        <v>16.479999999999961</v>
      </c>
      <c r="AT505" s="62">
        <v>20.699999999999989</v>
      </c>
      <c r="AV505" s="64">
        <v>3.72965985</v>
      </c>
      <c r="AW505" s="56">
        <v>14.48</v>
      </c>
      <c r="AX505" s="56">
        <v>15.97999999999997</v>
      </c>
      <c r="AY505" s="62">
        <v>20.88000000000001</v>
      </c>
      <c r="BA505" s="64">
        <v>3.1836099666666668</v>
      </c>
      <c r="BB505" s="56">
        <v>17.499999999999979</v>
      </c>
      <c r="BC505" s="56">
        <v>20.05999999999997</v>
      </c>
      <c r="BD505" s="62">
        <v>32.479999999999983</v>
      </c>
      <c r="BF505" s="64">
        <v>2.938377083333334</v>
      </c>
      <c r="BG505" s="56">
        <v>20.180000000000039</v>
      </c>
      <c r="BH505" s="56">
        <v>26.41999999999998</v>
      </c>
      <c r="BI505" s="62">
        <v>53.460000000000022</v>
      </c>
      <c r="BJ505" s="69"/>
      <c r="BK505" s="51"/>
    </row>
    <row r="506" spans="1:63" x14ac:dyDescent="0.4">
      <c r="A506" s="11" t="s">
        <v>583</v>
      </c>
      <c r="B506" s="4"/>
      <c r="C506" s="4"/>
      <c r="D506" s="4"/>
      <c r="E506" s="12"/>
      <c r="G506" s="147" t="s">
        <v>583</v>
      </c>
      <c r="H506" s="159">
        <v>69.930000000000007</v>
      </c>
      <c r="I506" s="153">
        <v>70.319999999999993</v>
      </c>
      <c r="J506" s="153">
        <v>70.34</v>
      </c>
      <c r="K506" s="153">
        <v>70.290000000000006</v>
      </c>
      <c r="L506" s="153">
        <v>70.290000000000006</v>
      </c>
      <c r="M506" s="80">
        <f t="shared" si="14"/>
        <v>70.34</v>
      </c>
      <c r="N506" s="80">
        <f t="shared" si="15"/>
        <v>70.290000000000006</v>
      </c>
      <c r="O506" s="153">
        <v>21.12</v>
      </c>
      <c r="P506" s="153">
        <v>21.08</v>
      </c>
      <c r="Q506" s="153">
        <v>21.14</v>
      </c>
      <c r="R506" s="153">
        <v>21.02</v>
      </c>
      <c r="S506" s="4"/>
      <c r="U506" s="147" t="s">
        <v>583</v>
      </c>
      <c r="V506" s="11"/>
      <c r="W506" s="4"/>
      <c r="X506" s="12"/>
      <c r="Y506" s="14"/>
      <c r="Z506" s="4"/>
      <c r="AA506" s="13"/>
      <c r="AB506" s="11"/>
      <c r="AC506" s="4"/>
      <c r="AD506" s="12"/>
      <c r="AE506" s="136"/>
      <c r="AF506" s="14">
        <v>5.0153999999999996</v>
      </c>
      <c r="AG506" s="134"/>
      <c r="AI506" s="84"/>
      <c r="AL506" s="64">
        <v>4.1712234500000003</v>
      </c>
      <c r="AM506" s="56">
        <v>14.00000000000006</v>
      </c>
      <c r="AN506" s="56">
        <v>15.920000000000019</v>
      </c>
      <c r="AO506" s="62">
        <v>21.99999999999989</v>
      </c>
      <c r="AQ506" s="64">
        <v>4.0820959999999991</v>
      </c>
      <c r="AR506" s="56">
        <v>13.49999999999998</v>
      </c>
      <c r="AS506" s="56">
        <v>14.89999999999991</v>
      </c>
      <c r="AT506" s="62">
        <v>18.939999999999909</v>
      </c>
      <c r="AV506" s="64">
        <v>3.7285786666666669</v>
      </c>
      <c r="AW506" s="56">
        <v>13.11999999999998</v>
      </c>
      <c r="AX506" s="56">
        <v>14.52</v>
      </c>
      <c r="AY506" s="62">
        <v>19.200000000000021</v>
      </c>
      <c r="BA506" s="64">
        <v>3.1820184666666669</v>
      </c>
      <c r="BB506" s="56">
        <v>16.180000000000039</v>
      </c>
      <c r="BC506" s="56">
        <v>18.679999999999989</v>
      </c>
      <c r="BD506" s="62">
        <v>30.880000000000059</v>
      </c>
      <c r="BF506" s="64">
        <v>2.9485957833333329</v>
      </c>
      <c r="BG506" s="56">
        <v>18.820000000000011</v>
      </c>
      <c r="BH506" s="56">
        <v>25.060000000000041</v>
      </c>
      <c r="BI506" s="62">
        <v>51.560000000000009</v>
      </c>
      <c r="BJ506" s="69"/>
      <c r="BK506" s="51"/>
    </row>
    <row r="507" spans="1:63" x14ac:dyDescent="0.4">
      <c r="A507" s="11" t="s">
        <v>584</v>
      </c>
      <c r="B507" s="4"/>
      <c r="C507" s="4"/>
      <c r="D507" s="4"/>
      <c r="E507" s="12"/>
      <c r="G507" s="147" t="s">
        <v>584</v>
      </c>
      <c r="H507" s="159">
        <v>69.962000000000003</v>
      </c>
      <c r="I507" s="153">
        <v>70.38</v>
      </c>
      <c r="J507" s="153">
        <v>70.39</v>
      </c>
      <c r="K507" s="153">
        <v>70.319999999999993</v>
      </c>
      <c r="L507" s="153">
        <v>70.31</v>
      </c>
      <c r="M507" s="80">
        <f t="shared" si="14"/>
        <v>70.39</v>
      </c>
      <c r="N507" s="80">
        <f t="shared" si="15"/>
        <v>70.31</v>
      </c>
      <c r="O507" s="153">
        <v>21.14</v>
      </c>
      <c r="P507" s="153">
        <v>21.08</v>
      </c>
      <c r="Q507" s="153">
        <v>21.14</v>
      </c>
      <c r="R507" s="153">
        <v>21.1</v>
      </c>
      <c r="S507" s="4"/>
      <c r="U507" s="147" t="s">
        <v>584</v>
      </c>
      <c r="V507" s="11"/>
      <c r="W507" s="4"/>
      <c r="X507" s="12"/>
      <c r="Y507" s="14"/>
      <c r="Z507" s="4"/>
      <c r="AA507" s="13"/>
      <c r="AB507" s="11"/>
      <c r="AC507" s="4"/>
      <c r="AD507" s="12"/>
      <c r="AE507" s="13"/>
      <c r="AF507" s="14">
        <v>5.0141</v>
      </c>
      <c r="AG507" s="133"/>
      <c r="AI507" s="84"/>
      <c r="AL507" s="64">
        <v>4.1715273666666661</v>
      </c>
      <c r="AM507" s="56">
        <v>14.24000000000003</v>
      </c>
      <c r="AN507" s="56">
        <v>16.14000000000004</v>
      </c>
      <c r="AO507" s="62">
        <v>22.320000000000029</v>
      </c>
      <c r="AQ507" s="64">
        <v>4.0818930166666654</v>
      </c>
      <c r="AR507" s="56">
        <v>13.840000000000069</v>
      </c>
      <c r="AS507" s="56">
        <v>15.240000000000011</v>
      </c>
      <c r="AT507" s="62">
        <v>19.280000000000008</v>
      </c>
      <c r="AV507" s="64">
        <v>3.7276521666666671</v>
      </c>
      <c r="AW507" s="56">
        <v>13.419999999999989</v>
      </c>
      <c r="AX507" s="56">
        <v>14.799999999999971</v>
      </c>
      <c r="AY507" s="62">
        <v>19.519999999999978</v>
      </c>
      <c r="BA507" s="64">
        <v>3.186214416666667</v>
      </c>
      <c r="BB507" s="56">
        <v>16.359999999999971</v>
      </c>
      <c r="BC507" s="56">
        <v>18.780000000000019</v>
      </c>
      <c r="BD507" s="62">
        <v>30.820000000000029</v>
      </c>
      <c r="BF507" s="64">
        <v>2.9496643666666671</v>
      </c>
      <c r="BG507" s="56">
        <v>18.839999999999971</v>
      </c>
      <c r="BH507" s="56">
        <v>24.800000000000018</v>
      </c>
      <c r="BI507" s="62">
        <v>50.699999999999967</v>
      </c>
      <c r="BJ507" s="69"/>
      <c r="BK507" s="51"/>
    </row>
    <row r="508" spans="1:63" x14ac:dyDescent="0.4">
      <c r="A508" s="11" t="s">
        <v>585</v>
      </c>
      <c r="B508" s="4"/>
      <c r="C508" s="4"/>
      <c r="D508" s="4"/>
      <c r="E508" s="12"/>
      <c r="G508" s="147" t="s">
        <v>585</v>
      </c>
      <c r="H508" s="159">
        <v>69.906999999999996</v>
      </c>
      <c r="I508" s="153">
        <v>70.349999999999994</v>
      </c>
      <c r="J508" s="153">
        <v>70.319999999999993</v>
      </c>
      <c r="K508" s="153">
        <v>70.27</v>
      </c>
      <c r="L508" s="153">
        <v>70.290000000000006</v>
      </c>
      <c r="M508" s="80">
        <f t="shared" si="14"/>
        <v>70.349999999999994</v>
      </c>
      <c r="N508" s="80">
        <f t="shared" si="15"/>
        <v>70.27</v>
      </c>
      <c r="O508" s="153">
        <v>21.09</v>
      </c>
      <c r="P508" s="153">
        <v>21.09</v>
      </c>
      <c r="Q508" s="153">
        <v>21.1</v>
      </c>
      <c r="R508" s="153">
        <v>21.01</v>
      </c>
      <c r="S508" s="4"/>
      <c r="U508" s="147" t="s">
        <v>585</v>
      </c>
      <c r="V508" s="11"/>
      <c r="W508" s="4"/>
      <c r="X508" s="12"/>
      <c r="Y508" s="14"/>
      <c r="Z508" s="4"/>
      <c r="AA508" s="13"/>
      <c r="AB508" s="11"/>
      <c r="AC508" s="4"/>
      <c r="AD508" s="12"/>
      <c r="AE508" s="13"/>
      <c r="AF508" s="14">
        <v>5.0118999999999998</v>
      </c>
      <c r="AG508" s="133"/>
      <c r="AI508" s="84"/>
      <c r="AL508" s="64">
        <v>4.17111695</v>
      </c>
      <c r="AM508" s="56">
        <v>14.30000000000007</v>
      </c>
      <c r="AN508" s="56">
        <v>16.220000000000031</v>
      </c>
      <c r="AO508" s="62">
        <v>22.460000000000061</v>
      </c>
      <c r="AQ508" s="64">
        <v>4.082975733333333</v>
      </c>
      <c r="AR508" s="56">
        <v>14.08000000000005</v>
      </c>
      <c r="AS508" s="56">
        <v>15.479999999999981</v>
      </c>
      <c r="AT508" s="62">
        <v>19.58000000000002</v>
      </c>
      <c r="AV508" s="64">
        <v>3.7283371833333332</v>
      </c>
      <c r="AW508" s="56">
        <v>13.88000000000007</v>
      </c>
      <c r="AX508" s="56">
        <v>15.32</v>
      </c>
      <c r="AY508" s="62">
        <v>20.14000000000005</v>
      </c>
      <c r="BA508" s="64">
        <v>3.1856301833333331</v>
      </c>
      <c r="BB508" s="56">
        <v>17.34</v>
      </c>
      <c r="BC508" s="56">
        <v>19.880000000000031</v>
      </c>
      <c r="BD508" s="62">
        <v>32.24</v>
      </c>
      <c r="BF508" s="64">
        <v>2.9516935499999999</v>
      </c>
      <c r="BG508" s="56">
        <v>19.880000000000031</v>
      </c>
      <c r="BH508" s="56">
        <v>25.960000000000068</v>
      </c>
      <c r="BI508" s="62">
        <v>52.080000000000027</v>
      </c>
      <c r="BJ508" s="69"/>
      <c r="BK508" s="51"/>
    </row>
    <row r="509" spans="1:63" ht="17.25" customHeight="1" thickBot="1" x14ac:dyDescent="0.45">
      <c r="A509" s="16" t="s">
        <v>586</v>
      </c>
      <c r="B509" s="17"/>
      <c r="C509" s="17"/>
      <c r="D509" s="17"/>
      <c r="E509" s="18"/>
      <c r="G509" s="147" t="s">
        <v>586</v>
      </c>
      <c r="H509" s="159">
        <v>69.921000000000006</v>
      </c>
      <c r="I509" s="153">
        <v>70.36</v>
      </c>
      <c r="J509" s="153">
        <v>70.36</v>
      </c>
      <c r="K509" s="153">
        <v>70.27</v>
      </c>
      <c r="L509" s="153">
        <v>70.3</v>
      </c>
      <c r="M509" s="80">
        <f t="shared" si="14"/>
        <v>70.36</v>
      </c>
      <c r="N509" s="80">
        <f t="shared" si="15"/>
        <v>70.27</v>
      </c>
      <c r="O509" s="153">
        <v>21.2</v>
      </c>
      <c r="P509" s="153">
        <v>21.12</v>
      </c>
      <c r="Q509" s="153">
        <v>21.11</v>
      </c>
      <c r="R509" s="153">
        <v>21.06</v>
      </c>
      <c r="S509" s="4"/>
      <c r="U509" s="147" t="s">
        <v>586</v>
      </c>
      <c r="V509" s="16"/>
      <c r="W509" s="17"/>
      <c r="X509" s="18"/>
      <c r="Y509" s="29"/>
      <c r="Z509" s="17"/>
      <c r="AA509" s="30"/>
      <c r="AB509" s="16"/>
      <c r="AC509" s="17"/>
      <c r="AD509" s="18"/>
      <c r="AE509" s="30"/>
      <c r="AF509" s="14">
        <v>5.0072999999999999</v>
      </c>
      <c r="AG509" s="133"/>
      <c r="AI509" s="84"/>
      <c r="AL509" s="64">
        <v>4.1714042666666673</v>
      </c>
      <c r="AM509" s="56">
        <v>14.54000000000004</v>
      </c>
      <c r="AN509" s="56">
        <v>16.460000000000012</v>
      </c>
      <c r="AO509" s="62">
        <v>22.680000000000081</v>
      </c>
      <c r="AQ509" s="64">
        <v>4.0809229833333331</v>
      </c>
      <c r="AR509" s="56">
        <v>13.9800000000001</v>
      </c>
      <c r="AS509" s="56">
        <v>15.400000000000171</v>
      </c>
      <c r="AT509" s="62">
        <v>19.480000000000079</v>
      </c>
      <c r="AV509" s="64">
        <v>3.7258936166666672</v>
      </c>
      <c r="AW509" s="56">
        <v>13.56000000000002</v>
      </c>
      <c r="AX509" s="56">
        <v>14.96000000000004</v>
      </c>
      <c r="AY509" s="62">
        <v>19.71999999999996</v>
      </c>
      <c r="BA509" s="64">
        <v>3.1820514499999999</v>
      </c>
      <c r="BB509" s="56">
        <v>16.400000000000059</v>
      </c>
      <c r="BC509" s="56">
        <v>18.900000000000009</v>
      </c>
      <c r="BD509" s="62">
        <v>31.080000000000041</v>
      </c>
      <c r="BF509" s="64">
        <v>2.9486023000000001</v>
      </c>
      <c r="BG509" s="56">
        <v>18.859999999999921</v>
      </c>
      <c r="BH509" s="56">
        <v>24.839999999999929</v>
      </c>
      <c r="BI509" s="62">
        <v>50.8</v>
      </c>
      <c r="BJ509" s="69"/>
      <c r="BK509" s="51"/>
    </row>
    <row r="510" spans="1:63" x14ac:dyDescent="0.4">
      <c r="A510" s="11" t="s">
        <v>587</v>
      </c>
      <c r="B510" s="4"/>
      <c r="C510" s="4"/>
      <c r="D510" s="4"/>
      <c r="E510" s="12"/>
      <c r="G510" s="147" t="s">
        <v>587</v>
      </c>
      <c r="H510" s="159">
        <v>70.028000000000006</v>
      </c>
      <c r="I510" s="153">
        <v>70.3</v>
      </c>
      <c r="J510" s="153">
        <v>70.36</v>
      </c>
      <c r="K510" s="153">
        <v>70.27</v>
      </c>
      <c r="L510" s="153">
        <v>70.28</v>
      </c>
      <c r="M510" s="80">
        <f t="shared" si="14"/>
        <v>70.36</v>
      </c>
      <c r="N510" s="80">
        <f t="shared" si="15"/>
        <v>70.27</v>
      </c>
      <c r="O510" s="153">
        <v>21.18</v>
      </c>
      <c r="P510" s="153">
        <v>20.96</v>
      </c>
      <c r="Q510" s="153">
        <v>21.15</v>
      </c>
      <c r="R510" s="153">
        <v>21.02</v>
      </c>
      <c r="S510" s="4"/>
      <c r="U510" s="147" t="s">
        <v>587</v>
      </c>
      <c r="V510" s="11"/>
      <c r="W510" s="4"/>
      <c r="X510" s="12"/>
      <c r="Y510" s="14"/>
      <c r="Z510" s="4"/>
      <c r="AA510" s="13"/>
      <c r="AB510" s="11"/>
      <c r="AC510" s="4"/>
      <c r="AD510" s="12"/>
      <c r="AE510" s="138"/>
      <c r="AF510" s="14">
        <v>5.0239000000000003</v>
      </c>
      <c r="AG510" s="133"/>
      <c r="AI510" s="84"/>
      <c r="AL510" s="64">
        <v>4.1712371166666662</v>
      </c>
      <c r="AM510" s="56">
        <v>14.91999999999987</v>
      </c>
      <c r="AN510" s="56">
        <v>16.899999999999871</v>
      </c>
      <c r="AO510" s="62">
        <v>23.13999999999989</v>
      </c>
      <c r="AQ510" s="64">
        <v>4.0809073333333332</v>
      </c>
      <c r="AR510" s="56">
        <v>14.440000000000101</v>
      </c>
      <c r="AS510" s="56">
        <v>15.860000000000159</v>
      </c>
      <c r="AT510" s="62">
        <v>20.040000000000099</v>
      </c>
      <c r="AV510" s="64">
        <v>3.7261896166666659</v>
      </c>
      <c r="AW510" s="56">
        <v>14.12000000000004</v>
      </c>
      <c r="AX510" s="56">
        <v>15.58000000000002</v>
      </c>
      <c r="AY510" s="62">
        <v>20.48000000000005</v>
      </c>
      <c r="BA510" s="64">
        <v>3.1825923999999999</v>
      </c>
      <c r="BB510" s="56">
        <v>17.23999999999997</v>
      </c>
      <c r="BC510" s="56">
        <v>19.80000000000004</v>
      </c>
      <c r="BD510" s="62">
        <v>32.179999999999957</v>
      </c>
      <c r="BF510" s="64">
        <v>2.9486608833333339</v>
      </c>
      <c r="BG510" s="56">
        <v>19.760000000000041</v>
      </c>
      <c r="BH510" s="56">
        <v>25.900000000000031</v>
      </c>
      <c r="BI510" s="62">
        <v>52.040000000000042</v>
      </c>
      <c r="BJ510" s="70"/>
      <c r="BK510" s="51"/>
    </row>
    <row r="511" spans="1:63" x14ac:dyDescent="0.4">
      <c r="A511" s="11" t="s">
        <v>588</v>
      </c>
      <c r="B511" s="4"/>
      <c r="C511" s="4"/>
      <c r="D511" s="4"/>
      <c r="E511" s="12"/>
      <c r="G511" s="147" t="s">
        <v>588</v>
      </c>
      <c r="H511" s="159">
        <v>70.055000000000007</v>
      </c>
      <c r="I511" s="153">
        <v>70.37</v>
      </c>
      <c r="J511" s="153">
        <v>70.290000000000006</v>
      </c>
      <c r="K511" s="153">
        <v>70.349999999999994</v>
      </c>
      <c r="L511" s="153">
        <v>70.3</v>
      </c>
      <c r="M511" s="80">
        <f t="shared" si="14"/>
        <v>70.37</v>
      </c>
      <c r="N511" s="80">
        <f t="shared" si="15"/>
        <v>70.290000000000006</v>
      </c>
      <c r="O511" s="153">
        <v>21.09</v>
      </c>
      <c r="P511" s="153">
        <v>21.03</v>
      </c>
      <c r="Q511" s="153">
        <v>21.08</v>
      </c>
      <c r="R511" s="153">
        <v>21.06</v>
      </c>
      <c r="S511" s="4"/>
      <c r="U511" s="147" t="s">
        <v>588</v>
      </c>
      <c r="V511" s="11"/>
      <c r="W511" s="4"/>
      <c r="X511" s="12"/>
      <c r="Y511" s="14"/>
      <c r="Z511" s="4"/>
      <c r="AA511" s="13"/>
      <c r="AB511" s="11"/>
      <c r="AC511" s="4"/>
      <c r="AD511" s="12"/>
      <c r="AE511" s="136"/>
      <c r="AF511" s="14">
        <v>5.0202999999999998</v>
      </c>
      <c r="AG511" s="134"/>
      <c r="AI511" s="84"/>
      <c r="AL511" s="64">
        <v>4.1718338500000014</v>
      </c>
      <c r="AM511" s="56">
        <v>14.87999999999996</v>
      </c>
      <c r="AN511" s="56">
        <v>16.840000000000011</v>
      </c>
      <c r="AO511" s="62">
        <v>22.94</v>
      </c>
      <c r="AQ511" s="64">
        <v>4.0816785499999986</v>
      </c>
      <c r="AR511" s="56">
        <v>14.37999999999988</v>
      </c>
      <c r="AS511" s="56">
        <v>15.819999999999901</v>
      </c>
      <c r="AT511" s="62">
        <v>19.95999999999993</v>
      </c>
      <c r="AV511" s="64">
        <v>3.7281560833333329</v>
      </c>
      <c r="AW511" s="56">
        <v>13.82000000000003</v>
      </c>
      <c r="AX511" s="56">
        <v>15.240000000000011</v>
      </c>
      <c r="AY511" s="62">
        <v>20.02000000000006</v>
      </c>
      <c r="BA511" s="64">
        <v>3.1870120499999999</v>
      </c>
      <c r="BB511" s="56">
        <v>16.800000000000011</v>
      </c>
      <c r="BC511" s="56">
        <v>19.32</v>
      </c>
      <c r="BD511" s="62">
        <v>31.36000000000001</v>
      </c>
      <c r="BF511" s="64">
        <v>2.9382564000000002</v>
      </c>
      <c r="BG511" s="56">
        <v>19.660000000000011</v>
      </c>
      <c r="BH511" s="56">
        <v>25.95999999999998</v>
      </c>
      <c r="BI511" s="62">
        <v>53.100000000000058</v>
      </c>
      <c r="BJ511" s="69"/>
      <c r="BK511" s="51"/>
    </row>
    <row r="512" spans="1:63" x14ac:dyDescent="0.4">
      <c r="A512" s="11" t="s">
        <v>589</v>
      </c>
      <c r="B512" s="4"/>
      <c r="C512" s="4"/>
      <c r="D512" s="4"/>
      <c r="E512" s="12"/>
      <c r="G512" s="147" t="s">
        <v>589</v>
      </c>
      <c r="H512" s="159">
        <v>70.081999999999994</v>
      </c>
      <c r="I512" s="153">
        <v>70.28</v>
      </c>
      <c r="J512" s="153">
        <v>70.3</v>
      </c>
      <c r="K512" s="153">
        <v>70.36</v>
      </c>
      <c r="L512" s="153">
        <v>70.38</v>
      </c>
      <c r="M512" s="80">
        <f t="shared" si="14"/>
        <v>70.38</v>
      </c>
      <c r="N512" s="80">
        <f t="shared" si="15"/>
        <v>70.28</v>
      </c>
      <c r="O512" s="153">
        <v>21.11</v>
      </c>
      <c r="P512" s="153">
        <v>21.06</v>
      </c>
      <c r="Q512" s="153">
        <v>21.14</v>
      </c>
      <c r="R512" s="153">
        <v>20.97</v>
      </c>
      <c r="S512" s="4"/>
      <c r="U512" s="147" t="s">
        <v>589</v>
      </c>
      <c r="V512" s="11"/>
      <c r="W512" s="4"/>
      <c r="X512" s="12"/>
      <c r="Y512" s="14"/>
      <c r="Z512" s="4"/>
      <c r="AA512" s="13"/>
      <c r="AB512" s="11"/>
      <c r="AC512" s="4"/>
      <c r="AD512" s="12"/>
      <c r="AE512" s="136"/>
      <c r="AF512" s="14">
        <v>5.0034000000000001</v>
      </c>
      <c r="AG512" s="134"/>
      <c r="AI512" s="84"/>
      <c r="AL512" s="64">
        <v>4.1713684999999989</v>
      </c>
      <c r="AM512" s="56">
        <v>14.31999999999984</v>
      </c>
      <c r="AN512" s="56">
        <v>16.239999999999991</v>
      </c>
      <c r="AO512" s="62">
        <v>22.359999999999939</v>
      </c>
      <c r="AQ512" s="64">
        <v>4.0822560166666673</v>
      </c>
      <c r="AR512" s="56">
        <v>13.879999999999979</v>
      </c>
      <c r="AS512" s="56">
        <v>15.30000000000005</v>
      </c>
      <c r="AT512" s="62">
        <v>19.36</v>
      </c>
      <c r="AV512" s="64">
        <v>3.7290986166666662</v>
      </c>
      <c r="AW512" s="56">
        <v>13.419999999999989</v>
      </c>
      <c r="AX512" s="56">
        <v>14.800000000000059</v>
      </c>
      <c r="AY512" s="62">
        <v>19.519999999999978</v>
      </c>
      <c r="BA512" s="64">
        <v>3.1881441833333342</v>
      </c>
      <c r="BB512" s="56">
        <v>16.440000000000051</v>
      </c>
      <c r="BC512" s="56">
        <v>18.920000000000051</v>
      </c>
      <c r="BD512" s="62">
        <v>30.920000000000059</v>
      </c>
      <c r="BF512" s="64">
        <v>2.9455606666666672</v>
      </c>
      <c r="BG512" s="56">
        <v>19.18000000000006</v>
      </c>
      <c r="BH512" s="56">
        <v>25.360000000000049</v>
      </c>
      <c r="BI512" s="62">
        <v>51.860000000000007</v>
      </c>
      <c r="BJ512" s="69"/>
      <c r="BK512" s="51"/>
    </row>
    <row r="513" spans="1:63" x14ac:dyDescent="0.4">
      <c r="A513" s="11" t="s">
        <v>590</v>
      </c>
      <c r="B513" s="4"/>
      <c r="C513" s="4"/>
      <c r="D513" s="4"/>
      <c r="E513" s="12"/>
      <c r="G513" s="147" t="s">
        <v>590</v>
      </c>
      <c r="H513" s="159">
        <v>69.992999999999995</v>
      </c>
      <c r="I513" s="153">
        <v>70.38</v>
      </c>
      <c r="J513" s="153">
        <v>70.319999999999993</v>
      </c>
      <c r="K513" s="153">
        <v>70.36</v>
      </c>
      <c r="L513" s="153">
        <v>70.3</v>
      </c>
      <c r="M513" s="80">
        <f t="shared" si="14"/>
        <v>70.38</v>
      </c>
      <c r="N513" s="80">
        <f t="shared" si="15"/>
        <v>70.3</v>
      </c>
      <c r="O513" s="153">
        <v>21.15</v>
      </c>
      <c r="P513" s="153">
        <v>20.98</v>
      </c>
      <c r="Q513" s="153">
        <v>21.12</v>
      </c>
      <c r="R513" s="153">
        <v>21.07</v>
      </c>
      <c r="S513" s="4"/>
      <c r="U513" s="147" t="s">
        <v>590</v>
      </c>
      <c r="V513" s="11"/>
      <c r="W513" s="4"/>
      <c r="X513" s="12"/>
      <c r="Y513" s="14"/>
      <c r="Z513" s="4"/>
      <c r="AA513" s="13"/>
      <c r="AB513" s="11"/>
      <c r="AC513" s="4"/>
      <c r="AD513" s="12"/>
      <c r="AE513" s="13"/>
      <c r="AF513" s="14">
        <v>5.0011999999999999</v>
      </c>
      <c r="AG513" s="133"/>
      <c r="AI513" s="84"/>
      <c r="AL513" s="64">
        <v>4.1712375500000007</v>
      </c>
      <c r="AM513" s="56">
        <v>14.979999999999899</v>
      </c>
      <c r="AN513" s="56">
        <v>16.939999999999959</v>
      </c>
      <c r="AO513" s="62">
        <v>23.13999999999989</v>
      </c>
      <c r="AQ513" s="64">
        <v>4.081640666666666</v>
      </c>
      <c r="AR513" s="56">
        <v>14.31999999999984</v>
      </c>
      <c r="AS513" s="56">
        <v>15.759999999999859</v>
      </c>
      <c r="AT513" s="62">
        <v>19.95999999999993</v>
      </c>
      <c r="AV513" s="64">
        <v>3.7281012499999999</v>
      </c>
      <c r="AW513" s="56">
        <v>13.940000000000021</v>
      </c>
      <c r="AX513" s="56">
        <v>15.42000000000003</v>
      </c>
      <c r="AY513" s="62">
        <v>20.26000000000003</v>
      </c>
      <c r="BA513" s="64">
        <v>3.1831304166666672</v>
      </c>
      <c r="BB513" s="56">
        <v>16.94000000000004</v>
      </c>
      <c r="BC513" s="56">
        <v>19.500000000000028</v>
      </c>
      <c r="BD513" s="62">
        <v>31.760000000000051</v>
      </c>
      <c r="BF513" s="64">
        <v>2.9426375166666672</v>
      </c>
      <c r="BG513" s="56">
        <v>19.559999999999981</v>
      </c>
      <c r="BH513" s="56">
        <v>25.61999999999998</v>
      </c>
      <c r="BI513" s="62">
        <v>52.179999999999993</v>
      </c>
      <c r="BJ513" s="69"/>
      <c r="BK513" s="51"/>
    </row>
    <row r="514" spans="1:63" x14ac:dyDescent="0.4">
      <c r="A514" s="11" t="s">
        <v>591</v>
      </c>
      <c r="B514" s="4"/>
      <c r="C514" s="4"/>
      <c r="D514" s="4"/>
      <c r="E514" s="12"/>
      <c r="G514" s="147" t="s">
        <v>591</v>
      </c>
      <c r="H514" s="159">
        <v>69.933999999999997</v>
      </c>
      <c r="I514" s="153">
        <v>70.31</v>
      </c>
      <c r="J514" s="153">
        <v>70.39</v>
      </c>
      <c r="K514" s="153">
        <v>70.27</v>
      </c>
      <c r="L514" s="153">
        <v>70.28</v>
      </c>
      <c r="M514" s="80">
        <f t="shared" si="14"/>
        <v>70.39</v>
      </c>
      <c r="N514" s="80">
        <f t="shared" si="15"/>
        <v>70.27</v>
      </c>
      <c r="O514" s="153">
        <v>21.17</v>
      </c>
      <c r="P514" s="153">
        <v>21.11</v>
      </c>
      <c r="Q514" s="153">
        <v>21.12</v>
      </c>
      <c r="R514" s="153">
        <v>21.05</v>
      </c>
      <c r="S514" s="4"/>
      <c r="U514" s="147" t="s">
        <v>591</v>
      </c>
      <c r="V514" s="11"/>
      <c r="W514" s="4"/>
      <c r="X514" s="12"/>
      <c r="Y514" s="14"/>
      <c r="Z514" s="4"/>
      <c r="AA514" s="13"/>
      <c r="AB514" s="11"/>
      <c r="AC514" s="4"/>
      <c r="AD514" s="12"/>
      <c r="AE514" s="136"/>
      <c r="AF514" s="14">
        <v>5.0004</v>
      </c>
      <c r="AG514" s="133"/>
      <c r="AI514" s="84"/>
      <c r="AL514" s="64">
        <v>4.1714701500000002</v>
      </c>
      <c r="AM514" s="56">
        <v>14.56</v>
      </c>
      <c r="AN514" s="56">
        <v>16.500000000000089</v>
      </c>
      <c r="AO514" s="62">
        <v>22.540000000000049</v>
      </c>
      <c r="AQ514" s="64">
        <v>4.0817985500000011</v>
      </c>
      <c r="AR514" s="56">
        <v>14.08000000000005</v>
      </c>
      <c r="AS514" s="56">
        <v>15.520000000000071</v>
      </c>
      <c r="AT514" s="62">
        <v>19.6600000000001</v>
      </c>
      <c r="AV514" s="64">
        <v>3.7282279333333341</v>
      </c>
      <c r="AW514" s="56">
        <v>13.57999999999997</v>
      </c>
      <c r="AX514" s="56">
        <v>15.019999999999991</v>
      </c>
      <c r="AY514" s="62">
        <v>19.78</v>
      </c>
      <c r="BA514" s="64">
        <v>3.18182645</v>
      </c>
      <c r="BB514" s="56">
        <v>16.48000000000005</v>
      </c>
      <c r="BC514" s="56">
        <v>19.000000000000039</v>
      </c>
      <c r="BD514" s="62">
        <v>31.24000000000002</v>
      </c>
      <c r="BF514" s="64">
        <v>2.9407817833333332</v>
      </c>
      <c r="BG514" s="56">
        <v>19.019999999999989</v>
      </c>
      <c r="BH514" s="56">
        <v>24.91999999999992</v>
      </c>
      <c r="BI514" s="62">
        <v>51.339999999999982</v>
      </c>
      <c r="BJ514" s="70"/>
      <c r="BK514" s="51"/>
    </row>
    <row r="515" spans="1:63" x14ac:dyDescent="0.4">
      <c r="A515" s="11" t="s">
        <v>592</v>
      </c>
      <c r="B515" s="4"/>
      <c r="C515" s="4"/>
      <c r="D515" s="4"/>
      <c r="E515" s="12"/>
      <c r="G515" s="147" t="s">
        <v>592</v>
      </c>
      <c r="H515" s="159">
        <v>70.081999999999994</v>
      </c>
      <c r="I515" s="153">
        <v>70.3</v>
      </c>
      <c r="J515" s="153">
        <v>70.27</v>
      </c>
      <c r="K515" s="153">
        <v>70.290000000000006</v>
      </c>
      <c r="L515" s="153">
        <v>70.349999999999994</v>
      </c>
      <c r="M515" s="80">
        <f t="shared" si="14"/>
        <v>70.349999999999994</v>
      </c>
      <c r="N515" s="80">
        <f t="shared" si="15"/>
        <v>70.27</v>
      </c>
      <c r="O515" s="153">
        <v>21.14</v>
      </c>
      <c r="P515" s="153">
        <v>21.14</v>
      </c>
      <c r="Q515" s="153">
        <v>21.12</v>
      </c>
      <c r="R515" s="153">
        <v>21.09</v>
      </c>
      <c r="S515" s="4"/>
      <c r="U515" s="147" t="s">
        <v>592</v>
      </c>
      <c r="V515" s="11"/>
      <c r="W515" s="4"/>
      <c r="X515" s="12"/>
      <c r="Y515" s="14"/>
      <c r="Z515" s="4"/>
      <c r="AA515" s="13"/>
      <c r="AB515" s="11"/>
      <c r="AC515" s="4"/>
      <c r="AD515" s="12"/>
      <c r="AE515" s="13"/>
      <c r="AF515" s="14">
        <v>4.9989999999999997</v>
      </c>
      <c r="AG515" s="133"/>
      <c r="AI515" s="84"/>
      <c r="AL515" s="64">
        <v>4.1712222333333342</v>
      </c>
      <c r="AM515" s="56">
        <v>15.32</v>
      </c>
      <c r="AN515" s="56">
        <v>17.339999999999911</v>
      </c>
      <c r="AO515" s="62">
        <v>23.49999999999994</v>
      </c>
      <c r="AQ515" s="64">
        <v>4.0810440166666666</v>
      </c>
      <c r="AR515" s="56">
        <v>14.74000000000011</v>
      </c>
      <c r="AS515" s="56">
        <v>16.220000000000031</v>
      </c>
      <c r="AT515" s="62">
        <v>20.440000000000062</v>
      </c>
      <c r="AV515" s="64">
        <v>3.7273593666666671</v>
      </c>
      <c r="AW515" s="56">
        <v>14.21999999999999</v>
      </c>
      <c r="AX515" s="56">
        <v>15.72000000000005</v>
      </c>
      <c r="AY515" s="62">
        <v>20.58</v>
      </c>
      <c r="BA515" s="64">
        <v>3.1803915666666671</v>
      </c>
      <c r="BB515" s="56">
        <v>17.219999999999921</v>
      </c>
      <c r="BC515" s="56">
        <v>19.78</v>
      </c>
      <c r="BD515" s="62">
        <v>32.200000000000003</v>
      </c>
      <c r="BF515" s="64">
        <v>2.9414100333333342</v>
      </c>
      <c r="BG515" s="56">
        <v>19.78</v>
      </c>
      <c r="BH515" s="56">
        <v>25.84</v>
      </c>
      <c r="BI515" s="62">
        <v>52.340000000000053</v>
      </c>
      <c r="BJ515" s="69"/>
      <c r="BK515" s="51"/>
    </row>
    <row r="516" spans="1:63" x14ac:dyDescent="0.4">
      <c r="A516" s="11" t="s">
        <v>593</v>
      </c>
      <c r="B516" s="4"/>
      <c r="C516" s="4"/>
      <c r="D516" s="4"/>
      <c r="E516" s="12"/>
      <c r="G516" s="147" t="s">
        <v>593</v>
      </c>
      <c r="H516" s="159">
        <v>70.111999999999995</v>
      </c>
      <c r="I516" s="153">
        <v>70.319999999999993</v>
      </c>
      <c r="J516" s="153">
        <v>70.39</v>
      </c>
      <c r="K516" s="153">
        <v>70.38</v>
      </c>
      <c r="L516" s="153">
        <v>70.31</v>
      </c>
      <c r="M516" s="80">
        <f t="shared" si="14"/>
        <v>70.39</v>
      </c>
      <c r="N516" s="80">
        <f t="shared" si="15"/>
        <v>70.31</v>
      </c>
      <c r="O516" s="153">
        <v>21.17</v>
      </c>
      <c r="P516" s="153">
        <v>21.14</v>
      </c>
      <c r="Q516" s="153">
        <v>21.13</v>
      </c>
      <c r="R516" s="153">
        <v>20.99</v>
      </c>
      <c r="S516" s="4"/>
      <c r="U516" s="147" t="s">
        <v>593</v>
      </c>
      <c r="V516" s="11"/>
      <c r="W516" s="4"/>
      <c r="X516" s="12"/>
      <c r="Y516" s="14"/>
      <c r="Z516" s="4"/>
      <c r="AA516" s="13"/>
      <c r="AB516" s="11"/>
      <c r="AC516" s="4"/>
      <c r="AD516" s="12"/>
      <c r="AE516" s="13"/>
      <c r="AF516" s="14">
        <v>5.0435999999999996</v>
      </c>
      <c r="AG516" s="133"/>
      <c r="AI516" s="84"/>
      <c r="AL516" s="64">
        <v>4.1713767166666669</v>
      </c>
      <c r="AM516" s="56">
        <v>14.08000000000005</v>
      </c>
      <c r="AN516" s="56">
        <v>16.000000000000011</v>
      </c>
      <c r="AO516" s="62">
        <v>22.080000000000059</v>
      </c>
      <c r="AQ516" s="64">
        <v>4.0830014499999994</v>
      </c>
      <c r="AR516" s="56">
        <v>13.57999999999997</v>
      </c>
      <c r="AS516" s="56">
        <v>14.979999999999899</v>
      </c>
      <c r="AT516" s="62">
        <v>19.040000000000031</v>
      </c>
      <c r="AV516" s="64">
        <v>3.7292609333333329</v>
      </c>
      <c r="AW516" s="56">
        <v>13.18000000000001</v>
      </c>
      <c r="AX516" s="56">
        <v>14.580000000000039</v>
      </c>
      <c r="AY516" s="62">
        <v>19.280000000000008</v>
      </c>
      <c r="BA516" s="64">
        <v>3.1826352333333339</v>
      </c>
      <c r="BB516" s="56">
        <v>16.339999999999929</v>
      </c>
      <c r="BC516" s="56">
        <v>18.859999999999921</v>
      </c>
      <c r="BD516" s="62">
        <v>31.15999999999994</v>
      </c>
      <c r="BF516" s="64">
        <v>2.9534979666666659</v>
      </c>
      <c r="BG516" s="56">
        <v>18.760000000000069</v>
      </c>
      <c r="BH516" s="56">
        <v>25</v>
      </c>
      <c r="BI516" s="62">
        <v>51.200000000000053</v>
      </c>
      <c r="BJ516" s="69"/>
      <c r="BK516" s="51"/>
    </row>
    <row r="517" spans="1:63" x14ac:dyDescent="0.4">
      <c r="A517" s="11" t="s">
        <v>594</v>
      </c>
      <c r="B517" s="4"/>
      <c r="C517" s="4"/>
      <c r="D517" s="4"/>
      <c r="E517" s="12"/>
      <c r="G517" s="147" t="s">
        <v>594</v>
      </c>
      <c r="H517" s="159">
        <v>69.91</v>
      </c>
      <c r="I517" s="153">
        <v>70.3</v>
      </c>
      <c r="J517" s="153">
        <v>70.319999999999993</v>
      </c>
      <c r="K517" s="153">
        <v>70.349999999999994</v>
      </c>
      <c r="L517" s="153">
        <v>70.3</v>
      </c>
      <c r="M517" s="80">
        <f t="shared" si="14"/>
        <v>70.349999999999994</v>
      </c>
      <c r="N517" s="80">
        <f t="shared" si="15"/>
        <v>70.3</v>
      </c>
      <c r="O517" s="153">
        <v>21.16</v>
      </c>
      <c r="P517" s="153">
        <v>21.18</v>
      </c>
      <c r="Q517" s="153">
        <v>21.14</v>
      </c>
      <c r="R517" s="153">
        <v>21.08</v>
      </c>
      <c r="S517" s="4"/>
      <c r="U517" s="147" t="s">
        <v>594</v>
      </c>
      <c r="V517" s="11"/>
      <c r="W517" s="4"/>
      <c r="X517" s="12"/>
      <c r="Y517" s="14"/>
      <c r="Z517" s="4"/>
      <c r="AA517" s="13"/>
      <c r="AB517" s="11"/>
      <c r="AC517" s="4"/>
      <c r="AD517" s="12"/>
      <c r="AE517" s="13"/>
      <c r="AF517" s="14">
        <v>5.0138999999999996</v>
      </c>
      <c r="AG517" s="133"/>
      <c r="AI517" s="84"/>
      <c r="AL517" s="64">
        <v>4.1716076000000006</v>
      </c>
      <c r="AM517" s="56">
        <v>14.1</v>
      </c>
      <c r="AN517" s="56">
        <v>16.000000000000011</v>
      </c>
      <c r="AO517" s="62">
        <v>22.220000000000081</v>
      </c>
      <c r="AQ517" s="64">
        <v>4.0818637166666667</v>
      </c>
      <c r="AR517" s="56">
        <v>13.659999999999959</v>
      </c>
      <c r="AS517" s="56">
        <v>15.019999999999991</v>
      </c>
      <c r="AT517" s="62">
        <v>19.059999999999992</v>
      </c>
      <c r="AV517" s="64">
        <v>3.7279111166666659</v>
      </c>
      <c r="AW517" s="56">
        <v>13.24000000000005</v>
      </c>
      <c r="AX517" s="56">
        <v>14.620000000000029</v>
      </c>
      <c r="AY517" s="62">
        <v>19.34000000000005</v>
      </c>
      <c r="BA517" s="64">
        <v>3.1912763666666661</v>
      </c>
      <c r="BB517" s="56">
        <v>16.080000000000009</v>
      </c>
      <c r="BC517" s="56">
        <v>18.480000000000011</v>
      </c>
      <c r="BD517" s="62">
        <v>30.18000000000001</v>
      </c>
      <c r="BF517" s="64">
        <v>2.943897216666667</v>
      </c>
      <c r="BG517" s="56">
        <v>18.53999999999996</v>
      </c>
      <c r="BH517" s="56">
        <v>24.460000000000019</v>
      </c>
      <c r="BI517" s="62">
        <v>50.479999999999947</v>
      </c>
      <c r="BJ517" s="70"/>
      <c r="BK517" s="51"/>
    </row>
    <row r="518" spans="1:63" x14ac:dyDescent="0.4">
      <c r="A518" s="11" t="s">
        <v>595</v>
      </c>
      <c r="B518" s="4"/>
      <c r="C518" s="4"/>
      <c r="D518" s="4"/>
      <c r="E518" s="12"/>
      <c r="G518" s="147" t="s">
        <v>595</v>
      </c>
      <c r="H518" s="159">
        <v>69.965999999999994</v>
      </c>
      <c r="I518" s="153">
        <v>70.349999999999994</v>
      </c>
      <c r="J518" s="153">
        <v>70.319999999999993</v>
      </c>
      <c r="K518" s="153">
        <v>70.34</v>
      </c>
      <c r="L518" s="153">
        <v>70.33</v>
      </c>
      <c r="M518" s="80">
        <f t="shared" ref="M518:M581" si="16">MAX(I518:L518)</f>
        <v>70.349999999999994</v>
      </c>
      <c r="N518" s="80">
        <f t="shared" ref="N518:N581" si="17">MIN(I518:L518)</f>
        <v>70.319999999999993</v>
      </c>
      <c r="O518" s="153">
        <v>21.2</v>
      </c>
      <c r="P518" s="153">
        <v>21.16</v>
      </c>
      <c r="Q518" s="153">
        <v>21.08</v>
      </c>
      <c r="R518" s="153">
        <v>21.07</v>
      </c>
      <c r="S518" s="4"/>
      <c r="U518" s="147" t="s">
        <v>595</v>
      </c>
      <c r="V518" s="11"/>
      <c r="W518" s="4"/>
      <c r="X518" s="12"/>
      <c r="Y518" s="14"/>
      <c r="Z518" s="4"/>
      <c r="AA518" s="13"/>
      <c r="AB518" s="11"/>
      <c r="AC518" s="4"/>
      <c r="AD518" s="12"/>
      <c r="AE518" s="13"/>
      <c r="AF518" s="14">
        <v>5.0129000000000001</v>
      </c>
      <c r="AG518" s="133"/>
      <c r="AI518" s="84"/>
      <c r="AL518" s="64">
        <v>4.1717063833333334</v>
      </c>
      <c r="AM518" s="56">
        <v>14.19999999999995</v>
      </c>
      <c r="AN518" s="56">
        <v>16.099999999999959</v>
      </c>
      <c r="AO518" s="62">
        <v>22.299999999999901</v>
      </c>
      <c r="AQ518" s="64">
        <v>4.0825194666666658</v>
      </c>
      <c r="AR518" s="56">
        <v>13.68000000000009</v>
      </c>
      <c r="AS518" s="56">
        <v>15.08000000000003</v>
      </c>
      <c r="AT518" s="62">
        <v>19.120000000000029</v>
      </c>
      <c r="AV518" s="64">
        <v>3.7270239666666658</v>
      </c>
      <c r="AW518" s="56">
        <v>13.3</v>
      </c>
      <c r="AX518" s="56">
        <v>14.700000000000021</v>
      </c>
      <c r="AY518" s="62">
        <v>19.439999999999991</v>
      </c>
      <c r="BA518" s="64">
        <v>3.182732933333333</v>
      </c>
      <c r="BB518" s="56">
        <v>16.379999999999932</v>
      </c>
      <c r="BC518" s="56">
        <v>18.87999999999996</v>
      </c>
      <c r="BD518" s="62">
        <v>31.119999999999951</v>
      </c>
      <c r="BF518" s="64">
        <v>2.9508309499999998</v>
      </c>
      <c r="BG518" s="56">
        <v>18.679999999999989</v>
      </c>
      <c r="BH518" s="56">
        <v>24.680000000000039</v>
      </c>
      <c r="BI518" s="62">
        <v>50.579999999999977</v>
      </c>
      <c r="BJ518" s="70"/>
      <c r="BK518" s="51"/>
    </row>
    <row r="519" spans="1:63" x14ac:dyDescent="0.4">
      <c r="A519" s="11" t="s">
        <v>596</v>
      </c>
      <c r="B519" s="4"/>
      <c r="C519" s="4"/>
      <c r="D519" s="4"/>
      <c r="E519" s="12"/>
      <c r="G519" s="147" t="s">
        <v>596</v>
      </c>
      <c r="H519" s="159">
        <v>69.909000000000006</v>
      </c>
      <c r="I519" s="153">
        <v>70.31</v>
      </c>
      <c r="J519" s="153">
        <v>70.39</v>
      </c>
      <c r="K519" s="153">
        <v>70.37</v>
      </c>
      <c r="L519" s="153">
        <v>70.290000000000006</v>
      </c>
      <c r="M519" s="80">
        <f t="shared" si="16"/>
        <v>70.39</v>
      </c>
      <c r="N519" s="80">
        <f t="shared" si="17"/>
        <v>70.290000000000006</v>
      </c>
      <c r="O519" s="153">
        <v>21.21</v>
      </c>
      <c r="P519" s="153">
        <v>21.11</v>
      </c>
      <c r="Q519" s="153">
        <v>21.13</v>
      </c>
      <c r="R519" s="153">
        <v>21.06</v>
      </c>
      <c r="S519" s="4"/>
      <c r="U519" s="147" t="s">
        <v>596</v>
      </c>
      <c r="V519" s="11"/>
      <c r="W519" s="4"/>
      <c r="X519" s="12"/>
      <c r="Y519" s="14"/>
      <c r="Z519" s="4"/>
      <c r="AA519" s="13"/>
      <c r="AB519" s="11"/>
      <c r="AC519" s="4"/>
      <c r="AD519" s="12"/>
      <c r="AE519" s="136"/>
      <c r="AF519" s="14">
        <v>5.0102000000000002</v>
      </c>
      <c r="AG519" s="134"/>
      <c r="AI519" s="84"/>
      <c r="AL519" s="64">
        <v>4.1735016666666667</v>
      </c>
      <c r="AM519" s="56">
        <v>13.79999999999999</v>
      </c>
      <c r="AN519" s="56">
        <v>15.7</v>
      </c>
      <c r="AO519" s="62">
        <v>21.8</v>
      </c>
      <c r="AQ519" s="64">
        <v>4.0816314500000006</v>
      </c>
      <c r="AR519" s="56">
        <v>13.659999999999959</v>
      </c>
      <c r="AS519" s="56">
        <v>15.039999999999941</v>
      </c>
      <c r="AT519" s="62">
        <v>18.99999999999995</v>
      </c>
      <c r="AV519" s="64">
        <v>3.7272700666666658</v>
      </c>
      <c r="AW519" s="56">
        <v>13.219999999999921</v>
      </c>
      <c r="AX519" s="56">
        <v>14.619999999999941</v>
      </c>
      <c r="AY519" s="62">
        <v>19.299999999999962</v>
      </c>
      <c r="BA519" s="64">
        <v>3.1848535500000001</v>
      </c>
      <c r="BB519" s="56">
        <v>15.32</v>
      </c>
      <c r="BC519" s="56">
        <v>17.679999999999922</v>
      </c>
      <c r="BD519" s="62">
        <v>29.319999999999968</v>
      </c>
      <c r="BF519" s="64">
        <v>2.9201276333333341</v>
      </c>
      <c r="BG519" s="56">
        <v>18.919999999999959</v>
      </c>
      <c r="BH519" s="56">
        <v>25.300000000000011</v>
      </c>
      <c r="BI519" s="62">
        <v>54.159999999999982</v>
      </c>
      <c r="BJ519" s="69"/>
      <c r="BK519" s="51"/>
    </row>
    <row r="520" spans="1:63" x14ac:dyDescent="0.4">
      <c r="A520" s="11" t="s">
        <v>597</v>
      </c>
      <c r="B520" s="4"/>
      <c r="C520" s="4"/>
      <c r="D520" s="4"/>
      <c r="E520" s="12"/>
      <c r="G520" s="147" t="s">
        <v>597</v>
      </c>
      <c r="H520" s="159">
        <v>69.918999999999997</v>
      </c>
      <c r="I520" s="153">
        <v>70.38</v>
      </c>
      <c r="J520" s="153">
        <v>70.33</v>
      </c>
      <c r="K520" s="153">
        <v>70.39</v>
      </c>
      <c r="L520" s="153">
        <v>70.37</v>
      </c>
      <c r="M520" s="80">
        <f t="shared" si="16"/>
        <v>70.39</v>
      </c>
      <c r="N520" s="80">
        <f t="shared" si="17"/>
        <v>70.33</v>
      </c>
      <c r="O520" s="153">
        <v>21.16</v>
      </c>
      <c r="P520" s="153">
        <v>21.13</v>
      </c>
      <c r="Q520" s="153">
        <v>21.16</v>
      </c>
      <c r="R520" s="153">
        <v>21.12</v>
      </c>
      <c r="S520" s="4"/>
      <c r="U520" s="147" t="s">
        <v>597</v>
      </c>
      <c r="V520" s="11"/>
      <c r="W520" s="4"/>
      <c r="X520" s="12"/>
      <c r="Y520" s="14"/>
      <c r="Z520" s="4"/>
      <c r="AA520" s="13"/>
      <c r="AB520" s="11"/>
      <c r="AC520" s="4"/>
      <c r="AD520" s="12"/>
      <c r="AE520" s="136"/>
      <c r="AF520" s="14">
        <v>5.0167999999999999</v>
      </c>
      <c r="AG520" s="134"/>
      <c r="AI520" s="84"/>
      <c r="AL520" s="64">
        <v>4.1732449166666674</v>
      </c>
      <c r="AM520" s="56">
        <v>13.999999999999879</v>
      </c>
      <c r="AN520" s="56">
        <v>15.91999999999984</v>
      </c>
      <c r="AO520" s="62">
        <v>21.99999999999989</v>
      </c>
      <c r="AQ520" s="64">
        <v>4.0812656166666663</v>
      </c>
      <c r="AR520" s="56">
        <v>13.640000000000009</v>
      </c>
      <c r="AS520" s="56">
        <v>15.059999999999899</v>
      </c>
      <c r="AT520" s="62">
        <v>19.0199999999999</v>
      </c>
      <c r="AV520" s="64">
        <v>3.726841816666667</v>
      </c>
      <c r="AW520" s="56">
        <v>13.11999999999998</v>
      </c>
      <c r="AX520" s="56">
        <v>14.52</v>
      </c>
      <c r="AY520" s="62">
        <v>19.139999999999979</v>
      </c>
      <c r="BA520" s="64">
        <v>3.1843289833333341</v>
      </c>
      <c r="BB520" s="56">
        <v>15.240000000000011</v>
      </c>
      <c r="BC520" s="56">
        <v>17.620000000000061</v>
      </c>
      <c r="BD520" s="62">
        <v>29.300000000000011</v>
      </c>
      <c r="BF520" s="64">
        <v>2.9236234666666672</v>
      </c>
      <c r="BG520" s="56">
        <v>18.719999999999981</v>
      </c>
      <c r="BH520" s="56">
        <v>25.10000000000003</v>
      </c>
      <c r="BI520" s="62">
        <v>53.540000000000013</v>
      </c>
      <c r="BJ520" s="69"/>
      <c r="BK520" s="51"/>
    </row>
    <row r="521" spans="1:63" x14ac:dyDescent="0.4">
      <c r="A521" s="11" t="s">
        <v>598</v>
      </c>
      <c r="B521" s="4"/>
      <c r="C521" s="4"/>
      <c r="D521" s="4"/>
      <c r="E521" s="12"/>
      <c r="G521" s="147" t="s">
        <v>598</v>
      </c>
      <c r="H521" s="159">
        <v>69.924000000000007</v>
      </c>
      <c r="I521" s="153">
        <v>70.33</v>
      </c>
      <c r="J521" s="153">
        <v>70.27</v>
      </c>
      <c r="K521" s="153">
        <v>70.3</v>
      </c>
      <c r="L521" s="153">
        <v>70.34</v>
      </c>
      <c r="M521" s="80">
        <f t="shared" si="16"/>
        <v>70.34</v>
      </c>
      <c r="N521" s="80">
        <f t="shared" si="17"/>
        <v>70.27</v>
      </c>
      <c r="O521" s="153">
        <v>21.14</v>
      </c>
      <c r="P521" s="153">
        <v>21.07</v>
      </c>
      <c r="Q521" s="153">
        <v>21.16</v>
      </c>
      <c r="R521" s="153">
        <v>21.01</v>
      </c>
      <c r="S521" s="4"/>
      <c r="U521" s="147" t="s">
        <v>598</v>
      </c>
      <c r="V521" s="11"/>
      <c r="W521" s="4"/>
      <c r="X521" s="12"/>
      <c r="Y521" s="14"/>
      <c r="Z521" s="4"/>
      <c r="AA521" s="13"/>
      <c r="AB521" s="11"/>
      <c r="AC521" s="4"/>
      <c r="AD521" s="12"/>
      <c r="AE521" s="136"/>
      <c r="AF521" s="14">
        <v>5.0115999999999996</v>
      </c>
      <c r="AG521" s="134"/>
      <c r="AI521" s="84"/>
      <c r="AL521" s="64">
        <v>4.1733433666666668</v>
      </c>
      <c r="AM521" s="56">
        <v>14.50000000000014</v>
      </c>
      <c r="AN521" s="56">
        <v>16.440000000000051</v>
      </c>
      <c r="AO521" s="62">
        <v>22.500000000000139</v>
      </c>
      <c r="AQ521" s="64">
        <v>4.0815668333333326</v>
      </c>
      <c r="AR521" s="56">
        <v>14.08000000000005</v>
      </c>
      <c r="AS521" s="56">
        <v>15.479999999999981</v>
      </c>
      <c r="AT521" s="62">
        <v>19.49999999999994</v>
      </c>
      <c r="AV521" s="64">
        <v>3.7281880833333338</v>
      </c>
      <c r="AW521" s="56">
        <v>13.879999999999979</v>
      </c>
      <c r="AX521" s="56">
        <v>15.33999999999995</v>
      </c>
      <c r="AY521" s="62">
        <v>20.080000000000009</v>
      </c>
      <c r="BA521" s="64">
        <v>3.1861062833333329</v>
      </c>
      <c r="BB521" s="56">
        <v>16.36000000000006</v>
      </c>
      <c r="BC521" s="56">
        <v>18.800000000000061</v>
      </c>
      <c r="BD521" s="62">
        <v>30.580000000000052</v>
      </c>
      <c r="BF521" s="64">
        <v>2.912193783333334</v>
      </c>
      <c r="BG521" s="56">
        <v>20.219999999999949</v>
      </c>
      <c r="BH521" s="56">
        <v>27.099999999999991</v>
      </c>
      <c r="BI521" s="62">
        <v>57.24</v>
      </c>
      <c r="BJ521" s="69"/>
      <c r="BK521" s="51"/>
    </row>
    <row r="522" spans="1:63" x14ac:dyDescent="0.4">
      <c r="A522" s="11" t="s">
        <v>599</v>
      </c>
      <c r="B522" s="4"/>
      <c r="C522" s="4"/>
      <c r="D522" s="4"/>
      <c r="E522" s="12"/>
      <c r="G522" s="147" t="s">
        <v>599</v>
      </c>
      <c r="H522" s="159">
        <v>69.98</v>
      </c>
      <c r="I522" s="153">
        <v>70.349999999999994</v>
      </c>
      <c r="J522" s="153">
        <v>70.3</v>
      </c>
      <c r="K522" s="153">
        <v>70.290000000000006</v>
      </c>
      <c r="L522" s="153">
        <v>70.38</v>
      </c>
      <c r="M522" s="80">
        <f t="shared" si="16"/>
        <v>70.38</v>
      </c>
      <c r="N522" s="80">
        <f t="shared" si="17"/>
        <v>70.290000000000006</v>
      </c>
      <c r="O522" s="153">
        <v>21.17</v>
      </c>
      <c r="P522" s="153">
        <v>21.12</v>
      </c>
      <c r="Q522" s="153">
        <v>21.16</v>
      </c>
      <c r="R522" s="153">
        <v>21.04</v>
      </c>
      <c r="S522" s="4"/>
      <c r="U522" s="147" t="s">
        <v>599</v>
      </c>
      <c r="V522" s="11"/>
      <c r="W522" s="4"/>
      <c r="X522" s="12"/>
      <c r="Y522" s="14"/>
      <c r="Z522" s="4"/>
      <c r="AA522" s="13"/>
      <c r="AB522" s="11"/>
      <c r="AC522" s="4"/>
      <c r="AD522" s="12"/>
      <c r="AE522" s="136"/>
      <c r="AF522" s="14">
        <v>5.0187999999999997</v>
      </c>
      <c r="AG522" s="133"/>
      <c r="AI522" s="84"/>
      <c r="AL522" s="64">
        <v>4.1734480833333336</v>
      </c>
      <c r="AM522" s="56">
        <v>14.400000000000009</v>
      </c>
      <c r="AN522" s="56">
        <v>16.339999999999929</v>
      </c>
      <c r="AO522" s="62">
        <v>22.40000000000002</v>
      </c>
      <c r="AQ522" s="64">
        <v>4.0818707166666668</v>
      </c>
      <c r="AR522" s="56">
        <v>13.920000000000069</v>
      </c>
      <c r="AS522" s="56">
        <v>15.33999999999995</v>
      </c>
      <c r="AT522" s="62">
        <v>19.34000000000005</v>
      </c>
      <c r="AV522" s="64">
        <v>3.7282886333333329</v>
      </c>
      <c r="AW522" s="56">
        <v>13.619999999999971</v>
      </c>
      <c r="AX522" s="56">
        <v>15.040000000000029</v>
      </c>
      <c r="AY522" s="62">
        <v>19.739999999999998</v>
      </c>
      <c r="BA522" s="64">
        <v>3.1841284166666659</v>
      </c>
      <c r="BB522" s="56">
        <v>16.180000000000039</v>
      </c>
      <c r="BC522" s="56">
        <v>18.63999999999999</v>
      </c>
      <c r="BD522" s="62">
        <v>30.480000000000022</v>
      </c>
      <c r="BF522" s="64">
        <v>2.91471495</v>
      </c>
      <c r="BG522" s="56">
        <v>20.019999999999971</v>
      </c>
      <c r="BH522" s="56">
        <v>26.739999999999942</v>
      </c>
      <c r="BI522" s="62">
        <v>56.619999999999933</v>
      </c>
      <c r="BJ522" s="70"/>
      <c r="BK522" s="51"/>
    </row>
    <row r="523" spans="1:63" x14ac:dyDescent="0.4">
      <c r="A523" s="11" t="s">
        <v>600</v>
      </c>
      <c r="B523" s="4"/>
      <c r="C523" s="4"/>
      <c r="D523" s="4"/>
      <c r="E523" s="12"/>
      <c r="G523" s="147" t="s">
        <v>600</v>
      </c>
      <c r="H523" s="159">
        <v>69.903000000000006</v>
      </c>
      <c r="I523" s="153">
        <v>70.400000000000006</v>
      </c>
      <c r="J523" s="153">
        <v>70.34</v>
      </c>
      <c r="K523" s="153">
        <v>70.290000000000006</v>
      </c>
      <c r="L523" s="153">
        <v>70.31</v>
      </c>
      <c r="M523" s="80">
        <f t="shared" si="16"/>
        <v>70.400000000000006</v>
      </c>
      <c r="N523" s="80">
        <f t="shared" si="17"/>
        <v>70.290000000000006</v>
      </c>
      <c r="O523" s="153">
        <v>21.15</v>
      </c>
      <c r="P523" s="153">
        <v>21.14</v>
      </c>
      <c r="Q523" s="153">
        <v>21.15</v>
      </c>
      <c r="R523" s="153">
        <v>21.02</v>
      </c>
      <c r="S523" s="4"/>
      <c r="U523" s="147" t="s">
        <v>600</v>
      </c>
      <c r="V523" s="11"/>
      <c r="W523" s="4"/>
      <c r="X523" s="12"/>
      <c r="Y523" s="14"/>
      <c r="Z523" s="4"/>
      <c r="AA523" s="13"/>
      <c r="AB523" s="11"/>
      <c r="AC523" s="4"/>
      <c r="AD523" s="12"/>
      <c r="AE523" s="136"/>
      <c r="AF523" s="14">
        <v>5.0015000000000001</v>
      </c>
      <c r="AG523" s="134"/>
      <c r="AI523" s="84"/>
      <c r="AL523" s="64">
        <v>4.1737212333333327</v>
      </c>
      <c r="AM523" s="56">
        <v>14.03999999999996</v>
      </c>
      <c r="AN523" s="56">
        <v>15.980000000000061</v>
      </c>
      <c r="AO523" s="62">
        <v>22.00000000000006</v>
      </c>
      <c r="AQ523" s="64">
        <v>4.0826222000000003</v>
      </c>
      <c r="AR523" s="56">
        <v>13.73999999999995</v>
      </c>
      <c r="AS523" s="56">
        <v>15.140000000000059</v>
      </c>
      <c r="AT523" s="62">
        <v>19.120000000000029</v>
      </c>
      <c r="AV523" s="64">
        <v>3.7297833833333329</v>
      </c>
      <c r="AW523" s="56">
        <v>13.36000000000004</v>
      </c>
      <c r="AX523" s="56">
        <v>14.75999999999997</v>
      </c>
      <c r="AY523" s="62">
        <v>19.439999999999991</v>
      </c>
      <c r="BA523" s="64">
        <v>3.1872842833333328</v>
      </c>
      <c r="BB523" s="56">
        <v>15.479999999999981</v>
      </c>
      <c r="BC523" s="56">
        <v>17.860000000000031</v>
      </c>
      <c r="BD523" s="62">
        <v>29.42</v>
      </c>
      <c r="BF523" s="64">
        <v>2.9109467333333332</v>
      </c>
      <c r="BG523" s="56">
        <v>19.21999999999997</v>
      </c>
      <c r="BH523" s="56">
        <v>25.919999999999991</v>
      </c>
      <c r="BI523" s="62">
        <v>56.099999999999987</v>
      </c>
      <c r="BJ523" s="69"/>
      <c r="BK523" s="51"/>
    </row>
    <row r="524" spans="1:63" x14ac:dyDescent="0.4">
      <c r="A524" s="11" t="s">
        <v>601</v>
      </c>
      <c r="B524" s="4"/>
      <c r="C524" s="4"/>
      <c r="D524" s="4"/>
      <c r="E524" s="12"/>
      <c r="G524" s="147" t="s">
        <v>601</v>
      </c>
      <c r="H524" s="159">
        <v>70.066999999999993</v>
      </c>
      <c r="I524" s="153">
        <v>70.27</v>
      </c>
      <c r="J524" s="153">
        <v>70.39</v>
      </c>
      <c r="K524" s="153">
        <v>70.290000000000006</v>
      </c>
      <c r="L524" s="153">
        <v>70.34</v>
      </c>
      <c r="M524" s="80">
        <f t="shared" si="16"/>
        <v>70.39</v>
      </c>
      <c r="N524" s="80">
        <f t="shared" si="17"/>
        <v>70.27</v>
      </c>
      <c r="O524" s="153">
        <v>21.16</v>
      </c>
      <c r="P524" s="153">
        <v>21.13</v>
      </c>
      <c r="Q524" s="153">
        <v>21.15</v>
      </c>
      <c r="R524" s="153">
        <v>21.12</v>
      </c>
      <c r="S524" s="4"/>
      <c r="U524" s="147" t="s">
        <v>601</v>
      </c>
      <c r="V524" s="11"/>
      <c r="W524" s="4"/>
      <c r="X524" s="12"/>
      <c r="Y524" s="14"/>
      <c r="Z524" s="4"/>
      <c r="AA524" s="13"/>
      <c r="AB524" s="11"/>
      <c r="AC524" s="4"/>
      <c r="AD524" s="12"/>
      <c r="AE524" s="13"/>
      <c r="AF524" s="14">
        <v>5.0251999999999999</v>
      </c>
      <c r="AG524" s="133"/>
      <c r="AI524" s="84"/>
      <c r="AL524" s="64">
        <v>4.17326335</v>
      </c>
      <c r="AM524" s="56">
        <v>15.039999999999941</v>
      </c>
      <c r="AN524" s="56">
        <v>17.05999999999985</v>
      </c>
      <c r="AO524" s="62">
        <v>23.219999999999889</v>
      </c>
      <c r="AQ524" s="64">
        <v>4.081589066666667</v>
      </c>
      <c r="AR524" s="56">
        <v>14.519999999999911</v>
      </c>
      <c r="AS524" s="56">
        <v>16.019999999999971</v>
      </c>
      <c r="AT524" s="62">
        <v>20.139999999999961</v>
      </c>
      <c r="AV524" s="64">
        <v>3.7285916833333328</v>
      </c>
      <c r="AW524" s="56">
        <v>14.119999999999949</v>
      </c>
      <c r="AX524" s="56">
        <v>15.62000000000001</v>
      </c>
      <c r="AY524" s="62">
        <v>20.460000000000012</v>
      </c>
      <c r="BA524" s="64">
        <v>3.1828961833333329</v>
      </c>
      <c r="BB524" s="56">
        <v>16.41999999999992</v>
      </c>
      <c r="BC524" s="56">
        <v>18.919999999999959</v>
      </c>
      <c r="BD524" s="62">
        <v>30.93999999999992</v>
      </c>
      <c r="BF524" s="64">
        <v>2.9132020833333341</v>
      </c>
      <c r="BG524" s="56">
        <v>20.100000000000051</v>
      </c>
      <c r="BH524" s="56">
        <v>26.64</v>
      </c>
      <c r="BI524" s="62">
        <v>56.360000000000007</v>
      </c>
      <c r="BJ524" s="70"/>
      <c r="BK524" s="51"/>
    </row>
    <row r="525" spans="1:63" x14ac:dyDescent="0.4">
      <c r="A525" s="11" t="s">
        <v>602</v>
      </c>
      <c r="B525" s="4"/>
      <c r="C525" s="4"/>
      <c r="D525" s="4"/>
      <c r="E525" s="12"/>
      <c r="G525" s="147" t="s">
        <v>602</v>
      </c>
      <c r="H525" s="159">
        <v>69.95</v>
      </c>
      <c r="I525" s="153">
        <v>70.31</v>
      </c>
      <c r="J525" s="153">
        <v>70.34</v>
      </c>
      <c r="K525" s="153">
        <v>70.349999999999994</v>
      </c>
      <c r="L525" s="153">
        <v>70.38</v>
      </c>
      <c r="M525" s="80">
        <f t="shared" si="16"/>
        <v>70.38</v>
      </c>
      <c r="N525" s="80">
        <f t="shared" si="17"/>
        <v>70.31</v>
      </c>
      <c r="O525" s="153">
        <v>21.21</v>
      </c>
      <c r="P525" s="153">
        <v>21.09</v>
      </c>
      <c r="Q525" s="153">
        <v>21.11</v>
      </c>
      <c r="R525" s="153">
        <v>21.08</v>
      </c>
      <c r="S525" s="4"/>
      <c r="U525" s="147" t="s">
        <v>602</v>
      </c>
      <c r="V525" s="11"/>
      <c r="W525" s="4"/>
      <c r="X525" s="12"/>
      <c r="Y525" s="14"/>
      <c r="Z525" s="4"/>
      <c r="AA525" s="13"/>
      <c r="AB525" s="11"/>
      <c r="AC525" s="4"/>
      <c r="AD525" s="12"/>
      <c r="AE525" s="136"/>
      <c r="AF525" s="14">
        <v>5.0041000000000002</v>
      </c>
      <c r="AG525" s="133"/>
      <c r="AI525" s="84"/>
      <c r="AL525" s="64">
        <v>4.1740346500000003</v>
      </c>
      <c r="AM525" s="56">
        <v>13.46000000000007</v>
      </c>
      <c r="AN525" s="56">
        <v>15.34000000000013</v>
      </c>
      <c r="AO525" s="62">
        <v>21.34</v>
      </c>
      <c r="AQ525" s="64">
        <v>4.0822939000000007</v>
      </c>
      <c r="AR525" s="56">
        <v>13.100000000000019</v>
      </c>
      <c r="AS525" s="56">
        <v>14.460000000000051</v>
      </c>
      <c r="AT525" s="62">
        <v>18.339999999999979</v>
      </c>
      <c r="AV525" s="64">
        <v>3.7286923666666669</v>
      </c>
      <c r="AW525" s="56">
        <v>12.72000000000002</v>
      </c>
      <c r="AX525" s="56">
        <v>14.1</v>
      </c>
      <c r="AY525" s="62">
        <v>18.700000000000031</v>
      </c>
      <c r="BA525" s="64">
        <v>3.187576383333333</v>
      </c>
      <c r="BB525" s="56">
        <v>14.96000000000004</v>
      </c>
      <c r="BC525" s="56">
        <v>17.32000000000005</v>
      </c>
      <c r="BD525" s="62">
        <v>28.840000000000021</v>
      </c>
      <c r="BF525" s="64">
        <v>2.9185742166666659</v>
      </c>
      <c r="BG525" s="56">
        <v>18.700000000000031</v>
      </c>
      <c r="BH525" s="56">
        <v>25.22000000000002</v>
      </c>
      <c r="BI525" s="62">
        <v>54.539999999999992</v>
      </c>
      <c r="BJ525" s="70"/>
      <c r="BK525" s="51"/>
    </row>
    <row r="526" spans="1:63" x14ac:dyDescent="0.4">
      <c r="A526" s="11" t="s">
        <v>603</v>
      </c>
      <c r="B526" s="4"/>
      <c r="C526" s="4"/>
      <c r="D526" s="4"/>
      <c r="E526" s="12"/>
      <c r="G526" s="147" t="s">
        <v>603</v>
      </c>
      <c r="H526" s="159">
        <v>69.948999999999998</v>
      </c>
      <c r="I526" s="153">
        <v>70.3</v>
      </c>
      <c r="J526" s="153">
        <v>70.27</v>
      </c>
      <c r="K526" s="153">
        <v>70.290000000000006</v>
      </c>
      <c r="L526" s="153">
        <v>70.39</v>
      </c>
      <c r="M526" s="80">
        <f t="shared" si="16"/>
        <v>70.39</v>
      </c>
      <c r="N526" s="80">
        <f t="shared" si="17"/>
        <v>70.27</v>
      </c>
      <c r="O526" s="153">
        <v>21.21</v>
      </c>
      <c r="P526" s="153">
        <v>21.06</v>
      </c>
      <c r="Q526" s="153">
        <v>21.13</v>
      </c>
      <c r="R526" s="153">
        <v>21.07</v>
      </c>
      <c r="S526" s="4"/>
      <c r="U526" s="147" t="s">
        <v>603</v>
      </c>
      <c r="V526" s="11"/>
      <c r="W526" s="4"/>
      <c r="X526" s="12"/>
      <c r="Y526" s="14"/>
      <c r="Z526" s="4"/>
      <c r="AA526" s="13"/>
      <c r="AB526" s="11"/>
      <c r="AC526" s="4"/>
      <c r="AD526" s="12"/>
      <c r="AE526" s="13"/>
      <c r="AF526" s="14">
        <v>5.0067000000000004</v>
      </c>
      <c r="AG526" s="133"/>
      <c r="AI526" s="84"/>
      <c r="AL526" s="64">
        <v>4.1728689833333341</v>
      </c>
      <c r="AM526" s="56">
        <v>14.91999999999987</v>
      </c>
      <c r="AN526" s="56">
        <v>16.979999999999858</v>
      </c>
      <c r="AO526" s="62">
        <v>23.24000000000002</v>
      </c>
      <c r="AQ526" s="64">
        <v>4.0820367833333329</v>
      </c>
      <c r="AR526" s="56">
        <v>14.56</v>
      </c>
      <c r="AS526" s="56">
        <v>16.039999999999921</v>
      </c>
      <c r="AT526" s="62">
        <v>20.19999999999991</v>
      </c>
      <c r="AV526" s="64">
        <v>3.728800033333334</v>
      </c>
      <c r="AW526" s="56">
        <v>14.19999999999995</v>
      </c>
      <c r="AX526" s="56">
        <v>15.7</v>
      </c>
      <c r="AY526" s="62">
        <v>20.54</v>
      </c>
      <c r="BA526" s="64">
        <v>3.1851279666666672</v>
      </c>
      <c r="BB526" s="56">
        <v>16.460000000000012</v>
      </c>
      <c r="BC526" s="56">
        <v>18.940000000000001</v>
      </c>
      <c r="BD526" s="62">
        <v>30.90000000000002</v>
      </c>
      <c r="BF526" s="64">
        <v>2.9228876499999998</v>
      </c>
      <c r="BG526" s="56">
        <v>20.24000000000008</v>
      </c>
      <c r="BH526" s="56">
        <v>26.940000000000008</v>
      </c>
      <c r="BI526" s="62">
        <v>56.080000000000041</v>
      </c>
      <c r="BJ526" s="70"/>
      <c r="BK526" s="51"/>
    </row>
    <row r="527" spans="1:63" x14ac:dyDescent="0.4">
      <c r="A527" s="11" t="s">
        <v>604</v>
      </c>
      <c r="B527" s="4"/>
      <c r="C527" s="4"/>
      <c r="D527" s="4"/>
      <c r="E527" s="12"/>
      <c r="G527" s="147" t="s">
        <v>604</v>
      </c>
      <c r="H527" s="159">
        <v>69.947999999999993</v>
      </c>
      <c r="I527" s="153">
        <v>70.38</v>
      </c>
      <c r="J527" s="153">
        <v>70.349999999999994</v>
      </c>
      <c r="K527" s="153">
        <v>70.349999999999994</v>
      </c>
      <c r="L527" s="153">
        <v>70.36</v>
      </c>
      <c r="M527" s="80">
        <f t="shared" si="16"/>
        <v>70.38</v>
      </c>
      <c r="N527" s="80">
        <f t="shared" si="17"/>
        <v>70.349999999999994</v>
      </c>
      <c r="O527" s="153">
        <v>21.08</v>
      </c>
      <c r="P527" s="153">
        <v>21.15</v>
      </c>
      <c r="Q527" s="153">
        <v>21.12</v>
      </c>
      <c r="R527" s="153">
        <v>21.08</v>
      </c>
      <c r="S527" s="4"/>
      <c r="U527" s="147" t="s">
        <v>604</v>
      </c>
      <c r="V527" s="11"/>
      <c r="W527" s="4"/>
      <c r="X527" s="12"/>
      <c r="Y527" s="14"/>
      <c r="Z527" s="4"/>
      <c r="AA527" s="13"/>
      <c r="AB527" s="11"/>
      <c r="AC527" s="4"/>
      <c r="AD527" s="12"/>
      <c r="AE527" s="13"/>
      <c r="AF527" s="14">
        <v>5.0015999999999998</v>
      </c>
      <c r="AG527" s="133"/>
      <c r="AI527" s="84"/>
      <c r="AL527" s="64">
        <v>4.1723902500000003</v>
      </c>
      <c r="AM527" s="56">
        <v>14.54000000000004</v>
      </c>
      <c r="AN527" s="56">
        <v>16.559999999999949</v>
      </c>
      <c r="AO527" s="62">
        <v>22.760000000000069</v>
      </c>
      <c r="AQ527" s="64">
        <v>4.0834764999999997</v>
      </c>
      <c r="AR527" s="56">
        <v>14.5999999999999</v>
      </c>
      <c r="AS527" s="56">
        <v>16.099999999999959</v>
      </c>
      <c r="AT527" s="62">
        <v>20.239999999999991</v>
      </c>
      <c r="AV527" s="64">
        <v>3.730167616666666</v>
      </c>
      <c r="AW527" s="56">
        <v>14.119999999999949</v>
      </c>
      <c r="AX527" s="56">
        <v>15.63999999999997</v>
      </c>
      <c r="AY527" s="62">
        <v>20.479999999999961</v>
      </c>
      <c r="BA527" s="64">
        <v>3.1866050499999989</v>
      </c>
      <c r="BB527" s="56">
        <v>16.300000000000029</v>
      </c>
      <c r="BC527" s="56">
        <v>18.75999999999998</v>
      </c>
      <c r="BD527" s="62">
        <v>30.660000000000039</v>
      </c>
      <c r="BF527" s="64">
        <v>2.9206560833333328</v>
      </c>
      <c r="BG527" s="56">
        <v>20.139999999999961</v>
      </c>
      <c r="BH527" s="56">
        <v>26.940000000000008</v>
      </c>
      <c r="BI527" s="62">
        <v>56.400000000000013</v>
      </c>
      <c r="BJ527" s="70"/>
      <c r="BK527" s="51"/>
    </row>
    <row r="528" spans="1:63" x14ac:dyDescent="0.4">
      <c r="A528" s="11" t="s">
        <v>605</v>
      </c>
      <c r="B528" s="4"/>
      <c r="C528" s="4"/>
      <c r="D528" s="4"/>
      <c r="E528" s="12"/>
      <c r="G528" s="147" t="s">
        <v>605</v>
      </c>
      <c r="H528" s="159">
        <v>69.97</v>
      </c>
      <c r="I528" s="153">
        <v>70.290000000000006</v>
      </c>
      <c r="J528" s="153">
        <v>70.39</v>
      </c>
      <c r="K528" s="153">
        <v>70.319999999999993</v>
      </c>
      <c r="L528" s="153">
        <v>70.319999999999993</v>
      </c>
      <c r="M528" s="80">
        <f t="shared" si="16"/>
        <v>70.39</v>
      </c>
      <c r="N528" s="80">
        <f t="shared" si="17"/>
        <v>70.290000000000006</v>
      </c>
      <c r="O528" s="153">
        <v>21.18</v>
      </c>
      <c r="P528" s="153">
        <v>21.15</v>
      </c>
      <c r="Q528" s="153">
        <v>21.15</v>
      </c>
      <c r="R528" s="153">
        <v>21.12</v>
      </c>
      <c r="S528" s="4"/>
      <c r="U528" s="147" t="s">
        <v>605</v>
      </c>
      <c r="V528" s="11"/>
      <c r="W528" s="4"/>
      <c r="X528" s="12"/>
      <c r="Y528" s="14"/>
      <c r="Z528" s="4"/>
      <c r="AA528" s="13"/>
      <c r="AB528" s="11"/>
      <c r="AC528" s="4"/>
      <c r="AD528" s="12"/>
      <c r="AE528" s="13"/>
      <c r="AF528" s="14">
        <v>5.0030000000000001</v>
      </c>
      <c r="AG528" s="133"/>
      <c r="AI528" s="84"/>
      <c r="AL528" s="64">
        <v>4.1726071333333339</v>
      </c>
      <c r="AM528" s="56">
        <v>14.780000000000021</v>
      </c>
      <c r="AN528" s="56">
        <v>16.760000000000019</v>
      </c>
      <c r="AO528" s="62">
        <v>22.920000000000051</v>
      </c>
      <c r="AQ528" s="64">
        <v>4.0808270666666653</v>
      </c>
      <c r="AR528" s="56">
        <v>14.43999999999992</v>
      </c>
      <c r="AS528" s="56">
        <v>15.920000000000019</v>
      </c>
      <c r="AT528" s="62">
        <v>20.07999999999992</v>
      </c>
      <c r="AV528" s="64">
        <v>3.7272089833333331</v>
      </c>
      <c r="AW528" s="56">
        <v>14.060000000000009</v>
      </c>
      <c r="AX528" s="56">
        <v>15.54000000000002</v>
      </c>
      <c r="AY528" s="62">
        <v>20.39999999999997</v>
      </c>
      <c r="BA528" s="64">
        <v>3.1828544833333341</v>
      </c>
      <c r="BB528" s="56">
        <v>16.17999999999995</v>
      </c>
      <c r="BC528" s="56">
        <v>18.679999999999989</v>
      </c>
      <c r="BD528" s="62">
        <v>30.59999999999992</v>
      </c>
      <c r="BF528" s="64">
        <v>2.9230602166666668</v>
      </c>
      <c r="BG528" s="56">
        <v>19.960000000000019</v>
      </c>
      <c r="BH528" s="56">
        <v>26.680000000000081</v>
      </c>
      <c r="BI528" s="62">
        <v>55.560000000000009</v>
      </c>
      <c r="BJ528" s="70"/>
      <c r="BK528" s="51"/>
    </row>
    <row r="529" spans="1:63" x14ac:dyDescent="0.4">
      <c r="A529" s="11" t="s">
        <v>606</v>
      </c>
      <c r="B529" s="4"/>
      <c r="C529" s="4"/>
      <c r="D529" s="4"/>
      <c r="E529" s="12"/>
      <c r="G529" s="147" t="s">
        <v>606</v>
      </c>
      <c r="H529" s="159">
        <v>69.971999999999994</v>
      </c>
      <c r="I529" s="153">
        <v>70.34</v>
      </c>
      <c r="J529" s="153">
        <v>70.28</v>
      </c>
      <c r="K529" s="153">
        <v>70.290000000000006</v>
      </c>
      <c r="L529" s="153">
        <v>70.37</v>
      </c>
      <c r="M529" s="80">
        <f t="shared" si="16"/>
        <v>70.37</v>
      </c>
      <c r="N529" s="80">
        <f t="shared" si="17"/>
        <v>70.28</v>
      </c>
      <c r="O529" s="153">
        <v>21.19</v>
      </c>
      <c r="P529" s="153">
        <v>21.07</v>
      </c>
      <c r="Q529" s="153">
        <v>21.15</v>
      </c>
      <c r="R529" s="153">
        <v>21.05</v>
      </c>
      <c r="S529" s="4"/>
      <c r="U529" s="147" t="s">
        <v>606</v>
      </c>
      <c r="V529" s="11"/>
      <c r="W529" s="4"/>
      <c r="X529" s="12"/>
      <c r="Y529" s="14"/>
      <c r="Z529" s="4"/>
      <c r="AA529" s="13"/>
      <c r="AB529" s="11"/>
      <c r="AC529" s="4"/>
      <c r="AD529" s="12"/>
      <c r="AE529" s="136"/>
      <c r="AF529" s="14">
        <v>5.0054999999999996</v>
      </c>
      <c r="AG529" s="133"/>
      <c r="AI529" s="84"/>
      <c r="AL529" s="64">
        <v>4.1724606</v>
      </c>
      <c r="AM529" s="56">
        <v>14.86000000000001</v>
      </c>
      <c r="AN529" s="56">
        <v>16.840000000000011</v>
      </c>
      <c r="AO529" s="62">
        <v>23.040000000000131</v>
      </c>
      <c r="AQ529" s="64">
        <v>4.0805986999999986</v>
      </c>
      <c r="AR529" s="56">
        <v>14.460000000000051</v>
      </c>
      <c r="AS529" s="56">
        <v>15.939999999999969</v>
      </c>
      <c r="AT529" s="62">
        <v>20.100000000000051</v>
      </c>
      <c r="AV529" s="64">
        <v>3.726840366666667</v>
      </c>
      <c r="AW529" s="56">
        <v>14.02000000000001</v>
      </c>
      <c r="AX529" s="56">
        <v>15.50000000000002</v>
      </c>
      <c r="AY529" s="62">
        <v>20.340000000000021</v>
      </c>
      <c r="BA529" s="64">
        <v>3.1821746499999999</v>
      </c>
      <c r="BB529" s="56">
        <v>16.199999999999989</v>
      </c>
      <c r="BC529" s="56">
        <v>18.679999999999989</v>
      </c>
      <c r="BD529" s="62">
        <v>30.580000000000052</v>
      </c>
      <c r="BF529" s="64">
        <v>2.9214062333333342</v>
      </c>
      <c r="BG529" s="56">
        <v>19.90000000000007</v>
      </c>
      <c r="BH529" s="56">
        <v>26.64</v>
      </c>
      <c r="BI529" s="62">
        <v>55.560000000000009</v>
      </c>
      <c r="BJ529" s="70"/>
      <c r="BK529" s="51"/>
    </row>
    <row r="530" spans="1:63" x14ac:dyDescent="0.4">
      <c r="A530" s="11" t="s">
        <v>607</v>
      </c>
      <c r="B530" s="4"/>
      <c r="C530" s="4"/>
      <c r="D530" s="4"/>
      <c r="E530" s="12"/>
      <c r="G530" s="147" t="s">
        <v>607</v>
      </c>
      <c r="H530" s="159">
        <v>69.977000000000004</v>
      </c>
      <c r="I530" s="153">
        <v>70.28</v>
      </c>
      <c r="J530" s="153">
        <v>70.349999999999994</v>
      </c>
      <c r="K530" s="153">
        <v>70.3</v>
      </c>
      <c r="L530" s="153">
        <v>70.319999999999993</v>
      </c>
      <c r="M530" s="80">
        <f t="shared" si="16"/>
        <v>70.349999999999994</v>
      </c>
      <c r="N530" s="80">
        <f t="shared" si="17"/>
        <v>70.28</v>
      </c>
      <c r="O530" s="153">
        <v>21.13</v>
      </c>
      <c r="P530" s="153">
        <v>21.07</v>
      </c>
      <c r="Q530" s="153">
        <v>21.15</v>
      </c>
      <c r="R530" s="153">
        <v>21.12</v>
      </c>
      <c r="S530" s="4"/>
      <c r="U530" s="147" t="s">
        <v>607</v>
      </c>
      <c r="V530" s="11"/>
      <c r="W530" s="4"/>
      <c r="X530" s="12"/>
      <c r="Y530" s="14"/>
      <c r="Z530" s="4"/>
      <c r="AA530" s="13"/>
      <c r="AB530" s="11"/>
      <c r="AC530" s="4"/>
      <c r="AD530" s="12"/>
      <c r="AE530" s="136"/>
      <c r="AF530" s="14">
        <v>5.0279999999999996</v>
      </c>
      <c r="AG530" s="133"/>
      <c r="AI530" s="84"/>
      <c r="AL530" s="64">
        <v>4.1731174499999986</v>
      </c>
      <c r="AM530" s="56">
        <v>13.78000000000004</v>
      </c>
      <c r="AN530" s="56">
        <v>15.680000000000049</v>
      </c>
      <c r="AO530" s="62">
        <v>21.679999999999922</v>
      </c>
      <c r="AQ530" s="64">
        <v>4.0808980666666663</v>
      </c>
      <c r="AR530" s="56">
        <v>13.219999999999921</v>
      </c>
      <c r="AS530" s="56">
        <v>14.5999999999999</v>
      </c>
      <c r="AT530" s="62">
        <v>18.53999999999996</v>
      </c>
      <c r="AV530" s="64">
        <v>3.7266932000000002</v>
      </c>
      <c r="AW530" s="56">
        <v>12.899999999999959</v>
      </c>
      <c r="AX530" s="56">
        <v>14.299999999999979</v>
      </c>
      <c r="AY530" s="62">
        <v>18.900000000000009</v>
      </c>
      <c r="BA530" s="64">
        <v>3.182593133333333</v>
      </c>
      <c r="BB530" s="56">
        <v>15.36</v>
      </c>
      <c r="BC530" s="56">
        <v>17.72</v>
      </c>
      <c r="BD530" s="62">
        <v>29.46</v>
      </c>
      <c r="BF530" s="64">
        <v>2.926656433333334</v>
      </c>
      <c r="BG530" s="56">
        <v>18.89999999999992</v>
      </c>
      <c r="BH530" s="56">
        <v>25.479999999999951</v>
      </c>
      <c r="BI530" s="62">
        <v>53.759999999999941</v>
      </c>
      <c r="BJ530" s="70"/>
      <c r="BK530" s="51"/>
    </row>
    <row r="531" spans="1:63" x14ac:dyDescent="0.4">
      <c r="A531" s="11" t="s">
        <v>608</v>
      </c>
      <c r="B531" s="4"/>
      <c r="C531" s="4"/>
      <c r="D531" s="4"/>
      <c r="E531" s="12"/>
      <c r="G531" s="147" t="s">
        <v>608</v>
      </c>
      <c r="H531" s="159">
        <v>69.941000000000003</v>
      </c>
      <c r="I531" s="153">
        <v>70.31</v>
      </c>
      <c r="J531" s="153">
        <v>70.319999999999993</v>
      </c>
      <c r="K531" s="153">
        <v>70.36</v>
      </c>
      <c r="L531" s="153">
        <v>70.31</v>
      </c>
      <c r="M531" s="80">
        <f t="shared" si="16"/>
        <v>70.36</v>
      </c>
      <c r="N531" s="80">
        <f t="shared" si="17"/>
        <v>70.31</v>
      </c>
      <c r="O531" s="153">
        <v>21.1</v>
      </c>
      <c r="P531" s="153">
        <v>21.11</v>
      </c>
      <c r="Q531" s="153">
        <v>21.14</v>
      </c>
      <c r="R531" s="153">
        <v>21.06</v>
      </c>
      <c r="S531" s="4"/>
      <c r="U531" s="147" t="s">
        <v>608</v>
      </c>
      <c r="V531" s="11"/>
      <c r="W531" s="4"/>
      <c r="X531" s="12"/>
      <c r="Y531" s="14"/>
      <c r="Z531" s="4"/>
      <c r="AA531" s="13"/>
      <c r="AB531" s="11"/>
      <c r="AC531" s="4"/>
      <c r="AD531" s="12"/>
      <c r="AE531" s="136"/>
      <c r="AF531" s="14">
        <v>5.0194999999999999</v>
      </c>
      <c r="AG531" s="133"/>
      <c r="AI531" s="84"/>
      <c r="AL531" s="64">
        <v>4.1728888</v>
      </c>
      <c r="AM531" s="56">
        <v>13.79999999999999</v>
      </c>
      <c r="AN531" s="56">
        <v>15.67999999999987</v>
      </c>
      <c r="AO531" s="62">
        <v>21.699999999999871</v>
      </c>
      <c r="AQ531" s="64">
        <v>4.0814107333333336</v>
      </c>
      <c r="AR531" s="56">
        <v>13.400000000000031</v>
      </c>
      <c r="AS531" s="56">
        <v>14.780000000000021</v>
      </c>
      <c r="AT531" s="62">
        <v>18.679999999999989</v>
      </c>
      <c r="AV531" s="64">
        <v>3.7281418166666671</v>
      </c>
      <c r="AW531" s="56">
        <v>13.14000000000002</v>
      </c>
      <c r="AX531" s="56">
        <v>14.54000000000004</v>
      </c>
      <c r="AY531" s="62">
        <v>19.140000000000072</v>
      </c>
      <c r="BA531" s="64">
        <v>3.1888385166666668</v>
      </c>
      <c r="BB531" s="56">
        <v>15.97999999999997</v>
      </c>
      <c r="BC531" s="56">
        <v>18.339999999999979</v>
      </c>
      <c r="BD531" s="62">
        <v>29.899999999999949</v>
      </c>
      <c r="BF531" s="64">
        <v>2.918694233333333</v>
      </c>
      <c r="BG531" s="56">
        <v>19.73999999999991</v>
      </c>
      <c r="BH531" s="56">
        <v>26.31999999999994</v>
      </c>
      <c r="BI531" s="62">
        <v>55.179999999999907</v>
      </c>
      <c r="BJ531" s="70"/>
      <c r="BK531" s="51"/>
    </row>
    <row r="532" spans="1:63" x14ac:dyDescent="0.4">
      <c r="A532" s="11" t="s">
        <v>609</v>
      </c>
      <c r="B532" s="4"/>
      <c r="C532" s="4"/>
      <c r="D532" s="4"/>
      <c r="E532" s="12"/>
      <c r="G532" s="147" t="s">
        <v>609</v>
      </c>
      <c r="H532" s="159">
        <v>69.959999999999994</v>
      </c>
      <c r="I532" s="153">
        <v>70.34</v>
      </c>
      <c r="J532" s="153">
        <v>70.33</v>
      </c>
      <c r="K532" s="153">
        <v>70.36</v>
      </c>
      <c r="L532" s="153">
        <v>70.39</v>
      </c>
      <c r="M532" s="80">
        <f t="shared" si="16"/>
        <v>70.39</v>
      </c>
      <c r="N532" s="80">
        <f t="shared" si="17"/>
        <v>70.33</v>
      </c>
      <c r="O532" s="153">
        <v>21.18</v>
      </c>
      <c r="P532" s="153">
        <v>21.08</v>
      </c>
      <c r="Q532" s="153">
        <v>21.1</v>
      </c>
      <c r="R532" s="153">
        <v>20.99</v>
      </c>
      <c r="S532" s="4"/>
      <c r="U532" s="147" t="s">
        <v>609</v>
      </c>
      <c r="V532" s="11"/>
      <c r="W532" s="4"/>
      <c r="X532" s="12"/>
      <c r="Y532" s="14"/>
      <c r="Z532" s="4"/>
      <c r="AA532" s="13"/>
      <c r="AB532" s="11"/>
      <c r="AC532" s="4"/>
      <c r="AD532" s="12"/>
      <c r="AE532" s="136"/>
      <c r="AF532" s="14">
        <v>5.0260999999999996</v>
      </c>
      <c r="AG532" s="133"/>
      <c r="AI532" s="84"/>
      <c r="AL532" s="64">
        <v>4.1729146999999998</v>
      </c>
      <c r="AM532" s="56">
        <v>13.68000000000009</v>
      </c>
      <c r="AN532" s="56">
        <v>15.62000000000001</v>
      </c>
      <c r="AO532" s="62">
        <v>21.660000000000149</v>
      </c>
      <c r="AQ532" s="64">
        <v>4.0823458833333337</v>
      </c>
      <c r="AR532" s="56">
        <v>13.480000000000031</v>
      </c>
      <c r="AS532" s="56">
        <v>14.89999999999991</v>
      </c>
      <c r="AT532" s="62">
        <v>18.839999999999971</v>
      </c>
      <c r="AV532" s="64">
        <v>3.7293467999999992</v>
      </c>
      <c r="AW532" s="56">
        <v>13.24000000000005</v>
      </c>
      <c r="AX532" s="56">
        <v>14.66000000000003</v>
      </c>
      <c r="AY532" s="62">
        <v>19.32</v>
      </c>
      <c r="BA532" s="64">
        <v>3.1888104333333329</v>
      </c>
      <c r="BB532" s="56">
        <v>15.7</v>
      </c>
      <c r="BC532" s="56">
        <v>18.119999999999958</v>
      </c>
      <c r="BD532" s="62">
        <v>29.8</v>
      </c>
      <c r="BF532" s="64">
        <v>2.922455633333334</v>
      </c>
      <c r="BG532" s="56">
        <v>19.25999999999997</v>
      </c>
      <c r="BH532" s="56">
        <v>25.739999999999959</v>
      </c>
      <c r="BI532" s="62">
        <v>54.439999999999962</v>
      </c>
      <c r="BJ532" s="70"/>
      <c r="BK532" s="51"/>
    </row>
    <row r="533" spans="1:63" x14ac:dyDescent="0.4">
      <c r="A533" s="11" t="s">
        <v>610</v>
      </c>
      <c r="B533" s="4"/>
      <c r="C533" s="4"/>
      <c r="D533" s="4"/>
      <c r="E533" s="12"/>
      <c r="G533" s="147" t="s">
        <v>610</v>
      </c>
      <c r="H533" s="159">
        <v>70.028999999999996</v>
      </c>
      <c r="I533" s="153">
        <v>70.37</v>
      </c>
      <c r="J533" s="153">
        <v>70.3</v>
      </c>
      <c r="K533" s="153">
        <v>70.27</v>
      </c>
      <c r="L533" s="153">
        <v>70.3</v>
      </c>
      <c r="M533" s="80">
        <f t="shared" si="16"/>
        <v>70.37</v>
      </c>
      <c r="N533" s="80">
        <f t="shared" si="17"/>
        <v>70.27</v>
      </c>
      <c r="O533" s="153">
        <v>21.17</v>
      </c>
      <c r="P533" s="153">
        <v>20.97</v>
      </c>
      <c r="Q533" s="153">
        <v>21.15</v>
      </c>
      <c r="R533" s="153">
        <v>21.12</v>
      </c>
      <c r="S533" s="4"/>
      <c r="U533" s="147" t="s">
        <v>610</v>
      </c>
      <c r="V533" s="11"/>
      <c r="W533" s="4"/>
      <c r="X533" s="12"/>
      <c r="Y533" s="14"/>
      <c r="Z533" s="4"/>
      <c r="AA533" s="13"/>
      <c r="AB533" s="11"/>
      <c r="AC533" s="4"/>
      <c r="AD533" s="12"/>
      <c r="AE533" s="136"/>
      <c r="AF533" s="14">
        <v>5.0247000000000002</v>
      </c>
      <c r="AG533" s="133"/>
      <c r="AI533" s="84"/>
      <c r="AL533" s="64">
        <v>4.1731166499999999</v>
      </c>
      <c r="AM533" s="56">
        <v>13.659999999999959</v>
      </c>
      <c r="AN533" s="56">
        <v>15.55999999999997</v>
      </c>
      <c r="AO533" s="62">
        <v>21.579999999999981</v>
      </c>
      <c r="AQ533" s="64">
        <v>4.0821040333333327</v>
      </c>
      <c r="AR533" s="56">
        <v>13.35999999999995</v>
      </c>
      <c r="AS533" s="56">
        <v>14.739999999999929</v>
      </c>
      <c r="AT533" s="62">
        <v>18.6799999999999</v>
      </c>
      <c r="AV533" s="64">
        <v>3.7292483166666659</v>
      </c>
      <c r="AW533" s="56">
        <v>13.079999999999981</v>
      </c>
      <c r="AX533" s="56">
        <v>14.48</v>
      </c>
      <c r="AY533" s="62">
        <v>19.079999999999941</v>
      </c>
      <c r="BA533" s="64">
        <v>3.1898651</v>
      </c>
      <c r="BB533" s="56">
        <v>15.62000000000001</v>
      </c>
      <c r="BC533" s="56">
        <v>18.02000000000001</v>
      </c>
      <c r="BD533" s="62">
        <v>29.579999999999981</v>
      </c>
      <c r="BF533" s="64">
        <v>2.92248405</v>
      </c>
      <c r="BG533" s="56">
        <v>19.299999999999962</v>
      </c>
      <c r="BH533" s="56">
        <v>25.8</v>
      </c>
      <c r="BI533" s="62">
        <v>54.479999999999947</v>
      </c>
      <c r="BJ533" s="70"/>
      <c r="BK533" s="51"/>
    </row>
    <row r="534" spans="1:63" x14ac:dyDescent="0.4">
      <c r="A534" s="11" t="s">
        <v>611</v>
      </c>
      <c r="B534" s="4"/>
      <c r="C534" s="4"/>
      <c r="D534" s="4"/>
      <c r="E534" s="12"/>
      <c r="G534" s="147" t="s">
        <v>611</v>
      </c>
      <c r="H534" s="159">
        <v>70.094999999999999</v>
      </c>
      <c r="I534" s="153">
        <v>70.349999999999994</v>
      </c>
      <c r="J534" s="153">
        <v>70.28</v>
      </c>
      <c r="K534" s="153">
        <v>70.33</v>
      </c>
      <c r="L534" s="153">
        <v>70.349999999999994</v>
      </c>
      <c r="M534" s="80">
        <f t="shared" si="16"/>
        <v>70.349999999999994</v>
      </c>
      <c r="N534" s="80">
        <f t="shared" si="17"/>
        <v>70.28</v>
      </c>
      <c r="O534" s="153">
        <v>21.2</v>
      </c>
      <c r="P534" s="153">
        <v>21.13</v>
      </c>
      <c r="Q534" s="153">
        <v>21.16</v>
      </c>
      <c r="R534" s="153">
        <v>21.13</v>
      </c>
      <c r="S534" s="4"/>
      <c r="U534" s="147" t="s">
        <v>611</v>
      </c>
      <c r="V534" s="11"/>
      <c r="W534" s="4"/>
      <c r="X534" s="12"/>
      <c r="Y534" s="14"/>
      <c r="Z534" s="4"/>
      <c r="AA534" s="13"/>
      <c r="AB534" s="11"/>
      <c r="AC534" s="4"/>
      <c r="AD534" s="12"/>
      <c r="AE534" s="13"/>
      <c r="AF534" s="14">
        <v>5.0262000000000002</v>
      </c>
      <c r="AG534" s="133"/>
      <c r="AI534" s="84"/>
      <c r="AL534" s="64">
        <v>4.1732956999999997</v>
      </c>
      <c r="AM534" s="56">
        <v>13.72</v>
      </c>
      <c r="AN534" s="56">
        <v>15.62000000000001</v>
      </c>
      <c r="AO534" s="62">
        <v>21.639999999999841</v>
      </c>
      <c r="AQ534" s="64">
        <v>4.0811410833333337</v>
      </c>
      <c r="AR534" s="56">
        <v>13.199999999999971</v>
      </c>
      <c r="AS534" s="56">
        <v>14.56</v>
      </c>
      <c r="AT534" s="62">
        <v>18.440000000000008</v>
      </c>
      <c r="AV534" s="64">
        <v>3.7284435</v>
      </c>
      <c r="AW534" s="56">
        <v>12.80000000000001</v>
      </c>
      <c r="AX534" s="56">
        <v>14.179999999999991</v>
      </c>
      <c r="AY534" s="62">
        <v>18.719999999999981</v>
      </c>
      <c r="BA534" s="64">
        <v>3.1887946999999999</v>
      </c>
      <c r="BB534" s="56">
        <v>14.96000000000004</v>
      </c>
      <c r="BC534" s="56">
        <v>17.260000000000009</v>
      </c>
      <c r="BD534" s="62">
        <v>28.66</v>
      </c>
      <c r="BF534" s="64">
        <v>2.9265152333333342</v>
      </c>
      <c r="BG534" s="56">
        <v>18.65999999999994</v>
      </c>
      <c r="BH534" s="56">
        <v>25.439999999999952</v>
      </c>
      <c r="BI534" s="62">
        <v>54.38</v>
      </c>
      <c r="BJ534" s="70"/>
      <c r="BK534" s="51"/>
    </row>
    <row r="535" spans="1:63" x14ac:dyDescent="0.4">
      <c r="A535" s="11" t="s">
        <v>612</v>
      </c>
      <c r="B535" s="4"/>
      <c r="C535" s="4"/>
      <c r="D535" s="4"/>
      <c r="E535" s="12"/>
      <c r="G535" s="147" t="s">
        <v>612</v>
      </c>
      <c r="H535" s="159">
        <v>70.013999999999996</v>
      </c>
      <c r="I535" s="153">
        <v>70.31</v>
      </c>
      <c r="J535" s="153">
        <v>70.37</v>
      </c>
      <c r="K535" s="153">
        <v>70.28</v>
      </c>
      <c r="L535" s="153">
        <v>70.28</v>
      </c>
      <c r="M535" s="80">
        <f t="shared" si="16"/>
        <v>70.37</v>
      </c>
      <c r="N535" s="80">
        <f t="shared" si="17"/>
        <v>70.28</v>
      </c>
      <c r="O535" s="153">
        <v>21.18</v>
      </c>
      <c r="P535" s="153">
        <v>21.1</v>
      </c>
      <c r="Q535" s="153">
        <v>21.08</v>
      </c>
      <c r="R535" s="153">
        <v>21.05</v>
      </c>
      <c r="S535" s="4"/>
      <c r="U535" s="147" t="s">
        <v>612</v>
      </c>
      <c r="V535" s="11"/>
      <c r="W535" s="4"/>
      <c r="X535" s="12"/>
      <c r="Y535" s="14"/>
      <c r="Z535" s="4"/>
      <c r="AA535" s="13"/>
      <c r="AB535" s="11"/>
      <c r="AC535" s="4"/>
      <c r="AD535" s="12"/>
      <c r="AE535" s="13"/>
      <c r="AF535" s="14">
        <v>5.0063000000000004</v>
      </c>
      <c r="AG535" s="133"/>
      <c r="AI535" s="84"/>
      <c r="AL535" s="64">
        <v>4.1734960833333332</v>
      </c>
      <c r="AM535" s="56">
        <v>13.940000000000021</v>
      </c>
      <c r="AN535" s="56">
        <v>15.84000000000003</v>
      </c>
      <c r="AO535" s="62">
        <v>21.879999999999988</v>
      </c>
      <c r="AQ535" s="64">
        <v>4.0814527833333338</v>
      </c>
      <c r="AR535" s="56">
        <v>13.34</v>
      </c>
      <c r="AS535" s="56">
        <v>14.719999999999979</v>
      </c>
      <c r="AT535" s="62">
        <v>18.62000000000004</v>
      </c>
      <c r="AV535" s="64">
        <v>3.7291765333333329</v>
      </c>
      <c r="AW535" s="56">
        <v>12.999999999999989</v>
      </c>
      <c r="AX535" s="56">
        <v>14.35999999999993</v>
      </c>
      <c r="AY535" s="62">
        <v>18.919999999999959</v>
      </c>
      <c r="BA535" s="64">
        <v>3.190511916666666</v>
      </c>
      <c r="BB535" s="56">
        <v>15.32</v>
      </c>
      <c r="BC535" s="56">
        <v>17.640000000000011</v>
      </c>
      <c r="BD535" s="62">
        <v>29.020000000000049</v>
      </c>
      <c r="BF535" s="64">
        <v>2.9238434833333331</v>
      </c>
      <c r="BG535" s="56">
        <v>19.179999999999971</v>
      </c>
      <c r="BH535" s="56">
        <v>25.95999999999998</v>
      </c>
      <c r="BI535" s="62">
        <v>55.140000000000008</v>
      </c>
      <c r="BJ535" s="70"/>
      <c r="BK535" s="51"/>
    </row>
    <row r="536" spans="1:63" x14ac:dyDescent="0.4">
      <c r="A536" s="11" t="s">
        <v>613</v>
      </c>
      <c r="B536" s="4"/>
      <c r="C536" s="4"/>
      <c r="D536" s="4"/>
      <c r="E536" s="12"/>
      <c r="G536" s="147" t="s">
        <v>613</v>
      </c>
      <c r="H536" s="159">
        <v>70.003</v>
      </c>
      <c r="I536" s="153">
        <v>70.36</v>
      </c>
      <c r="J536" s="153">
        <v>70.33</v>
      </c>
      <c r="K536" s="153">
        <v>70.36</v>
      </c>
      <c r="L536" s="153">
        <v>70.33</v>
      </c>
      <c r="M536" s="80">
        <f t="shared" si="16"/>
        <v>70.36</v>
      </c>
      <c r="N536" s="80">
        <f t="shared" si="17"/>
        <v>70.33</v>
      </c>
      <c r="O536" s="153">
        <v>21.13</v>
      </c>
      <c r="P536" s="153">
        <v>21.12</v>
      </c>
      <c r="Q536" s="153">
        <v>21.15</v>
      </c>
      <c r="R536" s="153">
        <v>21.08</v>
      </c>
      <c r="S536" s="4"/>
      <c r="U536" s="147" t="s">
        <v>613</v>
      </c>
      <c r="V536" s="11"/>
      <c r="W536" s="4"/>
      <c r="X536" s="12"/>
      <c r="Y536" s="14"/>
      <c r="Z536" s="4"/>
      <c r="AA536" s="13"/>
      <c r="AB536" s="11"/>
      <c r="AC536" s="4"/>
      <c r="AD536" s="12"/>
      <c r="AE536" s="13"/>
      <c r="AF536" s="14">
        <v>5.0084</v>
      </c>
      <c r="AG536" s="133"/>
      <c r="AI536" s="84"/>
      <c r="AL536" s="64">
        <v>4.1732011166666672</v>
      </c>
      <c r="AM536" s="56">
        <v>15.08000000000003</v>
      </c>
      <c r="AN536" s="56">
        <v>17.099999999999941</v>
      </c>
      <c r="AO536" s="62">
        <v>23.30000000000005</v>
      </c>
      <c r="AQ536" s="64">
        <v>4.0815073333333327</v>
      </c>
      <c r="AR536" s="56">
        <v>14.54000000000004</v>
      </c>
      <c r="AS536" s="56">
        <v>16.039999999999921</v>
      </c>
      <c r="AT536" s="62">
        <v>20.219999999999949</v>
      </c>
      <c r="AV536" s="64">
        <v>3.7284161999999998</v>
      </c>
      <c r="AW536" s="56">
        <v>14.119999999999949</v>
      </c>
      <c r="AX536" s="56">
        <v>15.63999999999997</v>
      </c>
      <c r="AY536" s="62">
        <v>20.500000000000011</v>
      </c>
      <c r="BA536" s="64">
        <v>3.186037433333333</v>
      </c>
      <c r="BB536" s="56">
        <v>16.220000000000031</v>
      </c>
      <c r="BC536" s="56">
        <v>18.63999999999999</v>
      </c>
      <c r="BD536" s="62">
        <v>30.440000000000019</v>
      </c>
      <c r="BF536" s="64">
        <v>2.92110235</v>
      </c>
      <c r="BG536" s="56">
        <v>19.92000000000003</v>
      </c>
      <c r="BH536" s="56">
        <v>26.619999999999951</v>
      </c>
      <c r="BI536" s="62">
        <v>55.64</v>
      </c>
      <c r="BJ536" s="70"/>
      <c r="BK536" s="51"/>
    </row>
    <row r="537" spans="1:63" x14ac:dyDescent="0.4">
      <c r="A537" s="11" t="s">
        <v>614</v>
      </c>
      <c r="B537" s="4"/>
      <c r="C537" s="4"/>
      <c r="D537" s="4"/>
      <c r="E537" s="12"/>
      <c r="G537" s="147" t="s">
        <v>614</v>
      </c>
      <c r="H537" s="159">
        <v>69.924000000000007</v>
      </c>
      <c r="I537" s="153">
        <v>70.3</v>
      </c>
      <c r="J537" s="153">
        <v>70.38</v>
      </c>
      <c r="K537" s="153">
        <v>70.37</v>
      </c>
      <c r="L537" s="153">
        <v>70.36</v>
      </c>
      <c r="M537" s="80">
        <f t="shared" si="16"/>
        <v>70.38</v>
      </c>
      <c r="N537" s="80">
        <f t="shared" si="17"/>
        <v>70.3</v>
      </c>
      <c r="O537" s="153">
        <v>21.19</v>
      </c>
      <c r="P537" s="153">
        <v>21.16</v>
      </c>
      <c r="Q537" s="153">
        <v>21.16</v>
      </c>
      <c r="R537" s="153">
        <v>21.12</v>
      </c>
      <c r="S537" s="4"/>
      <c r="U537" s="147" t="s">
        <v>614</v>
      </c>
      <c r="V537" s="11"/>
      <c r="W537" s="4"/>
      <c r="X537" s="12"/>
      <c r="Y537" s="14"/>
      <c r="Z537" s="4"/>
      <c r="AA537" s="13"/>
      <c r="AB537" s="11"/>
      <c r="AC537" s="4"/>
      <c r="AD537" s="12"/>
      <c r="AE537" s="13"/>
      <c r="AF537" s="14">
        <v>5.0031999999999996</v>
      </c>
      <c r="AG537" s="133"/>
      <c r="AI537" s="84"/>
      <c r="AL537" s="64">
        <v>4.1728381666666667</v>
      </c>
      <c r="AM537" s="56">
        <v>14.81999999999992</v>
      </c>
      <c r="AN537" s="56">
        <v>16.819999999999879</v>
      </c>
      <c r="AO537" s="62">
        <v>23.059999999999899</v>
      </c>
      <c r="AQ537" s="64">
        <v>4.0818187333333338</v>
      </c>
      <c r="AR537" s="56">
        <v>14.52000000000009</v>
      </c>
      <c r="AS537" s="56">
        <v>16.019999999999971</v>
      </c>
      <c r="AT537" s="62">
        <v>20.180000000000039</v>
      </c>
      <c r="AV537" s="64">
        <v>3.7287729999999999</v>
      </c>
      <c r="AW537" s="56">
        <v>14.14</v>
      </c>
      <c r="AX537" s="56">
        <v>15.660000000000011</v>
      </c>
      <c r="AY537" s="62">
        <v>20.54</v>
      </c>
      <c r="BA537" s="64">
        <v>3.187252733333334</v>
      </c>
      <c r="BB537" s="56">
        <v>16.16</v>
      </c>
      <c r="BC537" s="56">
        <v>18.599999999999991</v>
      </c>
      <c r="BD537" s="62">
        <v>30.440000000000019</v>
      </c>
      <c r="BF537" s="64">
        <v>2.9252935500000001</v>
      </c>
      <c r="BG537" s="56">
        <v>19.92000000000003</v>
      </c>
      <c r="BH537" s="56">
        <v>26.560000000000009</v>
      </c>
      <c r="BI537" s="62">
        <v>55.239999999999952</v>
      </c>
      <c r="BJ537" s="70"/>
      <c r="BK537" s="51"/>
    </row>
    <row r="538" spans="1:63" x14ac:dyDescent="0.4">
      <c r="A538" s="11" t="s">
        <v>615</v>
      </c>
      <c r="B538" s="4"/>
      <c r="C538" s="4"/>
      <c r="D538" s="4"/>
      <c r="E538" s="12"/>
      <c r="G538" s="147" t="s">
        <v>615</v>
      </c>
      <c r="H538" s="159">
        <v>70.001999999999995</v>
      </c>
      <c r="I538" s="153">
        <v>70.31</v>
      </c>
      <c r="J538" s="153">
        <v>70.349999999999994</v>
      </c>
      <c r="K538" s="153">
        <v>70.319999999999993</v>
      </c>
      <c r="L538" s="153">
        <v>70.28</v>
      </c>
      <c r="M538" s="80">
        <f t="shared" si="16"/>
        <v>70.349999999999994</v>
      </c>
      <c r="N538" s="80">
        <f t="shared" si="17"/>
        <v>70.28</v>
      </c>
      <c r="O538" s="153">
        <v>21.19</v>
      </c>
      <c r="P538" s="153">
        <v>21.05</v>
      </c>
      <c r="Q538" s="153">
        <v>21.16</v>
      </c>
      <c r="R538" s="153">
        <v>21.04</v>
      </c>
      <c r="S538" s="4"/>
      <c r="U538" s="147" t="s">
        <v>615</v>
      </c>
      <c r="V538" s="11"/>
      <c r="W538" s="4"/>
      <c r="X538" s="12"/>
      <c r="Y538" s="14"/>
      <c r="Z538" s="4"/>
      <c r="AA538" s="13"/>
      <c r="AB538" s="11"/>
      <c r="AC538" s="4"/>
      <c r="AD538" s="12"/>
      <c r="AE538" s="13"/>
      <c r="AF538" s="14">
        <v>5.0004</v>
      </c>
      <c r="AG538" s="133"/>
      <c r="AI538" s="84"/>
      <c r="AL538" s="64">
        <v>4.1733050833333332</v>
      </c>
      <c r="AM538" s="56">
        <v>14.63999999999999</v>
      </c>
      <c r="AN538" s="56">
        <v>16.660000000000071</v>
      </c>
      <c r="AO538" s="62">
        <v>22.799999999999979</v>
      </c>
      <c r="AQ538" s="64">
        <v>4.0826603166666668</v>
      </c>
      <c r="AR538" s="56">
        <v>14.519999999999911</v>
      </c>
      <c r="AS538" s="56">
        <v>16.039999999999921</v>
      </c>
      <c r="AT538" s="62">
        <v>20.180000000000039</v>
      </c>
      <c r="AV538" s="64">
        <v>3.7293146500000001</v>
      </c>
      <c r="AW538" s="56">
        <v>14.179999999999991</v>
      </c>
      <c r="AX538" s="56">
        <v>15.7</v>
      </c>
      <c r="AY538" s="62">
        <v>20.58</v>
      </c>
      <c r="BA538" s="64">
        <v>3.1854322833333328</v>
      </c>
      <c r="BB538" s="56">
        <v>16.38000000000002</v>
      </c>
      <c r="BC538" s="56">
        <v>18.86000000000001</v>
      </c>
      <c r="BD538" s="62">
        <v>30.820000000000029</v>
      </c>
      <c r="BF538" s="64">
        <v>2.9238372333333338</v>
      </c>
      <c r="BG538" s="56">
        <v>20.220000000000041</v>
      </c>
      <c r="BH538" s="56">
        <v>26.960000000000051</v>
      </c>
      <c r="BI538" s="62">
        <v>56.02</v>
      </c>
      <c r="BJ538" s="70"/>
      <c r="BK538" s="51"/>
    </row>
    <row r="539" spans="1:63" x14ac:dyDescent="0.4">
      <c r="A539" s="11" t="s">
        <v>616</v>
      </c>
      <c r="B539" s="4"/>
      <c r="C539" s="4"/>
      <c r="D539" s="4"/>
      <c r="E539" s="12"/>
      <c r="G539" s="147" t="s">
        <v>616</v>
      </c>
      <c r="H539" s="159">
        <v>70.069000000000003</v>
      </c>
      <c r="I539" s="153">
        <v>70.39</v>
      </c>
      <c r="J539" s="153">
        <v>70.290000000000006</v>
      </c>
      <c r="K539" s="153">
        <v>70.39</v>
      </c>
      <c r="L539" s="153">
        <v>70.33</v>
      </c>
      <c r="M539" s="80">
        <f t="shared" si="16"/>
        <v>70.39</v>
      </c>
      <c r="N539" s="80">
        <f t="shared" si="17"/>
        <v>70.290000000000006</v>
      </c>
      <c r="O539" s="153">
        <v>21.22</v>
      </c>
      <c r="P539" s="153">
        <v>21.12</v>
      </c>
      <c r="Q539" s="153">
        <v>21.13</v>
      </c>
      <c r="R539" s="153">
        <v>21.12</v>
      </c>
      <c r="S539" s="4"/>
      <c r="U539" s="147" t="s">
        <v>616</v>
      </c>
      <c r="V539" s="11"/>
      <c r="W539" s="4"/>
      <c r="X539" s="12"/>
      <c r="Y539" s="14"/>
      <c r="Z539" s="4"/>
      <c r="AA539" s="13"/>
      <c r="AB539" s="11"/>
      <c r="AC539" s="4"/>
      <c r="AD539" s="12"/>
      <c r="AE539" s="13"/>
      <c r="AF539" s="14">
        <v>5.0198</v>
      </c>
      <c r="AG539" s="133"/>
      <c r="AI539" s="84"/>
      <c r="AL539" s="64">
        <v>4.1730423499999993</v>
      </c>
      <c r="AM539" s="56">
        <v>14.52000000000009</v>
      </c>
      <c r="AN539" s="56">
        <v>16.500000000000089</v>
      </c>
      <c r="AO539" s="62">
        <v>22.719999999999981</v>
      </c>
      <c r="AQ539" s="64">
        <v>4.0810257833333354</v>
      </c>
      <c r="AR539" s="56">
        <v>14.24000000000003</v>
      </c>
      <c r="AS539" s="56">
        <v>15.7</v>
      </c>
      <c r="AT539" s="62">
        <v>19.820000000000078</v>
      </c>
      <c r="AV539" s="64">
        <v>3.727610733333333</v>
      </c>
      <c r="AW539" s="56">
        <v>13.99999999999997</v>
      </c>
      <c r="AX539" s="56">
        <v>15.50000000000002</v>
      </c>
      <c r="AY539" s="62">
        <v>20.340000000000021</v>
      </c>
      <c r="BA539" s="64">
        <v>3.1832772</v>
      </c>
      <c r="BB539" s="56">
        <v>16.019999999999971</v>
      </c>
      <c r="BC539" s="56">
        <v>18.459999999999969</v>
      </c>
      <c r="BD539" s="62">
        <v>30.279999999999951</v>
      </c>
      <c r="BF539" s="64">
        <v>2.918922016666667</v>
      </c>
      <c r="BG539" s="56">
        <v>19.840000000000039</v>
      </c>
      <c r="BH539" s="56">
        <v>26.52000000000001</v>
      </c>
      <c r="BI539" s="62">
        <v>55.700000000000038</v>
      </c>
      <c r="BJ539" s="69"/>
      <c r="BK539" s="51"/>
    </row>
    <row r="540" spans="1:63" x14ac:dyDescent="0.4">
      <c r="A540" s="11" t="s">
        <v>617</v>
      </c>
      <c r="B540" s="4"/>
      <c r="C540" s="4"/>
      <c r="D540" s="4"/>
      <c r="E540" s="12"/>
      <c r="G540" s="147" t="s">
        <v>617</v>
      </c>
      <c r="H540" s="159">
        <v>70.004000000000005</v>
      </c>
      <c r="I540" s="153">
        <v>70.290000000000006</v>
      </c>
      <c r="J540" s="153">
        <v>70.34</v>
      </c>
      <c r="K540" s="153">
        <v>70.38</v>
      </c>
      <c r="L540" s="153">
        <v>70.37</v>
      </c>
      <c r="M540" s="80">
        <f t="shared" si="16"/>
        <v>70.38</v>
      </c>
      <c r="N540" s="80">
        <f t="shared" si="17"/>
        <v>70.290000000000006</v>
      </c>
      <c r="O540" s="153">
        <v>21.15</v>
      </c>
      <c r="P540" s="153">
        <v>21.12</v>
      </c>
      <c r="Q540" s="153">
        <v>21.13</v>
      </c>
      <c r="R540" s="153">
        <v>21.11</v>
      </c>
      <c r="S540" s="4"/>
      <c r="U540" s="147" t="s">
        <v>617</v>
      </c>
      <c r="V540" s="11"/>
      <c r="W540" s="4"/>
      <c r="X540" s="12"/>
      <c r="Y540" s="14"/>
      <c r="Z540" s="4"/>
      <c r="AA540" s="13"/>
      <c r="AB540" s="11"/>
      <c r="AC540" s="4"/>
      <c r="AD540" s="12"/>
      <c r="AE540" s="13"/>
      <c r="AF540" s="14">
        <v>5.0175999999999998</v>
      </c>
      <c r="AG540" s="133"/>
      <c r="AI540" s="84"/>
      <c r="AL540" s="64">
        <v>4.1736107999999996</v>
      </c>
      <c r="AM540" s="56">
        <v>13.779999999999861</v>
      </c>
      <c r="AN540" s="56">
        <v>15.7</v>
      </c>
      <c r="AO540" s="62">
        <v>21.759999999999909</v>
      </c>
      <c r="AQ540" s="64">
        <v>4.0813078833333316</v>
      </c>
      <c r="AR540" s="56">
        <v>13.34</v>
      </c>
      <c r="AS540" s="56">
        <v>14.720000000000161</v>
      </c>
      <c r="AT540" s="62">
        <v>18.660000000000029</v>
      </c>
      <c r="AV540" s="64">
        <v>3.7276502833333329</v>
      </c>
      <c r="AW540" s="56">
        <v>12.98000000000004</v>
      </c>
      <c r="AX540" s="56">
        <v>14.400000000000009</v>
      </c>
      <c r="AY540" s="62">
        <v>19.019999999999989</v>
      </c>
      <c r="BA540" s="64">
        <v>3.188945766666667</v>
      </c>
      <c r="BB540" s="56">
        <v>15.439999999999991</v>
      </c>
      <c r="BC540" s="56">
        <v>17.78000000000004</v>
      </c>
      <c r="BD540" s="62">
        <v>29.340000000000011</v>
      </c>
      <c r="BF540" s="64">
        <v>2.9270142333333329</v>
      </c>
      <c r="BG540" s="56">
        <v>19.09999999999998</v>
      </c>
      <c r="BH540" s="56">
        <v>25.520000000000032</v>
      </c>
      <c r="BI540" s="62">
        <v>53.639999999999951</v>
      </c>
      <c r="BJ540" s="69"/>
      <c r="BK540" s="51"/>
    </row>
    <row r="541" spans="1:63" x14ac:dyDescent="0.4">
      <c r="A541" s="11" t="s">
        <v>618</v>
      </c>
      <c r="B541" s="4"/>
      <c r="C541" s="4"/>
      <c r="D541" s="4"/>
      <c r="E541" s="12"/>
      <c r="G541" s="147" t="s">
        <v>618</v>
      </c>
      <c r="H541" s="159">
        <v>70.010999999999996</v>
      </c>
      <c r="I541" s="153">
        <v>70.37</v>
      </c>
      <c r="J541" s="153">
        <v>70.36</v>
      </c>
      <c r="K541" s="153">
        <v>70.36</v>
      </c>
      <c r="L541" s="153">
        <v>70.38</v>
      </c>
      <c r="M541" s="80">
        <f t="shared" si="16"/>
        <v>70.38</v>
      </c>
      <c r="N541" s="80">
        <f t="shared" si="17"/>
        <v>70.36</v>
      </c>
      <c r="O541" s="153">
        <v>21.19</v>
      </c>
      <c r="P541" s="153">
        <v>21.09</v>
      </c>
      <c r="Q541" s="153">
        <v>21.14</v>
      </c>
      <c r="R541" s="153">
        <v>21.08</v>
      </c>
      <c r="S541" s="4"/>
      <c r="U541" s="147" t="s">
        <v>618</v>
      </c>
      <c r="V541" s="11"/>
      <c r="W541" s="4"/>
      <c r="X541" s="12"/>
      <c r="Y541" s="14"/>
      <c r="Z541" s="4"/>
      <c r="AA541" s="13"/>
      <c r="AB541" s="11"/>
      <c r="AC541" s="4"/>
      <c r="AD541" s="12"/>
      <c r="AE541" s="13"/>
      <c r="AF541" s="14">
        <v>5.0244</v>
      </c>
      <c r="AG541" s="133"/>
      <c r="AI541" s="84"/>
      <c r="AL541" s="64">
        <v>4.1729629166666671</v>
      </c>
      <c r="AM541" s="56">
        <v>13.56000000000002</v>
      </c>
      <c r="AN541" s="56">
        <v>15.479999999999981</v>
      </c>
      <c r="AO541" s="62">
        <v>21.480000000000029</v>
      </c>
      <c r="AQ541" s="64">
        <v>4.0827938833333333</v>
      </c>
      <c r="AR541" s="56">
        <v>13.319999999999871</v>
      </c>
      <c r="AS541" s="56">
        <v>14.719999999999979</v>
      </c>
      <c r="AT541" s="62">
        <v>18.63999999999999</v>
      </c>
      <c r="AV541" s="64">
        <v>3.7292197499999999</v>
      </c>
      <c r="AW541" s="56">
        <v>13.060000000000031</v>
      </c>
      <c r="AX541" s="56">
        <v>14.48</v>
      </c>
      <c r="AY541" s="62">
        <v>19.08000000000003</v>
      </c>
      <c r="BA541" s="64">
        <v>3.1891174833333329</v>
      </c>
      <c r="BB541" s="56">
        <v>15.54000000000002</v>
      </c>
      <c r="BC541" s="56">
        <v>17.91999999999998</v>
      </c>
      <c r="BD541" s="62">
        <v>29.560000000000031</v>
      </c>
      <c r="BF541" s="64">
        <v>2.9257220833333339</v>
      </c>
      <c r="BG541" s="56">
        <v>19.280000000000008</v>
      </c>
      <c r="BH541" s="56">
        <v>25.70000000000006</v>
      </c>
      <c r="BI541" s="62">
        <v>54.280000000000072</v>
      </c>
      <c r="BJ541" s="70"/>
      <c r="BK541" s="51"/>
    </row>
    <row r="542" spans="1:63" x14ac:dyDescent="0.4">
      <c r="A542" s="11" t="s">
        <v>619</v>
      </c>
      <c r="B542" s="4"/>
      <c r="C542" s="4"/>
      <c r="D542" s="4"/>
      <c r="E542" s="12"/>
      <c r="G542" s="147" t="s">
        <v>619</v>
      </c>
      <c r="H542" s="159">
        <v>70.001999999999995</v>
      </c>
      <c r="I542" s="153">
        <v>70.3</v>
      </c>
      <c r="J542" s="153">
        <v>70.33</v>
      </c>
      <c r="K542" s="153">
        <v>70.3</v>
      </c>
      <c r="L542" s="153">
        <v>70.400000000000006</v>
      </c>
      <c r="M542" s="80">
        <f t="shared" si="16"/>
        <v>70.400000000000006</v>
      </c>
      <c r="N542" s="80">
        <f t="shared" si="17"/>
        <v>70.3</v>
      </c>
      <c r="O542" s="153">
        <v>21.21</v>
      </c>
      <c r="P542" s="153">
        <v>21.04</v>
      </c>
      <c r="Q542" s="153">
        <v>21.12</v>
      </c>
      <c r="R542" s="153">
        <v>21.07</v>
      </c>
      <c r="S542" s="4"/>
      <c r="U542" s="147" t="s">
        <v>619</v>
      </c>
      <c r="V542" s="11"/>
      <c r="W542" s="4"/>
      <c r="X542" s="12"/>
      <c r="Y542" s="14"/>
      <c r="Z542" s="4"/>
      <c r="AA542" s="13"/>
      <c r="AB542" s="11"/>
      <c r="AC542" s="4"/>
      <c r="AD542" s="12"/>
      <c r="AE542" s="13"/>
      <c r="AF542" s="14">
        <v>5.0229999999999997</v>
      </c>
      <c r="AG542" s="133"/>
      <c r="AI542" s="84"/>
      <c r="AL542" s="64">
        <v>4.1727500833333329</v>
      </c>
      <c r="AM542" s="56">
        <v>13.49999999999998</v>
      </c>
      <c r="AN542" s="56">
        <v>15.39999999999999</v>
      </c>
      <c r="AO542" s="62">
        <v>21.400000000000041</v>
      </c>
      <c r="AQ542" s="64">
        <v>4.0823490666666666</v>
      </c>
      <c r="AR542" s="56">
        <v>13.29999999999991</v>
      </c>
      <c r="AS542" s="56">
        <v>14.67999999999989</v>
      </c>
      <c r="AT542" s="62">
        <v>18.559999999999999</v>
      </c>
      <c r="AV542" s="64">
        <v>3.7292549500000001</v>
      </c>
      <c r="AW542" s="56">
        <v>12.999999999999989</v>
      </c>
      <c r="AX542" s="56">
        <v>14.39999999999992</v>
      </c>
      <c r="AY542" s="62">
        <v>18.98</v>
      </c>
      <c r="BA542" s="64">
        <v>3.191246216666666</v>
      </c>
      <c r="BB542" s="56">
        <v>15.38000000000004</v>
      </c>
      <c r="BC542" s="56">
        <v>17.739999999999959</v>
      </c>
      <c r="BD542" s="62">
        <v>29.260000000000019</v>
      </c>
      <c r="BF542" s="64">
        <v>2.9304465833333331</v>
      </c>
      <c r="BG542" s="56">
        <v>19.079999999999941</v>
      </c>
      <c r="BH542" s="56">
        <v>25.479999999999951</v>
      </c>
      <c r="BI542" s="62">
        <v>53.55999999999996</v>
      </c>
      <c r="BJ542" s="70"/>
      <c r="BK542" s="51"/>
    </row>
    <row r="543" spans="1:63" x14ac:dyDescent="0.4">
      <c r="A543" s="11" t="s">
        <v>620</v>
      </c>
      <c r="B543" s="4"/>
      <c r="C543" s="4"/>
      <c r="D543" s="4"/>
      <c r="E543" s="12"/>
      <c r="G543" s="147" t="s">
        <v>620</v>
      </c>
      <c r="H543" s="159">
        <v>70.028000000000006</v>
      </c>
      <c r="I543" s="153">
        <v>70.39</v>
      </c>
      <c r="J543" s="153">
        <v>70.28</v>
      </c>
      <c r="K543" s="153">
        <v>70.36</v>
      </c>
      <c r="L543" s="153">
        <v>70.39</v>
      </c>
      <c r="M543" s="80">
        <f t="shared" si="16"/>
        <v>70.39</v>
      </c>
      <c r="N543" s="80">
        <f t="shared" si="17"/>
        <v>70.28</v>
      </c>
      <c r="O543" s="153">
        <v>21.2</v>
      </c>
      <c r="P543" s="153">
        <v>21.11</v>
      </c>
      <c r="Q543" s="153">
        <v>21.13</v>
      </c>
      <c r="R543" s="153">
        <v>21.11</v>
      </c>
      <c r="S543" s="4"/>
      <c r="U543" s="147" t="s">
        <v>620</v>
      </c>
      <c r="V543" s="11"/>
      <c r="W543" s="4"/>
      <c r="X543" s="12"/>
      <c r="Y543" s="14"/>
      <c r="Z543" s="4"/>
      <c r="AA543" s="13"/>
      <c r="AB543" s="11"/>
      <c r="AC543" s="4"/>
      <c r="AD543" s="12"/>
      <c r="AE543" s="13"/>
      <c r="AF543" s="14">
        <v>5.0259</v>
      </c>
      <c r="AG543" s="133"/>
      <c r="AI543" s="84"/>
      <c r="AL543" s="64">
        <v>4.1732071666666668</v>
      </c>
      <c r="AM543" s="56">
        <v>13.61999999999988</v>
      </c>
      <c r="AN543" s="56">
        <v>15.49999999999994</v>
      </c>
      <c r="AO543" s="62">
        <v>21.499999999999989</v>
      </c>
      <c r="AQ543" s="64">
        <v>4.0821999666666668</v>
      </c>
      <c r="AR543" s="56">
        <v>13.26000000000001</v>
      </c>
      <c r="AS543" s="56">
        <v>14.63999999999999</v>
      </c>
      <c r="AT543" s="62">
        <v>18.540000000000049</v>
      </c>
      <c r="AV543" s="64">
        <v>3.7290346666666658</v>
      </c>
      <c r="AW543" s="56">
        <v>13.03999999999998</v>
      </c>
      <c r="AX543" s="56">
        <v>14.400000000000009</v>
      </c>
      <c r="AY543" s="62">
        <v>18.99999999999995</v>
      </c>
      <c r="BA543" s="64">
        <v>3.1890121833333329</v>
      </c>
      <c r="BB543" s="56">
        <v>15.39999999999999</v>
      </c>
      <c r="BC543" s="56">
        <v>17.760000000000002</v>
      </c>
      <c r="BD543" s="62">
        <v>29.29999999999993</v>
      </c>
      <c r="BF543" s="64">
        <v>2.922176016666667</v>
      </c>
      <c r="BG543" s="56">
        <v>19.160000000000021</v>
      </c>
      <c r="BH543" s="56">
        <v>25.520000000000032</v>
      </c>
      <c r="BI543" s="62">
        <v>54.180000000000028</v>
      </c>
      <c r="BJ543" s="70"/>
      <c r="BK543" s="51"/>
    </row>
    <row r="544" spans="1:63" x14ac:dyDescent="0.4">
      <c r="A544" s="11" t="s">
        <v>621</v>
      </c>
      <c r="B544" s="4"/>
      <c r="C544" s="4"/>
      <c r="D544" s="4"/>
      <c r="E544" s="12"/>
      <c r="G544" s="147" t="s">
        <v>621</v>
      </c>
      <c r="H544" s="159">
        <v>69.998999999999995</v>
      </c>
      <c r="I544" s="153">
        <v>70.290000000000006</v>
      </c>
      <c r="J544" s="153">
        <v>70.34</v>
      </c>
      <c r="K544" s="153">
        <v>70.39</v>
      </c>
      <c r="L544" s="153">
        <v>70.27</v>
      </c>
      <c r="M544" s="80">
        <f t="shared" si="16"/>
        <v>70.39</v>
      </c>
      <c r="N544" s="80">
        <f t="shared" si="17"/>
        <v>70.27</v>
      </c>
      <c r="O544" s="153">
        <v>21.15</v>
      </c>
      <c r="P544" s="153">
        <v>21.1</v>
      </c>
      <c r="Q544" s="153">
        <v>21.12</v>
      </c>
      <c r="R544" s="153">
        <v>21.09</v>
      </c>
      <c r="S544" s="4"/>
      <c r="U544" s="147" t="s">
        <v>621</v>
      </c>
      <c r="V544" s="11"/>
      <c r="W544" s="4"/>
      <c r="X544" s="12"/>
      <c r="Y544" s="14"/>
      <c r="Z544" s="4"/>
      <c r="AA544" s="13"/>
      <c r="AB544" s="11"/>
      <c r="AC544" s="4"/>
      <c r="AD544" s="12"/>
      <c r="AE544" s="13"/>
      <c r="AF544" s="14">
        <v>5.0172999999999996</v>
      </c>
      <c r="AG544" s="133"/>
      <c r="AI544" s="84"/>
      <c r="AL544" s="64">
        <v>4.1732946000000002</v>
      </c>
      <c r="AM544" s="56">
        <v>13.57999999999997</v>
      </c>
      <c r="AN544" s="56">
        <v>15.50000000000011</v>
      </c>
      <c r="AO544" s="62">
        <v>21.56000000000002</v>
      </c>
      <c r="AQ544" s="64">
        <v>4.0831048666666678</v>
      </c>
      <c r="AR544" s="56">
        <v>13.35999999999995</v>
      </c>
      <c r="AS544" s="56">
        <v>14.719999999999979</v>
      </c>
      <c r="AT544" s="62">
        <v>18.639999999999901</v>
      </c>
      <c r="AV544" s="64">
        <v>3.7309294666666659</v>
      </c>
      <c r="AW544" s="56">
        <v>12.93999999999995</v>
      </c>
      <c r="AX544" s="56">
        <v>14.33999999999997</v>
      </c>
      <c r="AY544" s="62">
        <v>18.919999999999959</v>
      </c>
      <c r="BA544" s="64">
        <v>3.1928368666666671</v>
      </c>
      <c r="BB544" s="56">
        <v>15.09999999999998</v>
      </c>
      <c r="BC544" s="56">
        <v>17.38</v>
      </c>
      <c r="BD544" s="62">
        <v>28.739999999999991</v>
      </c>
      <c r="BF544" s="64">
        <v>2.923672166666667</v>
      </c>
      <c r="BG544" s="56">
        <v>18.839999999999971</v>
      </c>
      <c r="BH544" s="56">
        <v>25.699999999999971</v>
      </c>
      <c r="BI544" s="62">
        <v>55.279999999999951</v>
      </c>
      <c r="BJ544" s="70"/>
      <c r="BK544" s="51"/>
    </row>
    <row r="545" spans="1:63" x14ac:dyDescent="0.4">
      <c r="A545" s="11" t="s">
        <v>622</v>
      </c>
      <c r="B545" s="4"/>
      <c r="C545" s="4"/>
      <c r="D545" s="4"/>
      <c r="E545" s="12"/>
      <c r="G545" s="147" t="s">
        <v>622</v>
      </c>
      <c r="H545" s="159">
        <v>70.02</v>
      </c>
      <c r="I545" s="153">
        <v>70.36</v>
      </c>
      <c r="J545" s="153">
        <v>70.31</v>
      </c>
      <c r="K545" s="153">
        <v>70.39</v>
      </c>
      <c r="L545" s="153">
        <v>70.400000000000006</v>
      </c>
      <c r="M545" s="80">
        <f t="shared" si="16"/>
        <v>70.400000000000006</v>
      </c>
      <c r="N545" s="80">
        <f t="shared" si="17"/>
        <v>70.31</v>
      </c>
      <c r="O545" s="153">
        <v>21.19</v>
      </c>
      <c r="P545" s="153">
        <v>21.16</v>
      </c>
      <c r="Q545" s="153">
        <v>21.12</v>
      </c>
      <c r="R545" s="153">
        <v>21.1</v>
      </c>
      <c r="S545" s="4"/>
      <c r="U545" s="147" t="s">
        <v>622</v>
      </c>
      <c r="V545" s="11"/>
      <c r="W545" s="4"/>
      <c r="X545" s="12"/>
      <c r="Y545" s="14"/>
      <c r="Z545" s="4"/>
      <c r="AA545" s="13"/>
      <c r="AB545" s="11"/>
      <c r="AC545" s="4"/>
      <c r="AD545" s="12"/>
      <c r="AE545" s="13"/>
      <c r="AF545" s="14">
        <v>4.9964000000000004</v>
      </c>
      <c r="AG545" s="133"/>
      <c r="AI545" s="84"/>
      <c r="AL545" s="64">
        <v>4.1729790166666669</v>
      </c>
      <c r="AM545" s="56">
        <v>13.360000000000131</v>
      </c>
      <c r="AN545" s="56">
        <v>15.28000000000009</v>
      </c>
      <c r="AO545" s="62">
        <v>21.28000000000014</v>
      </c>
      <c r="AQ545" s="64">
        <v>4.0836212666666656</v>
      </c>
      <c r="AR545" s="56">
        <v>13.28000000000014</v>
      </c>
      <c r="AS545" s="56">
        <v>14.660000000000119</v>
      </c>
      <c r="AT545" s="62">
        <v>18.580000000000041</v>
      </c>
      <c r="AV545" s="64">
        <v>3.7303500833333341</v>
      </c>
      <c r="AW545" s="56">
        <v>12.95999999999999</v>
      </c>
      <c r="AX545" s="56">
        <v>14.360000000000021</v>
      </c>
      <c r="AY545" s="62">
        <v>18.96000000000004</v>
      </c>
      <c r="BA545" s="64">
        <v>3.1902824833333341</v>
      </c>
      <c r="BB545" s="56">
        <v>15.32</v>
      </c>
      <c r="BC545" s="56">
        <v>17.539999999999981</v>
      </c>
      <c r="BD545" s="62">
        <v>29.11999999999999</v>
      </c>
      <c r="BF545" s="64">
        <v>2.928102533333333</v>
      </c>
      <c r="BG545" s="56">
        <v>18.799999999999969</v>
      </c>
      <c r="BH545" s="56">
        <v>25.179999999999939</v>
      </c>
      <c r="BI545" s="62">
        <v>53.45999999999993</v>
      </c>
      <c r="BJ545" s="70"/>
      <c r="BK545" s="51"/>
    </row>
    <row r="546" spans="1:63" x14ac:dyDescent="0.4">
      <c r="A546" s="11" t="s">
        <v>623</v>
      </c>
      <c r="B546" s="4"/>
      <c r="C546" s="4"/>
      <c r="D546" s="4"/>
      <c r="E546" s="12"/>
      <c r="G546" s="147" t="s">
        <v>623</v>
      </c>
      <c r="H546" s="159">
        <v>69.983000000000004</v>
      </c>
      <c r="I546" s="153">
        <v>70.39</v>
      </c>
      <c r="J546" s="153">
        <v>70.33</v>
      </c>
      <c r="K546" s="153">
        <v>70.38</v>
      </c>
      <c r="L546" s="153">
        <v>70.38</v>
      </c>
      <c r="M546" s="80">
        <f t="shared" si="16"/>
        <v>70.39</v>
      </c>
      <c r="N546" s="80">
        <f t="shared" si="17"/>
        <v>70.33</v>
      </c>
      <c r="O546" s="153">
        <v>21.19</v>
      </c>
      <c r="P546" s="153">
        <v>21.17</v>
      </c>
      <c r="Q546" s="153">
        <v>21.1</v>
      </c>
      <c r="R546" s="153">
        <v>21.04</v>
      </c>
      <c r="S546" s="4"/>
      <c r="U546" s="147" t="s">
        <v>623</v>
      </c>
      <c r="V546" s="11"/>
      <c r="W546" s="4"/>
      <c r="X546" s="12"/>
      <c r="Y546" s="14"/>
      <c r="Z546" s="4"/>
      <c r="AA546" s="13"/>
      <c r="AB546" s="11"/>
      <c r="AC546" s="4"/>
      <c r="AD546" s="12"/>
      <c r="AE546" s="13"/>
      <c r="AF546" s="14">
        <v>5.0045999999999999</v>
      </c>
      <c r="AG546" s="133"/>
      <c r="AI546" s="84"/>
      <c r="AL546" s="64">
        <v>4.172749116666667</v>
      </c>
      <c r="AM546" s="56">
        <v>14.65999999999994</v>
      </c>
      <c r="AN546" s="56">
        <v>16.680000000000032</v>
      </c>
      <c r="AO546" s="62">
        <v>22.879999999999971</v>
      </c>
      <c r="AQ546" s="64">
        <v>4.0829431833333354</v>
      </c>
      <c r="AR546" s="56">
        <v>14.48</v>
      </c>
      <c r="AS546" s="56">
        <v>15.980000000000061</v>
      </c>
      <c r="AT546" s="62">
        <v>20.14000000000005</v>
      </c>
      <c r="AV546" s="64">
        <v>3.7296662833333332</v>
      </c>
      <c r="AW546" s="56">
        <v>14.079999999999959</v>
      </c>
      <c r="AX546" s="56">
        <v>15.599999999999969</v>
      </c>
      <c r="AY546" s="62">
        <v>20.479999999999961</v>
      </c>
      <c r="BA546" s="64">
        <v>3.1854036666666659</v>
      </c>
      <c r="BB546" s="56">
        <v>16.180000000000039</v>
      </c>
      <c r="BC546" s="56">
        <v>18.640000000000079</v>
      </c>
      <c r="BD546" s="62">
        <v>30.580000000000052</v>
      </c>
      <c r="BF546" s="64">
        <v>2.9237114333333341</v>
      </c>
      <c r="BG546" s="56">
        <v>19.93999999999998</v>
      </c>
      <c r="BH546" s="56">
        <v>26.65999999999995</v>
      </c>
      <c r="BI546" s="62">
        <v>55.619999999999962</v>
      </c>
      <c r="BJ546" s="70"/>
      <c r="BK546" s="51"/>
    </row>
    <row r="547" spans="1:63" x14ac:dyDescent="0.4">
      <c r="A547" s="11" t="s">
        <v>624</v>
      </c>
      <c r="B547" s="4"/>
      <c r="C547" s="4"/>
      <c r="D547" s="4"/>
      <c r="E547" s="12"/>
      <c r="G547" s="147" t="s">
        <v>624</v>
      </c>
      <c r="H547" s="159">
        <v>69.978999999999999</v>
      </c>
      <c r="I547" s="153">
        <v>70.31</v>
      </c>
      <c r="J547" s="153">
        <v>70.38</v>
      </c>
      <c r="K547" s="153">
        <v>70.27</v>
      </c>
      <c r="L547" s="153">
        <v>70.349999999999994</v>
      </c>
      <c r="M547" s="80">
        <f t="shared" si="16"/>
        <v>70.38</v>
      </c>
      <c r="N547" s="80">
        <f t="shared" si="17"/>
        <v>70.27</v>
      </c>
      <c r="O547" s="153">
        <v>21.21</v>
      </c>
      <c r="P547" s="153">
        <v>21.07</v>
      </c>
      <c r="Q547" s="153">
        <v>21.09</v>
      </c>
      <c r="R547" s="153">
        <v>21.05</v>
      </c>
      <c r="S547" s="4"/>
      <c r="U547" s="147" t="s">
        <v>624</v>
      </c>
      <c r="V547" s="11"/>
      <c r="W547" s="4"/>
      <c r="X547" s="12"/>
      <c r="Y547" s="14"/>
      <c r="Z547" s="4"/>
      <c r="AA547" s="13"/>
      <c r="AB547" s="11"/>
      <c r="AC547" s="4"/>
      <c r="AD547" s="12"/>
      <c r="AE547" s="13"/>
      <c r="AF547" s="14">
        <v>5.0027999999999997</v>
      </c>
      <c r="AG547" s="133"/>
      <c r="AI547" s="84"/>
      <c r="AL547" s="64">
        <v>4.1723629000000004</v>
      </c>
      <c r="AM547" s="56">
        <v>15.000000000000041</v>
      </c>
      <c r="AN547" s="56">
        <v>16.999999999999989</v>
      </c>
      <c r="AO547" s="62">
        <v>23.25999999999997</v>
      </c>
      <c r="AQ547" s="64">
        <v>4.0810446000000011</v>
      </c>
      <c r="AR547" s="56">
        <v>14.54000000000004</v>
      </c>
      <c r="AS547" s="56">
        <v>16.019999999999971</v>
      </c>
      <c r="AT547" s="62">
        <v>20.239999999999991</v>
      </c>
      <c r="AV547" s="64">
        <v>3.7272790333333341</v>
      </c>
      <c r="AW547" s="56">
        <v>14.1</v>
      </c>
      <c r="AX547" s="56">
        <v>15.579999999999931</v>
      </c>
      <c r="AY547" s="62">
        <v>20.479999999999961</v>
      </c>
      <c r="BA547" s="64">
        <v>3.1837931666666668</v>
      </c>
      <c r="BB547" s="56">
        <v>16.319999999999979</v>
      </c>
      <c r="BC547" s="56">
        <v>18.820000000000011</v>
      </c>
      <c r="BD547" s="62">
        <v>30.779999999999941</v>
      </c>
      <c r="BF547" s="64">
        <v>2.924462933333333</v>
      </c>
      <c r="BG547" s="56">
        <v>20.04000000000001</v>
      </c>
      <c r="BH547" s="56">
        <v>26.75999999999998</v>
      </c>
      <c r="BI547" s="62">
        <v>55.480000000000018</v>
      </c>
      <c r="BJ547" s="69"/>
      <c r="BK547" s="51"/>
    </row>
    <row r="548" spans="1:63" x14ac:dyDescent="0.4">
      <c r="A548" s="11" t="s">
        <v>625</v>
      </c>
      <c r="B548" s="4"/>
      <c r="C548" s="4"/>
      <c r="D548" s="4"/>
      <c r="E548" s="12"/>
      <c r="G548" s="147" t="s">
        <v>625</v>
      </c>
      <c r="H548" s="159">
        <v>70.063000000000002</v>
      </c>
      <c r="I548" s="153">
        <v>70.3</v>
      </c>
      <c r="J548" s="153">
        <v>70.290000000000006</v>
      </c>
      <c r="K548" s="153">
        <v>70.28</v>
      </c>
      <c r="L548" s="153">
        <v>70.36</v>
      </c>
      <c r="M548" s="80">
        <f t="shared" si="16"/>
        <v>70.36</v>
      </c>
      <c r="N548" s="80">
        <f t="shared" si="17"/>
        <v>70.28</v>
      </c>
      <c r="O548" s="153">
        <v>21.19</v>
      </c>
      <c r="P548" s="153">
        <v>21.09</v>
      </c>
      <c r="Q548" s="153">
        <v>21.17</v>
      </c>
      <c r="R548" s="153">
        <v>21.13</v>
      </c>
      <c r="S548" s="4"/>
      <c r="U548" s="147" t="s">
        <v>625</v>
      </c>
      <c r="V548" s="11"/>
      <c r="W548" s="4"/>
      <c r="X548" s="12"/>
      <c r="Y548" s="14"/>
      <c r="Z548" s="4"/>
      <c r="AA548" s="13"/>
      <c r="AB548" s="11"/>
      <c r="AC548" s="4"/>
      <c r="AD548" s="12"/>
      <c r="AE548" s="13"/>
      <c r="AF548" s="14">
        <v>5.0061999999999998</v>
      </c>
      <c r="AG548" s="133"/>
      <c r="AI548" s="84"/>
      <c r="AL548" s="64">
        <v>4.1724407000000001</v>
      </c>
      <c r="AM548" s="56">
        <v>14.719999999999979</v>
      </c>
      <c r="AN548" s="56">
        <v>16.719999999999931</v>
      </c>
      <c r="AO548" s="62">
        <v>22.819999999999929</v>
      </c>
      <c r="AQ548" s="64">
        <v>4.0817222333333323</v>
      </c>
      <c r="AR548" s="56">
        <v>14.54000000000004</v>
      </c>
      <c r="AS548" s="56">
        <v>16.020000000000149</v>
      </c>
      <c r="AT548" s="62">
        <v>20.180000000000039</v>
      </c>
      <c r="AV548" s="64">
        <v>3.7285793666666658</v>
      </c>
      <c r="AW548" s="56">
        <v>14.14</v>
      </c>
      <c r="AX548" s="56">
        <v>15.64000000000005</v>
      </c>
      <c r="AY548" s="62">
        <v>20.500000000000011</v>
      </c>
      <c r="BA548" s="64">
        <v>3.1860762</v>
      </c>
      <c r="BB548" s="56">
        <v>16.27999999999998</v>
      </c>
      <c r="BC548" s="56">
        <v>18.760000000000069</v>
      </c>
      <c r="BD548" s="62">
        <v>30.6</v>
      </c>
      <c r="BF548" s="64">
        <v>2.9229292500000001</v>
      </c>
      <c r="BG548" s="56">
        <v>20.12</v>
      </c>
      <c r="BH548" s="56">
        <v>26.84000000000006</v>
      </c>
      <c r="BI548" s="62">
        <v>55.840000000000067</v>
      </c>
      <c r="BJ548" s="73"/>
      <c r="BK548" s="94"/>
    </row>
    <row r="549" spans="1:63" x14ac:dyDescent="0.4">
      <c r="A549" s="11" t="s">
        <v>626</v>
      </c>
      <c r="B549" s="4"/>
      <c r="C549" s="4"/>
      <c r="D549" s="4"/>
      <c r="E549" s="12"/>
      <c r="G549" s="147" t="s">
        <v>626</v>
      </c>
      <c r="H549" s="159">
        <v>69.915999999999997</v>
      </c>
      <c r="I549" s="153">
        <v>70.31</v>
      </c>
      <c r="J549" s="153">
        <v>70.36</v>
      </c>
      <c r="K549" s="153">
        <v>70.28</v>
      </c>
      <c r="L549" s="153">
        <v>70.31</v>
      </c>
      <c r="M549" s="80">
        <f t="shared" si="16"/>
        <v>70.36</v>
      </c>
      <c r="N549" s="80">
        <f t="shared" si="17"/>
        <v>70.28</v>
      </c>
      <c r="O549" s="153">
        <v>21.13</v>
      </c>
      <c r="P549" s="153">
        <v>21.16</v>
      </c>
      <c r="Q549" s="153">
        <v>21.08</v>
      </c>
      <c r="R549" s="153">
        <v>21.06</v>
      </c>
      <c r="S549" s="4"/>
      <c r="U549" s="147" t="s">
        <v>626</v>
      </c>
      <c r="V549" s="11"/>
      <c r="W549" s="4"/>
      <c r="X549" s="12"/>
      <c r="Y549" s="14"/>
      <c r="Z549" s="4"/>
      <c r="AA549" s="13"/>
      <c r="AB549" s="11"/>
      <c r="AC549" s="4"/>
      <c r="AD549" s="12"/>
      <c r="AE549" s="13"/>
      <c r="AF549" s="14">
        <v>4.9997999999999996</v>
      </c>
      <c r="AG549" s="133"/>
      <c r="AI549" s="84"/>
      <c r="AL549" s="64">
        <v>4.1725866333333332</v>
      </c>
      <c r="AM549" s="56">
        <v>15.30000000000005</v>
      </c>
      <c r="AN549" s="56">
        <v>17.340000000000089</v>
      </c>
      <c r="AO549" s="62">
        <v>23.540000000000031</v>
      </c>
      <c r="AQ549" s="64">
        <v>4.0805653999999993</v>
      </c>
      <c r="AR549" s="56">
        <v>14.69999999999985</v>
      </c>
      <c r="AS549" s="56">
        <v>16.219999999999949</v>
      </c>
      <c r="AT549" s="62">
        <v>20.419999999999931</v>
      </c>
      <c r="AV549" s="64">
        <v>3.727391850000001</v>
      </c>
      <c r="AW549" s="56">
        <v>14.360000000000021</v>
      </c>
      <c r="AX549" s="56">
        <v>15.899999999999981</v>
      </c>
      <c r="AY549" s="62">
        <v>20.819999999999968</v>
      </c>
      <c r="BA549" s="64">
        <v>3.18542295</v>
      </c>
      <c r="BB549" s="56">
        <v>16.320000000000071</v>
      </c>
      <c r="BC549" s="56">
        <v>18.780000000000019</v>
      </c>
      <c r="BD549" s="62">
        <v>30.580000000000052</v>
      </c>
      <c r="BF549" s="64">
        <v>2.9179124333333331</v>
      </c>
      <c r="BG549" s="56">
        <v>20.12</v>
      </c>
      <c r="BH549" s="56">
        <v>26.660000000000039</v>
      </c>
      <c r="BI549" s="62">
        <v>55.620000000000047</v>
      </c>
      <c r="BJ549" s="69"/>
      <c r="BK549" s="51"/>
    </row>
    <row r="550" spans="1:63" x14ac:dyDescent="0.4">
      <c r="A550" s="11" t="s">
        <v>627</v>
      </c>
      <c r="B550" s="4"/>
      <c r="C550" s="4"/>
      <c r="D550" s="4"/>
      <c r="E550" s="12"/>
      <c r="G550" s="147" t="s">
        <v>627</v>
      </c>
      <c r="H550" s="159">
        <v>70.018000000000001</v>
      </c>
      <c r="I550" s="153">
        <v>70.34</v>
      </c>
      <c r="J550" s="153">
        <v>70.37</v>
      </c>
      <c r="K550" s="153">
        <v>70.31</v>
      </c>
      <c r="L550" s="153">
        <v>70.349999999999994</v>
      </c>
      <c r="M550" s="80">
        <f t="shared" si="16"/>
        <v>70.37</v>
      </c>
      <c r="N550" s="80">
        <f t="shared" si="17"/>
        <v>70.31</v>
      </c>
      <c r="O550" s="153">
        <v>21.2</v>
      </c>
      <c r="P550" s="153">
        <v>21.09</v>
      </c>
      <c r="Q550" s="153">
        <v>21.13</v>
      </c>
      <c r="R550" s="153">
        <v>21.06</v>
      </c>
      <c r="S550" s="4"/>
      <c r="U550" s="147" t="s">
        <v>627</v>
      </c>
      <c r="V550" s="11"/>
      <c r="W550" s="4"/>
      <c r="X550" s="12"/>
      <c r="Y550" s="14"/>
      <c r="Z550" s="4"/>
      <c r="AA550" s="13"/>
      <c r="AB550" s="11"/>
      <c r="AC550" s="4"/>
      <c r="AD550" s="12"/>
      <c r="AE550" s="13"/>
      <c r="AF550" s="14">
        <v>5.0236999999999998</v>
      </c>
      <c r="AG550" s="133"/>
      <c r="AI550" s="84"/>
      <c r="AL550" s="64">
        <v>4.1731696999999999</v>
      </c>
      <c r="AM550" s="56">
        <v>13.940000000000021</v>
      </c>
      <c r="AN550" s="56">
        <v>15.859999999999991</v>
      </c>
      <c r="AO550" s="62">
        <v>21.899999999999942</v>
      </c>
      <c r="AQ550" s="64">
        <v>4.0822393166666684</v>
      </c>
      <c r="AR550" s="56">
        <v>13.52000000000011</v>
      </c>
      <c r="AS550" s="56">
        <v>14.920000000000041</v>
      </c>
      <c r="AT550" s="62">
        <v>18.900000000000091</v>
      </c>
      <c r="AV550" s="64">
        <v>3.7278569166666662</v>
      </c>
      <c r="AW550" s="56">
        <v>13.239999999999959</v>
      </c>
      <c r="AX550" s="56">
        <v>14.66000000000003</v>
      </c>
      <c r="AY550" s="62">
        <v>19.299999999999962</v>
      </c>
      <c r="BA550" s="64">
        <v>3.1836752833333342</v>
      </c>
      <c r="BB550" s="56">
        <v>15.859999999999991</v>
      </c>
      <c r="BC550" s="56">
        <v>18.300000000000072</v>
      </c>
      <c r="BD550" s="62">
        <v>30.16000000000005</v>
      </c>
      <c r="BF550" s="64">
        <v>2.9237672833333339</v>
      </c>
      <c r="BG550" s="56">
        <v>19.280000000000008</v>
      </c>
      <c r="BH550" s="56">
        <v>26.18</v>
      </c>
      <c r="BI550" s="62">
        <v>55.159999999999968</v>
      </c>
      <c r="BJ550" s="70"/>
      <c r="BK550" s="51"/>
    </row>
    <row r="551" spans="1:63" x14ac:dyDescent="0.4">
      <c r="A551" s="11" t="s">
        <v>628</v>
      </c>
      <c r="B551" s="4"/>
      <c r="C551" s="4"/>
      <c r="D551" s="4"/>
      <c r="E551" s="12"/>
      <c r="G551" s="147" t="s">
        <v>628</v>
      </c>
      <c r="H551" s="159">
        <v>70.025999999999996</v>
      </c>
      <c r="I551" s="153">
        <v>70.39</v>
      </c>
      <c r="J551" s="153">
        <v>70.349999999999994</v>
      </c>
      <c r="K551" s="153">
        <v>70.3</v>
      </c>
      <c r="L551" s="153">
        <v>70.27</v>
      </c>
      <c r="M551" s="80">
        <f t="shared" si="16"/>
        <v>70.39</v>
      </c>
      <c r="N551" s="80">
        <f t="shared" si="17"/>
        <v>70.27</v>
      </c>
      <c r="O551" s="153">
        <v>21.21</v>
      </c>
      <c r="P551" s="153">
        <v>21.08</v>
      </c>
      <c r="Q551" s="153">
        <v>21.15</v>
      </c>
      <c r="R551" s="153">
        <v>21.09</v>
      </c>
      <c r="S551" s="4"/>
      <c r="U551" s="147" t="s">
        <v>628</v>
      </c>
      <c r="V551" s="11"/>
      <c r="W551" s="4"/>
      <c r="X551" s="12"/>
      <c r="Y551" s="14"/>
      <c r="Z551" s="4"/>
      <c r="AA551" s="13"/>
      <c r="AB551" s="11"/>
      <c r="AC551" s="4"/>
      <c r="AD551" s="12"/>
      <c r="AE551" s="136"/>
      <c r="AF551" s="14">
        <v>5.0190999999999999</v>
      </c>
      <c r="AG551" s="133"/>
      <c r="AI551" s="84"/>
      <c r="AL551" s="64">
        <v>4.1733483166666669</v>
      </c>
      <c r="AM551" s="56">
        <v>13.79999999999999</v>
      </c>
      <c r="AN551" s="56">
        <v>15.6600000000001</v>
      </c>
      <c r="AO551" s="62">
        <v>21.680000000000099</v>
      </c>
      <c r="AQ551" s="64">
        <v>4.0809998500000013</v>
      </c>
      <c r="AR551" s="56">
        <v>13.28000000000014</v>
      </c>
      <c r="AS551" s="56">
        <v>14.660000000000119</v>
      </c>
      <c r="AT551" s="62">
        <v>18.540000000000049</v>
      </c>
      <c r="AV551" s="64">
        <v>3.7275108166666668</v>
      </c>
      <c r="AW551" s="56">
        <v>13.019999999999939</v>
      </c>
      <c r="AX551" s="56">
        <v>14.41999999999997</v>
      </c>
      <c r="AY551" s="62">
        <v>19.019999999999989</v>
      </c>
      <c r="BA551" s="64">
        <v>3.1898102499999998</v>
      </c>
      <c r="BB551" s="56">
        <v>15.28</v>
      </c>
      <c r="BC551" s="56">
        <v>17.620000000000061</v>
      </c>
      <c r="BD551" s="62">
        <v>29.060000000000041</v>
      </c>
      <c r="BF551" s="64">
        <v>2.9251694499999998</v>
      </c>
      <c r="BG551" s="56">
        <v>19.000000000000039</v>
      </c>
      <c r="BH551" s="56">
        <v>25.32000000000005</v>
      </c>
      <c r="BI551" s="62">
        <v>53.460000000000022</v>
      </c>
      <c r="BJ551" s="70"/>
      <c r="BK551" s="51"/>
    </row>
    <row r="552" spans="1:63" x14ac:dyDescent="0.4">
      <c r="A552" s="11" t="s">
        <v>629</v>
      </c>
      <c r="B552" s="4"/>
      <c r="C552" s="4"/>
      <c r="D552" s="4"/>
      <c r="E552" s="12"/>
      <c r="G552" s="147" t="s">
        <v>629</v>
      </c>
      <c r="H552" s="159">
        <v>70.012</v>
      </c>
      <c r="I552" s="153">
        <v>70.38</v>
      </c>
      <c r="J552" s="153">
        <v>70.27</v>
      </c>
      <c r="K552" s="153">
        <v>70.38</v>
      </c>
      <c r="L552" s="153">
        <v>70.34</v>
      </c>
      <c r="M552" s="80">
        <f t="shared" si="16"/>
        <v>70.38</v>
      </c>
      <c r="N552" s="80">
        <f t="shared" si="17"/>
        <v>70.27</v>
      </c>
      <c r="O552" s="153">
        <v>21.21</v>
      </c>
      <c r="P552" s="153">
        <v>21.02</v>
      </c>
      <c r="Q552" s="153">
        <v>21.1</v>
      </c>
      <c r="R552" s="153">
        <v>21.06</v>
      </c>
      <c r="S552" s="4"/>
      <c r="U552" s="147" t="s">
        <v>629</v>
      </c>
      <c r="V552" s="11"/>
      <c r="W552" s="4"/>
      <c r="X552" s="12"/>
      <c r="Y552" s="14"/>
      <c r="Z552" s="4"/>
      <c r="AA552" s="13"/>
      <c r="AB552" s="11"/>
      <c r="AC552" s="4"/>
      <c r="AD552" s="12"/>
      <c r="AE552" s="136"/>
      <c r="AF552" s="14">
        <v>5.0174000000000003</v>
      </c>
      <c r="AG552" s="133"/>
      <c r="AI552" s="84"/>
      <c r="AL552" s="64">
        <v>4.1728506999999997</v>
      </c>
      <c r="AM552" s="56">
        <v>13.940000000000021</v>
      </c>
      <c r="AN552" s="56">
        <v>15.839999999999851</v>
      </c>
      <c r="AO552" s="62">
        <v>21.899999999999942</v>
      </c>
      <c r="AQ552" s="64">
        <v>4.081015166666667</v>
      </c>
      <c r="AR552" s="56">
        <v>13.42000000000017</v>
      </c>
      <c r="AS552" s="56">
        <v>14.8200000000001</v>
      </c>
      <c r="AT552" s="62">
        <v>18.740000000000109</v>
      </c>
      <c r="AV552" s="64">
        <v>3.7272942499999999</v>
      </c>
      <c r="AW552" s="56">
        <v>13.09999999999993</v>
      </c>
      <c r="AX552" s="56">
        <v>14.57999999999995</v>
      </c>
      <c r="AY552" s="62">
        <v>19.23999999999992</v>
      </c>
      <c r="BA552" s="64">
        <v>3.1882195833333329</v>
      </c>
      <c r="BB552" s="56">
        <v>15.58000000000002</v>
      </c>
      <c r="BC552" s="56">
        <v>17.93999999999993</v>
      </c>
      <c r="BD552" s="62">
        <v>29.51999999999995</v>
      </c>
      <c r="BF552" s="64">
        <v>2.928465633333333</v>
      </c>
      <c r="BG552" s="56">
        <v>19.21999999999997</v>
      </c>
      <c r="BH552" s="56">
        <v>25.579999999999981</v>
      </c>
      <c r="BI552" s="62">
        <v>53.540000000000013</v>
      </c>
      <c r="BJ552" s="70"/>
      <c r="BK552" s="51"/>
    </row>
    <row r="553" spans="1:63" x14ac:dyDescent="0.4">
      <c r="A553" s="11" t="s">
        <v>630</v>
      </c>
      <c r="B553" s="4"/>
      <c r="C553" s="4"/>
      <c r="D553" s="4"/>
      <c r="E553" s="12"/>
      <c r="G553" s="147" t="s">
        <v>630</v>
      </c>
      <c r="H553" s="159">
        <v>70.096000000000004</v>
      </c>
      <c r="I553" s="153">
        <v>70.39</v>
      </c>
      <c r="J553" s="153">
        <v>70.37</v>
      </c>
      <c r="K553" s="153">
        <v>70.400000000000006</v>
      </c>
      <c r="L553" s="153">
        <v>70.319999999999993</v>
      </c>
      <c r="M553" s="80">
        <f t="shared" si="16"/>
        <v>70.400000000000006</v>
      </c>
      <c r="N553" s="80">
        <f t="shared" si="17"/>
        <v>70.319999999999993</v>
      </c>
      <c r="O553" s="153">
        <v>21.16</v>
      </c>
      <c r="P553" s="153">
        <v>21.02</v>
      </c>
      <c r="Q553" s="153">
        <v>21.16</v>
      </c>
      <c r="R553" s="153">
        <v>21.1</v>
      </c>
      <c r="S553" s="4"/>
      <c r="U553" s="147" t="s">
        <v>630</v>
      </c>
      <c r="V553" s="11"/>
      <c r="W553" s="4"/>
      <c r="X553" s="12"/>
      <c r="Y553" s="14"/>
      <c r="Z553" s="4"/>
      <c r="AA553" s="13"/>
      <c r="AB553" s="11"/>
      <c r="AC553" s="4"/>
      <c r="AD553" s="12"/>
      <c r="AE553" s="136"/>
      <c r="AF553" s="14">
        <v>5.0240999999999998</v>
      </c>
      <c r="AG553" s="133"/>
      <c r="AI553" s="84"/>
      <c r="AL553" s="64">
        <v>4.1726665999999986</v>
      </c>
      <c r="AM553" s="56">
        <v>13.840000000000069</v>
      </c>
      <c r="AN553" s="56">
        <v>15.760000000000041</v>
      </c>
      <c r="AO553" s="62">
        <v>21.78000000000004</v>
      </c>
      <c r="AQ553" s="64">
        <v>4.0813031999999998</v>
      </c>
      <c r="AR553" s="56">
        <v>13.380000000000081</v>
      </c>
      <c r="AS553" s="56">
        <v>14.780000000000021</v>
      </c>
      <c r="AT553" s="62">
        <v>18.72000000000007</v>
      </c>
      <c r="AV553" s="64">
        <v>3.7278690499999989</v>
      </c>
      <c r="AW553" s="56">
        <v>13.100000000000019</v>
      </c>
      <c r="AX553" s="56">
        <v>14.48</v>
      </c>
      <c r="AY553" s="62">
        <v>19.09999999999998</v>
      </c>
      <c r="BA553" s="64">
        <v>3.1888171833333341</v>
      </c>
      <c r="BB553" s="56">
        <v>15.599999999999969</v>
      </c>
      <c r="BC553" s="56">
        <v>17.95999999999998</v>
      </c>
      <c r="BD553" s="62">
        <v>29.539999999999988</v>
      </c>
      <c r="BF553" s="64">
        <v>2.9261643166666671</v>
      </c>
      <c r="BG553" s="56">
        <v>19.280000000000008</v>
      </c>
      <c r="BH553" s="56">
        <v>25.640000000000018</v>
      </c>
      <c r="BI553" s="62">
        <v>53.77999999999998</v>
      </c>
      <c r="BJ553" s="70"/>
      <c r="BK553" s="51"/>
    </row>
    <row r="554" spans="1:63" x14ac:dyDescent="0.4">
      <c r="A554" s="11" t="s">
        <v>631</v>
      </c>
      <c r="B554" s="4"/>
      <c r="C554" s="4"/>
      <c r="D554" s="4"/>
      <c r="E554" s="12"/>
      <c r="G554" s="147" t="s">
        <v>631</v>
      </c>
      <c r="H554" s="159">
        <v>69.930999999999997</v>
      </c>
      <c r="I554" s="153">
        <v>70.37</v>
      </c>
      <c r="J554" s="153">
        <v>70.319999999999993</v>
      </c>
      <c r="K554" s="153">
        <v>70.33</v>
      </c>
      <c r="L554" s="153">
        <v>70.349999999999994</v>
      </c>
      <c r="M554" s="80">
        <f t="shared" si="16"/>
        <v>70.37</v>
      </c>
      <c r="N554" s="80">
        <f t="shared" si="17"/>
        <v>70.319999999999993</v>
      </c>
      <c r="O554" s="153">
        <v>21.17</v>
      </c>
      <c r="P554" s="153">
        <v>21.1</v>
      </c>
      <c r="Q554" s="153">
        <v>21.15</v>
      </c>
      <c r="R554" s="153">
        <v>21.11</v>
      </c>
      <c r="S554" s="4"/>
      <c r="U554" s="147" t="s">
        <v>631</v>
      </c>
      <c r="V554" s="11"/>
      <c r="W554" s="4"/>
      <c r="X554" s="12"/>
      <c r="Y554" s="14"/>
      <c r="Z554" s="4"/>
      <c r="AA554" s="13"/>
      <c r="AB554" s="11"/>
      <c r="AC554" s="4"/>
      <c r="AD554" s="12"/>
      <c r="AE554" s="13"/>
      <c r="AF554" s="14">
        <v>5.0170000000000003</v>
      </c>
      <c r="AG554" s="133"/>
      <c r="AI554" s="84"/>
      <c r="AL554" s="64">
        <v>4.1731672166666671</v>
      </c>
      <c r="AM554" s="56">
        <v>13.899999999999929</v>
      </c>
      <c r="AN554" s="56">
        <v>15.839999999999851</v>
      </c>
      <c r="AO554" s="62">
        <v>21.879999999999988</v>
      </c>
      <c r="AQ554" s="64">
        <v>4.0815708500000003</v>
      </c>
      <c r="AR554" s="56">
        <v>13.3799999999999</v>
      </c>
      <c r="AS554" s="56">
        <v>14.739999999999929</v>
      </c>
      <c r="AT554" s="62">
        <v>18.65999999999994</v>
      </c>
      <c r="AV554" s="64">
        <v>3.7292356666666659</v>
      </c>
      <c r="AW554" s="56">
        <v>12.999999999999989</v>
      </c>
      <c r="AX554" s="56">
        <v>14.35999999999993</v>
      </c>
      <c r="AY554" s="62">
        <v>18.940000000000001</v>
      </c>
      <c r="BA554" s="64">
        <v>3.1898799333333341</v>
      </c>
      <c r="BB554" s="56">
        <v>15.16000000000002</v>
      </c>
      <c r="BC554" s="56">
        <v>17.480000000000029</v>
      </c>
      <c r="BD554" s="62">
        <v>28.840000000000021</v>
      </c>
      <c r="BF554" s="64">
        <v>2.923372333333333</v>
      </c>
      <c r="BG554" s="56">
        <v>18.84000000000006</v>
      </c>
      <c r="BH554" s="56">
        <v>25.640000000000018</v>
      </c>
      <c r="BI554" s="62">
        <v>54.680000000000021</v>
      </c>
      <c r="BJ554" s="70"/>
      <c r="BK554" s="51"/>
    </row>
    <row r="555" spans="1:63" x14ac:dyDescent="0.4">
      <c r="A555" s="11" t="s">
        <v>632</v>
      </c>
      <c r="B555" s="4"/>
      <c r="C555" s="4"/>
      <c r="D555" s="4"/>
      <c r="E555" s="12"/>
      <c r="G555" s="147" t="s">
        <v>632</v>
      </c>
      <c r="H555" s="159">
        <v>69.953999999999994</v>
      </c>
      <c r="I555" s="153">
        <v>70.38</v>
      </c>
      <c r="J555" s="153">
        <v>70.400000000000006</v>
      </c>
      <c r="K555" s="153">
        <v>70.37</v>
      </c>
      <c r="L555" s="153">
        <v>70.319999999999993</v>
      </c>
      <c r="M555" s="80">
        <f t="shared" si="16"/>
        <v>70.400000000000006</v>
      </c>
      <c r="N555" s="80">
        <f t="shared" si="17"/>
        <v>70.319999999999993</v>
      </c>
      <c r="O555" s="153">
        <v>21.15</v>
      </c>
      <c r="P555" s="153">
        <v>21.09</v>
      </c>
      <c r="Q555" s="153">
        <v>21.14</v>
      </c>
      <c r="R555" s="153">
        <v>21.04</v>
      </c>
      <c r="S555" s="4"/>
      <c r="U555" s="147" t="s">
        <v>632</v>
      </c>
      <c r="V555" s="11"/>
      <c r="W555" s="4"/>
      <c r="X555" s="12"/>
      <c r="Y555" s="14"/>
      <c r="Z555" s="4"/>
      <c r="AA555" s="13"/>
      <c r="AB555" s="11"/>
      <c r="AC555" s="4"/>
      <c r="AD555" s="12"/>
      <c r="AE555" s="13"/>
      <c r="AF555" s="14">
        <v>4.9947999999999997</v>
      </c>
      <c r="AG555" s="133"/>
      <c r="AI555" s="84"/>
      <c r="AL555" s="64">
        <v>4.1731033666666661</v>
      </c>
      <c r="AM555" s="56">
        <v>13.78000000000004</v>
      </c>
      <c r="AN555" s="56">
        <v>15.7</v>
      </c>
      <c r="AO555" s="62">
        <v>21.72000000000001</v>
      </c>
      <c r="AQ555" s="64">
        <v>4.0818234166666656</v>
      </c>
      <c r="AR555" s="56">
        <v>13.439999999999941</v>
      </c>
      <c r="AS555" s="56">
        <v>14.84000000000005</v>
      </c>
      <c r="AT555" s="62">
        <v>18.780000000000019</v>
      </c>
      <c r="AV555" s="64">
        <v>3.7287974166666671</v>
      </c>
      <c r="AW555" s="56">
        <v>13.15999999999997</v>
      </c>
      <c r="AX555" s="56">
        <v>14.56</v>
      </c>
      <c r="AY555" s="62">
        <v>19.179999999999971</v>
      </c>
      <c r="BA555" s="64">
        <v>3.1900609000000002</v>
      </c>
      <c r="BB555" s="56">
        <v>15.460000000000029</v>
      </c>
      <c r="BC555" s="56">
        <v>17.79999999999999</v>
      </c>
      <c r="BD555" s="62">
        <v>29.300000000000011</v>
      </c>
      <c r="BF555" s="64">
        <v>2.9246486833333329</v>
      </c>
      <c r="BG555" s="56">
        <v>19.159999999999929</v>
      </c>
      <c r="BH555" s="56">
        <v>25.479999999999951</v>
      </c>
      <c r="BI555" s="62">
        <v>53.66</v>
      </c>
      <c r="BJ555" s="70"/>
      <c r="BK555" s="51"/>
    </row>
    <row r="556" spans="1:63" x14ac:dyDescent="0.4">
      <c r="A556" s="11" t="s">
        <v>633</v>
      </c>
      <c r="B556" s="4"/>
      <c r="C556" s="4"/>
      <c r="D556" s="4"/>
      <c r="E556" s="12"/>
      <c r="G556" s="147" t="s">
        <v>633</v>
      </c>
      <c r="H556" s="159">
        <v>69.995999999999995</v>
      </c>
      <c r="I556" s="153">
        <v>70.319999999999993</v>
      </c>
      <c r="J556" s="153">
        <v>70.37</v>
      </c>
      <c r="K556" s="153">
        <v>70.3</v>
      </c>
      <c r="L556" s="153">
        <v>70.28</v>
      </c>
      <c r="M556" s="80">
        <f t="shared" si="16"/>
        <v>70.37</v>
      </c>
      <c r="N556" s="80">
        <f t="shared" si="17"/>
        <v>70.28</v>
      </c>
      <c r="O556" s="153">
        <v>21.13</v>
      </c>
      <c r="P556" s="153">
        <v>21.11</v>
      </c>
      <c r="Q556" s="153">
        <v>21.11</v>
      </c>
      <c r="R556" s="153">
        <v>21.08</v>
      </c>
      <c r="S556" s="4"/>
      <c r="U556" s="147" t="s">
        <v>633</v>
      </c>
      <c r="V556" s="11"/>
      <c r="W556" s="4"/>
      <c r="X556" s="12"/>
      <c r="Y556" s="14"/>
      <c r="Z556" s="4"/>
      <c r="AA556" s="13"/>
      <c r="AB556" s="11"/>
      <c r="AC556" s="4"/>
      <c r="AD556" s="12"/>
      <c r="AE556" s="13"/>
      <c r="AF556" s="14">
        <v>4.9973999999999998</v>
      </c>
      <c r="AG556" s="133"/>
      <c r="AI556" s="84"/>
      <c r="AL556" s="64">
        <v>4.1727427500000003</v>
      </c>
      <c r="AM556" s="56">
        <v>14.87999999999996</v>
      </c>
      <c r="AN556" s="56">
        <v>16.900000000000048</v>
      </c>
      <c r="AO556" s="62">
        <v>23.13999999999989</v>
      </c>
      <c r="AQ556" s="64">
        <v>4.0830736166666668</v>
      </c>
      <c r="AR556" s="56">
        <v>14.54000000000004</v>
      </c>
      <c r="AS556" s="56">
        <v>16.060000000000048</v>
      </c>
      <c r="AT556" s="62">
        <v>20.26000000000003</v>
      </c>
      <c r="AV556" s="64">
        <v>3.729649966666666</v>
      </c>
      <c r="AW556" s="56">
        <v>14.21999999999999</v>
      </c>
      <c r="AX556" s="56">
        <v>15.71999999999996</v>
      </c>
      <c r="AY556" s="62">
        <v>20.61999999999999</v>
      </c>
      <c r="BA556" s="64">
        <v>3.1858214666666669</v>
      </c>
      <c r="BB556" s="56">
        <v>16.080000000000009</v>
      </c>
      <c r="BC556" s="56">
        <v>18.74000000000002</v>
      </c>
      <c r="BD556" s="62">
        <v>30.74000000000003</v>
      </c>
      <c r="BF556" s="64">
        <v>2.9271139333333331</v>
      </c>
      <c r="BG556" s="56">
        <v>20.16</v>
      </c>
      <c r="BH556" s="56">
        <v>26.75999999999998</v>
      </c>
      <c r="BI556" s="62">
        <v>55.480000000000018</v>
      </c>
      <c r="BJ556" s="70"/>
      <c r="BK556" s="51"/>
    </row>
    <row r="557" spans="1:63" x14ac:dyDescent="0.4">
      <c r="A557" s="11" t="s">
        <v>634</v>
      </c>
      <c r="B557" s="4"/>
      <c r="C557" s="4"/>
      <c r="D557" s="4"/>
      <c r="E557" s="12"/>
      <c r="G557" s="147" t="s">
        <v>634</v>
      </c>
      <c r="H557" s="159">
        <v>69.941000000000003</v>
      </c>
      <c r="I557" s="153">
        <v>70.319999999999993</v>
      </c>
      <c r="J557" s="153">
        <v>70.31</v>
      </c>
      <c r="K557" s="153">
        <v>70.31</v>
      </c>
      <c r="L557" s="153">
        <v>70.3</v>
      </c>
      <c r="M557" s="80">
        <f t="shared" si="16"/>
        <v>70.319999999999993</v>
      </c>
      <c r="N557" s="80">
        <f t="shared" si="17"/>
        <v>70.3</v>
      </c>
      <c r="O557" s="153">
        <v>21.18</v>
      </c>
      <c r="P557" s="153">
        <v>21.09</v>
      </c>
      <c r="Q557" s="153">
        <v>21.13</v>
      </c>
      <c r="R557" s="153">
        <v>21.07</v>
      </c>
      <c r="S557" s="4"/>
      <c r="U557" s="147" t="s">
        <v>634</v>
      </c>
      <c r="V557" s="11"/>
      <c r="W557" s="4"/>
      <c r="X557" s="12"/>
      <c r="Y557" s="14"/>
      <c r="Z557" s="4"/>
      <c r="AA557" s="13"/>
      <c r="AB557" s="11"/>
      <c r="AC557" s="4"/>
      <c r="AD557" s="12"/>
      <c r="AE557" s="13"/>
      <c r="AF557" s="14">
        <v>4.9972000000000003</v>
      </c>
      <c r="AG557" s="133"/>
      <c r="AI557" s="84"/>
      <c r="AL557" s="64">
        <v>4.1727952833333326</v>
      </c>
      <c r="AM557" s="56">
        <v>14.619999999999861</v>
      </c>
      <c r="AN557" s="56">
        <v>16.61999999999999</v>
      </c>
      <c r="AO557" s="62">
        <v>22.839999999999879</v>
      </c>
      <c r="AQ557" s="64">
        <v>4.0822212000000002</v>
      </c>
      <c r="AR557" s="56">
        <v>14.41999999999997</v>
      </c>
      <c r="AS557" s="56">
        <v>15.90000000000007</v>
      </c>
      <c r="AT557" s="62">
        <v>20.05999999999997</v>
      </c>
      <c r="AV557" s="64">
        <v>3.7288996333333331</v>
      </c>
      <c r="AW557" s="56">
        <v>14.00000000000006</v>
      </c>
      <c r="AX557" s="56">
        <v>15.50000000000002</v>
      </c>
      <c r="AY557" s="62">
        <v>20.359999999999982</v>
      </c>
      <c r="BA557" s="64">
        <v>3.1859690833333341</v>
      </c>
      <c r="BB557" s="56">
        <v>16.199999999999989</v>
      </c>
      <c r="BC557" s="56">
        <v>18.679999999999989</v>
      </c>
      <c r="BD557" s="62">
        <v>30.560000000000009</v>
      </c>
      <c r="BF557" s="64">
        <v>2.9244294499999999</v>
      </c>
      <c r="BG557" s="56">
        <v>19.979999999999979</v>
      </c>
      <c r="BH557" s="56">
        <v>26.660000000000039</v>
      </c>
      <c r="BI557" s="62">
        <v>55.400000000000027</v>
      </c>
      <c r="BJ557" s="70"/>
      <c r="BK557" s="51"/>
    </row>
    <row r="558" spans="1:63" x14ac:dyDescent="0.4">
      <c r="A558" s="11" t="s">
        <v>635</v>
      </c>
      <c r="B558" s="4"/>
      <c r="C558" s="4"/>
      <c r="D558" s="4"/>
      <c r="E558" s="12"/>
      <c r="G558" s="147" t="s">
        <v>635</v>
      </c>
      <c r="H558" s="159">
        <v>70.010999999999996</v>
      </c>
      <c r="I558" s="153">
        <v>70.28</v>
      </c>
      <c r="J558" s="153">
        <v>70.27</v>
      </c>
      <c r="K558" s="153">
        <v>70.400000000000006</v>
      </c>
      <c r="L558" s="153">
        <v>70.33</v>
      </c>
      <c r="M558" s="80">
        <f t="shared" si="16"/>
        <v>70.400000000000006</v>
      </c>
      <c r="N558" s="80">
        <f t="shared" si="17"/>
        <v>70.27</v>
      </c>
      <c r="O558" s="153">
        <v>21.19</v>
      </c>
      <c r="P558" s="153">
        <v>21.06</v>
      </c>
      <c r="Q558" s="153">
        <v>21.09</v>
      </c>
      <c r="R558" s="153">
        <v>21.06</v>
      </c>
      <c r="S558" s="4"/>
      <c r="U558" s="147" t="s">
        <v>635</v>
      </c>
      <c r="V558" s="11"/>
      <c r="W558" s="4"/>
      <c r="X558" s="12"/>
      <c r="Y558" s="14"/>
      <c r="Z558" s="4"/>
      <c r="AA558" s="13"/>
      <c r="AB558" s="11"/>
      <c r="AC558" s="4"/>
      <c r="AD558" s="12"/>
      <c r="AE558" s="13"/>
      <c r="AF558" s="14">
        <v>4.9970999999999997</v>
      </c>
      <c r="AG558" s="133"/>
      <c r="AI558" s="84"/>
      <c r="AL558" s="64">
        <v>4.1729058999999999</v>
      </c>
      <c r="AM558" s="56">
        <v>14.460000000000051</v>
      </c>
      <c r="AN558" s="56">
        <v>16.440000000000051</v>
      </c>
      <c r="AO558" s="62">
        <v>22.62000000000004</v>
      </c>
      <c r="AQ558" s="64">
        <v>4.0820807666666656</v>
      </c>
      <c r="AR558" s="56">
        <v>14.279999999999941</v>
      </c>
      <c r="AS558" s="56">
        <v>15.759999999999859</v>
      </c>
      <c r="AT558" s="62">
        <v>19.899999999999899</v>
      </c>
      <c r="AV558" s="64">
        <v>3.7288394666666669</v>
      </c>
      <c r="AW558" s="56">
        <v>13.99999999999997</v>
      </c>
      <c r="AX558" s="56">
        <v>15.479999999999981</v>
      </c>
      <c r="AY558" s="62">
        <v>20.359999999999982</v>
      </c>
      <c r="BA558" s="64">
        <v>3.1849649666666671</v>
      </c>
      <c r="BB558" s="56">
        <v>16.14000000000004</v>
      </c>
      <c r="BC558" s="56">
        <v>18.62000000000004</v>
      </c>
      <c r="BD558" s="62">
        <v>30.52000000000001</v>
      </c>
      <c r="BF558" s="64">
        <v>2.9189242833333342</v>
      </c>
      <c r="BG558" s="56">
        <v>19.960000000000019</v>
      </c>
      <c r="BH558" s="56">
        <v>26.719999999999992</v>
      </c>
      <c r="BI558" s="62">
        <v>56.139999999999993</v>
      </c>
      <c r="BJ558" s="70"/>
      <c r="BK558" s="51"/>
    </row>
    <row r="559" spans="1:63" x14ac:dyDescent="0.4">
      <c r="A559" s="11" t="s">
        <v>636</v>
      </c>
      <c r="B559" s="4"/>
      <c r="C559" s="4"/>
      <c r="D559" s="4"/>
      <c r="E559" s="12"/>
      <c r="G559" s="147" t="s">
        <v>636</v>
      </c>
      <c r="H559" s="159">
        <v>69.953000000000003</v>
      </c>
      <c r="I559" s="153">
        <v>70.319999999999993</v>
      </c>
      <c r="J559" s="153">
        <v>70.36</v>
      </c>
      <c r="K559" s="153">
        <v>70.3</v>
      </c>
      <c r="L559" s="153">
        <v>70.39</v>
      </c>
      <c r="M559" s="80">
        <f t="shared" si="16"/>
        <v>70.39</v>
      </c>
      <c r="N559" s="80">
        <f t="shared" si="17"/>
        <v>70.3</v>
      </c>
      <c r="O559" s="153">
        <v>21.19</v>
      </c>
      <c r="P559" s="153">
        <v>21.08</v>
      </c>
      <c r="Q559" s="153">
        <v>21.12</v>
      </c>
      <c r="R559" s="153">
        <v>21.1</v>
      </c>
      <c r="S559" s="4"/>
      <c r="U559" s="147" t="s">
        <v>636</v>
      </c>
      <c r="V559" s="11"/>
      <c r="W559" s="4"/>
      <c r="X559" s="12"/>
      <c r="Y559" s="14"/>
      <c r="Z559" s="4"/>
      <c r="AA559" s="13"/>
      <c r="AB559" s="11"/>
      <c r="AC559" s="4"/>
      <c r="AD559" s="12"/>
      <c r="AE559" s="13"/>
      <c r="AF559" s="14">
        <v>4.9984000000000002</v>
      </c>
      <c r="AG559" s="133"/>
      <c r="AI559" s="84"/>
      <c r="AL559" s="64">
        <v>4.1721534333333334</v>
      </c>
      <c r="AM559" s="56">
        <v>14.780000000000021</v>
      </c>
      <c r="AN559" s="56">
        <v>16.760000000000019</v>
      </c>
      <c r="AO559" s="62">
        <v>23.040000000000131</v>
      </c>
      <c r="AQ559" s="64">
        <v>4.0818946499999997</v>
      </c>
      <c r="AR559" s="56">
        <v>14.460000000000051</v>
      </c>
      <c r="AS559" s="56">
        <v>15.95999999999993</v>
      </c>
      <c r="AT559" s="62">
        <v>20.14000000000005</v>
      </c>
      <c r="AV559" s="64">
        <v>3.7286364833333341</v>
      </c>
      <c r="AW559" s="56">
        <v>14.03999999999996</v>
      </c>
      <c r="AX559" s="56">
        <v>15.51999999999998</v>
      </c>
      <c r="AY559" s="62">
        <v>20.439999999999969</v>
      </c>
      <c r="BA559" s="64">
        <v>3.1854155</v>
      </c>
      <c r="BB559" s="56">
        <v>16.04000000000001</v>
      </c>
      <c r="BC559" s="56">
        <v>18.480000000000011</v>
      </c>
      <c r="BD559" s="62">
        <v>30.340000000000082</v>
      </c>
      <c r="BF559" s="64">
        <v>2.9231708333333342</v>
      </c>
      <c r="BG559" s="56">
        <v>19.54000000000002</v>
      </c>
      <c r="BH559" s="56">
        <v>26.140000000000011</v>
      </c>
      <c r="BI559" s="62">
        <v>54.84</v>
      </c>
      <c r="BJ559" s="73"/>
      <c r="BK559" s="94"/>
    </row>
    <row r="560" spans="1:63" x14ac:dyDescent="0.4">
      <c r="A560" s="11" t="s">
        <v>637</v>
      </c>
      <c r="B560" s="4"/>
      <c r="C560" s="4"/>
      <c r="D560" s="4"/>
      <c r="E560" s="12"/>
      <c r="G560" s="147" t="s">
        <v>637</v>
      </c>
      <c r="H560" s="159">
        <v>69.944000000000003</v>
      </c>
      <c r="I560" s="153">
        <v>70.37</v>
      </c>
      <c r="J560" s="153">
        <v>70.28</v>
      </c>
      <c r="K560" s="153">
        <v>70.319999999999993</v>
      </c>
      <c r="L560" s="153">
        <v>70.38</v>
      </c>
      <c r="M560" s="80">
        <f t="shared" si="16"/>
        <v>70.38</v>
      </c>
      <c r="N560" s="80">
        <f t="shared" si="17"/>
        <v>70.28</v>
      </c>
      <c r="O560" s="153">
        <v>21.19</v>
      </c>
      <c r="P560" s="153">
        <v>21.1</v>
      </c>
      <c r="Q560" s="153">
        <v>21.11</v>
      </c>
      <c r="R560" s="153">
        <v>21.1</v>
      </c>
      <c r="S560" s="4"/>
      <c r="U560" s="147" t="s">
        <v>637</v>
      </c>
      <c r="V560" s="11"/>
      <c r="W560" s="4"/>
      <c r="X560" s="12"/>
      <c r="Y560" s="14"/>
      <c r="Z560" s="4"/>
      <c r="AA560" s="13"/>
      <c r="AB560" s="11"/>
      <c r="AC560" s="4"/>
      <c r="AD560" s="12"/>
      <c r="AE560" s="13"/>
      <c r="AF560" s="14">
        <v>5.0114999999999998</v>
      </c>
      <c r="AG560" s="133"/>
      <c r="AI560" s="84"/>
      <c r="AL560" s="64">
        <v>4.1723197000000001</v>
      </c>
      <c r="AM560" s="56">
        <v>14.54000000000004</v>
      </c>
      <c r="AN560" s="56">
        <v>16.579999999999909</v>
      </c>
      <c r="AO560" s="62">
        <v>22.84000000000006</v>
      </c>
      <c r="AQ560" s="64">
        <v>4.0834541499999997</v>
      </c>
      <c r="AR560" s="56">
        <v>14.620000000000029</v>
      </c>
      <c r="AS560" s="56">
        <v>16.099999999999959</v>
      </c>
      <c r="AT560" s="62">
        <v>20.29999999999994</v>
      </c>
      <c r="AV560" s="64">
        <v>3.7299125333333332</v>
      </c>
      <c r="AW560" s="56">
        <v>14.25999999999998</v>
      </c>
      <c r="AX560" s="56">
        <v>15.760000000000041</v>
      </c>
      <c r="AY560" s="62">
        <v>20.680000000000032</v>
      </c>
      <c r="BA560" s="64">
        <v>3.1855606666666669</v>
      </c>
      <c r="BB560" s="56">
        <v>16.420000000000009</v>
      </c>
      <c r="BC560" s="56">
        <v>18.919999999999959</v>
      </c>
      <c r="BD560" s="62">
        <v>30.959999999999969</v>
      </c>
      <c r="BF560" s="64">
        <v>2.9239041000000001</v>
      </c>
      <c r="BG560" s="56">
        <v>20.16</v>
      </c>
      <c r="BH560" s="56">
        <v>26.920000000000051</v>
      </c>
      <c r="BI560" s="62">
        <v>56.00000000000005</v>
      </c>
      <c r="BJ560" s="73"/>
      <c r="BK560" s="94"/>
    </row>
    <row r="561" spans="1:63" x14ac:dyDescent="0.4">
      <c r="A561" s="11" t="s">
        <v>638</v>
      </c>
      <c r="B561" s="4"/>
      <c r="C561" s="4"/>
      <c r="D561" s="4"/>
      <c r="E561" s="12"/>
      <c r="G561" s="147" t="s">
        <v>638</v>
      </c>
      <c r="H561" s="159">
        <v>70.066999999999993</v>
      </c>
      <c r="I561" s="153">
        <v>70.39</v>
      </c>
      <c r="J561" s="153">
        <v>70.33</v>
      </c>
      <c r="K561" s="153">
        <v>70.349999999999994</v>
      </c>
      <c r="L561" s="153">
        <v>70.290000000000006</v>
      </c>
      <c r="M561" s="80">
        <f t="shared" si="16"/>
        <v>70.39</v>
      </c>
      <c r="N561" s="80">
        <f t="shared" si="17"/>
        <v>70.290000000000006</v>
      </c>
      <c r="O561" s="153">
        <v>21.16</v>
      </c>
      <c r="P561" s="153">
        <v>21.12</v>
      </c>
      <c r="Q561" s="153">
        <v>21.15</v>
      </c>
      <c r="R561" s="153">
        <v>21.09</v>
      </c>
      <c r="S561" s="4"/>
      <c r="U561" s="147" t="s">
        <v>638</v>
      </c>
      <c r="V561" s="11"/>
      <c r="W561" s="4"/>
      <c r="X561" s="12"/>
      <c r="Y561" s="14"/>
      <c r="Z561" s="4"/>
      <c r="AA561" s="13"/>
      <c r="AB561" s="11"/>
      <c r="AC561" s="4"/>
      <c r="AD561" s="12"/>
      <c r="AE561" s="136"/>
      <c r="AF561" s="14">
        <v>5.0204000000000004</v>
      </c>
      <c r="AG561" s="133"/>
      <c r="AI561" s="84"/>
      <c r="AL561" s="64">
        <v>4.1719875000000002</v>
      </c>
      <c r="AM561" s="56">
        <v>13.999999999999879</v>
      </c>
      <c r="AN561" s="56">
        <v>15.939999999999969</v>
      </c>
      <c r="AO561" s="62">
        <v>21.99999999999989</v>
      </c>
      <c r="AQ561" s="64">
        <v>4.0825526333333331</v>
      </c>
      <c r="AR561" s="56">
        <v>13.700000000000051</v>
      </c>
      <c r="AS561" s="56">
        <v>15.09999999999998</v>
      </c>
      <c r="AT561" s="62">
        <v>19.100000000000069</v>
      </c>
      <c r="AV561" s="64">
        <v>3.7289664999999999</v>
      </c>
      <c r="AW561" s="56">
        <v>13.45999999999998</v>
      </c>
      <c r="AX561" s="56">
        <v>14.87999999999996</v>
      </c>
      <c r="AY561" s="62">
        <v>19.559999999999981</v>
      </c>
      <c r="BA561" s="64">
        <v>3.187981066666667</v>
      </c>
      <c r="BB561" s="56">
        <v>15.81999999999999</v>
      </c>
      <c r="BC561" s="56">
        <v>18.239999999999949</v>
      </c>
      <c r="BD561" s="62">
        <v>29.95999999999999</v>
      </c>
      <c r="BF561" s="64">
        <v>2.926897316666667</v>
      </c>
      <c r="BG561" s="56">
        <v>19.460000000000029</v>
      </c>
      <c r="BH561" s="56">
        <v>25.860000000000039</v>
      </c>
      <c r="BI561" s="62">
        <v>54.08</v>
      </c>
      <c r="BJ561" s="70"/>
      <c r="BK561" s="51"/>
    </row>
    <row r="562" spans="1:63" x14ac:dyDescent="0.4">
      <c r="A562" s="11" t="s">
        <v>639</v>
      </c>
      <c r="B562" s="4"/>
      <c r="C562" s="4"/>
      <c r="D562" s="4"/>
      <c r="E562" s="12"/>
      <c r="G562" s="147" t="s">
        <v>639</v>
      </c>
      <c r="H562" s="159">
        <v>70.08</v>
      </c>
      <c r="I562" s="153">
        <v>70.400000000000006</v>
      </c>
      <c r="J562" s="153">
        <v>70.3</v>
      </c>
      <c r="K562" s="153">
        <v>70.39</v>
      </c>
      <c r="L562" s="153">
        <v>70.349999999999994</v>
      </c>
      <c r="M562" s="80">
        <f t="shared" si="16"/>
        <v>70.400000000000006</v>
      </c>
      <c r="N562" s="80">
        <f t="shared" si="17"/>
        <v>70.3</v>
      </c>
      <c r="O562" s="153">
        <v>21.16</v>
      </c>
      <c r="P562" s="153">
        <v>21.07</v>
      </c>
      <c r="Q562" s="153">
        <v>21.15</v>
      </c>
      <c r="R562" s="153">
        <v>21.02</v>
      </c>
      <c r="S562" s="4"/>
      <c r="U562" s="147" t="s">
        <v>639</v>
      </c>
      <c r="V562" s="11"/>
      <c r="W562" s="4"/>
      <c r="X562" s="12"/>
      <c r="Y562" s="14"/>
      <c r="Z562" s="4"/>
      <c r="AA562" s="13"/>
      <c r="AB562" s="11"/>
      <c r="AC562" s="4"/>
      <c r="AD562" s="12"/>
      <c r="AE562" s="136"/>
      <c r="AF562" s="14">
        <v>5.0362</v>
      </c>
      <c r="AG562" s="133"/>
      <c r="AI562" s="84"/>
      <c r="AL562" s="64">
        <v>4.1722535000000001</v>
      </c>
      <c r="AM562" s="56">
        <v>13.940000000000021</v>
      </c>
      <c r="AN562" s="56">
        <v>15.859999999999991</v>
      </c>
      <c r="AO562" s="62">
        <v>21.900000000000119</v>
      </c>
      <c r="AQ562" s="64">
        <v>4.0798252499999998</v>
      </c>
      <c r="AR562" s="56">
        <v>13.320000000000039</v>
      </c>
      <c r="AS562" s="56">
        <v>14.700000000000021</v>
      </c>
      <c r="AT562" s="62">
        <v>18.640000000000079</v>
      </c>
      <c r="AV562" s="64">
        <v>3.726608866666667</v>
      </c>
      <c r="AW562" s="56">
        <v>13.02000000000003</v>
      </c>
      <c r="AX562" s="56">
        <v>14.400000000000009</v>
      </c>
      <c r="AY562" s="62">
        <v>19.000000000000039</v>
      </c>
      <c r="BA562" s="64">
        <v>3.1897708833333329</v>
      </c>
      <c r="BB562" s="56">
        <v>15.120000000000021</v>
      </c>
      <c r="BC562" s="56">
        <v>17.419999999999991</v>
      </c>
      <c r="BD562" s="62">
        <v>28.800000000000029</v>
      </c>
      <c r="BF562" s="64">
        <v>2.9254693500000002</v>
      </c>
      <c r="BG562" s="56">
        <v>18.679999999999989</v>
      </c>
      <c r="BH562" s="56">
        <v>25.059999999999949</v>
      </c>
      <c r="BI562" s="62">
        <v>52.919999999999938</v>
      </c>
      <c r="BJ562" s="70"/>
      <c r="BK562" s="51"/>
    </row>
    <row r="563" spans="1:63" x14ac:dyDescent="0.4">
      <c r="A563" s="11" t="s">
        <v>640</v>
      </c>
      <c r="B563" s="4"/>
      <c r="C563" s="4"/>
      <c r="D563" s="4"/>
      <c r="E563" s="12"/>
      <c r="G563" s="147" t="s">
        <v>640</v>
      </c>
      <c r="H563" s="159">
        <v>70.001999999999995</v>
      </c>
      <c r="I563" s="153">
        <v>70.349999999999994</v>
      </c>
      <c r="J563" s="153">
        <v>70.34</v>
      </c>
      <c r="K563" s="153">
        <v>70.3</v>
      </c>
      <c r="L563" s="153">
        <v>70.290000000000006</v>
      </c>
      <c r="M563" s="80">
        <f t="shared" si="16"/>
        <v>70.349999999999994</v>
      </c>
      <c r="N563" s="80">
        <f t="shared" si="17"/>
        <v>70.290000000000006</v>
      </c>
      <c r="O563" s="153">
        <v>21.2</v>
      </c>
      <c r="P563" s="153">
        <v>21.13</v>
      </c>
      <c r="Q563" s="153">
        <v>21.13</v>
      </c>
      <c r="R563" s="153">
        <v>21.09</v>
      </c>
      <c r="S563" s="4"/>
      <c r="U563" s="147" t="s">
        <v>640</v>
      </c>
      <c r="V563" s="11"/>
      <c r="W563" s="4"/>
      <c r="X563" s="12"/>
      <c r="Y563" s="14"/>
      <c r="Z563" s="4"/>
      <c r="AA563" s="13"/>
      <c r="AB563" s="11"/>
      <c r="AC563" s="4"/>
      <c r="AD563" s="12"/>
      <c r="AE563" s="13"/>
      <c r="AF563" s="14">
        <v>5.0223000000000004</v>
      </c>
      <c r="AG563" s="133"/>
      <c r="AI563" s="84"/>
      <c r="AL563" s="64">
        <v>4.1719941</v>
      </c>
      <c r="AM563" s="56">
        <v>13.999999999999879</v>
      </c>
      <c r="AN563" s="56">
        <v>15.87999999999994</v>
      </c>
      <c r="AO563" s="62">
        <v>21.95999999999998</v>
      </c>
      <c r="AQ563" s="64">
        <v>4.0815830166666673</v>
      </c>
      <c r="AR563" s="56">
        <v>13.57999999999997</v>
      </c>
      <c r="AS563" s="56">
        <v>14.959999999999949</v>
      </c>
      <c r="AT563" s="62">
        <v>18.919999999999959</v>
      </c>
      <c r="AV563" s="64">
        <v>3.7293455</v>
      </c>
      <c r="AW563" s="56">
        <v>13.280000000000051</v>
      </c>
      <c r="AX563" s="56">
        <v>14.67999999999998</v>
      </c>
      <c r="AY563" s="62">
        <v>19.34000000000005</v>
      </c>
      <c r="BA563" s="64">
        <v>3.1959350500000001</v>
      </c>
      <c r="BB563" s="56">
        <v>15.479999999999981</v>
      </c>
      <c r="BC563" s="56">
        <v>17.760000000000002</v>
      </c>
      <c r="BD563" s="62">
        <v>29</v>
      </c>
      <c r="BF563" s="64">
        <v>2.923450966666667</v>
      </c>
      <c r="BG563" s="56">
        <v>19.280000000000008</v>
      </c>
      <c r="BH563" s="56">
        <v>25.539999999999981</v>
      </c>
      <c r="BI563" s="62">
        <v>53.719999999999949</v>
      </c>
      <c r="BJ563" s="70"/>
      <c r="BK563" s="51"/>
    </row>
    <row r="564" spans="1:63" x14ac:dyDescent="0.4">
      <c r="A564" s="11" t="s">
        <v>641</v>
      </c>
      <c r="B564" s="4"/>
      <c r="C564" s="4"/>
      <c r="D564" s="4"/>
      <c r="E564" s="12"/>
      <c r="G564" s="147" t="s">
        <v>641</v>
      </c>
      <c r="H564" s="159">
        <v>70.084000000000003</v>
      </c>
      <c r="I564" s="153">
        <v>70.3</v>
      </c>
      <c r="J564" s="153">
        <v>70.290000000000006</v>
      </c>
      <c r="K564" s="153">
        <v>70.37</v>
      </c>
      <c r="L564" s="153">
        <v>70.319999999999993</v>
      </c>
      <c r="M564" s="80">
        <f t="shared" si="16"/>
        <v>70.37</v>
      </c>
      <c r="N564" s="80">
        <f t="shared" si="17"/>
        <v>70.290000000000006</v>
      </c>
      <c r="O564" s="153">
        <v>21.17</v>
      </c>
      <c r="P564" s="153">
        <v>21.02</v>
      </c>
      <c r="Q564" s="153">
        <v>21.12</v>
      </c>
      <c r="R564" s="153">
        <v>21.1</v>
      </c>
      <c r="S564" s="4"/>
      <c r="U564" s="147" t="s">
        <v>641</v>
      </c>
      <c r="V564" s="11"/>
      <c r="W564" s="4"/>
      <c r="X564" s="12"/>
      <c r="Y564" s="14"/>
      <c r="Z564" s="4"/>
      <c r="AA564" s="13"/>
      <c r="AB564" s="11"/>
      <c r="AC564" s="4"/>
      <c r="AD564" s="12"/>
      <c r="AE564" s="13"/>
      <c r="AF564" s="14">
        <v>5.0217999999999998</v>
      </c>
      <c r="AG564" s="133"/>
      <c r="AI564" s="84"/>
      <c r="AL564" s="64">
        <v>4.172171183333333</v>
      </c>
      <c r="AM564" s="56">
        <v>14.33999999999997</v>
      </c>
      <c r="AN564" s="56">
        <v>16.260000000000119</v>
      </c>
      <c r="AO564" s="62">
        <v>22.339999999999979</v>
      </c>
      <c r="AQ564" s="64">
        <v>4.0792181500000009</v>
      </c>
      <c r="AR564" s="56">
        <v>13.46000000000007</v>
      </c>
      <c r="AS564" s="56">
        <v>14.81999999999992</v>
      </c>
      <c r="AT564" s="62">
        <v>18.799999999999969</v>
      </c>
      <c r="AV564" s="64">
        <v>3.7271443999999989</v>
      </c>
      <c r="AW564" s="56">
        <v>13.03999999999998</v>
      </c>
      <c r="AX564" s="56">
        <v>14.41999999999997</v>
      </c>
      <c r="AY564" s="62">
        <v>19.019999999999989</v>
      </c>
      <c r="BA564" s="64">
        <v>3.1894122833333332</v>
      </c>
      <c r="BB564" s="56">
        <v>15.040000000000029</v>
      </c>
      <c r="BC564" s="56">
        <v>17.360000000000039</v>
      </c>
      <c r="BD564" s="62">
        <v>28.66</v>
      </c>
      <c r="BF564" s="64">
        <v>2.92379715</v>
      </c>
      <c r="BG564" s="56">
        <v>18.820000000000011</v>
      </c>
      <c r="BH564" s="56">
        <v>25.520000000000032</v>
      </c>
      <c r="BI564" s="62">
        <v>54.300000000000011</v>
      </c>
      <c r="BJ564" s="70"/>
      <c r="BK564" s="51"/>
    </row>
    <row r="565" spans="1:63" x14ac:dyDescent="0.4">
      <c r="A565" s="11" t="s">
        <v>642</v>
      </c>
      <c r="B565" s="4"/>
      <c r="C565" s="4"/>
      <c r="D565" s="4"/>
      <c r="E565" s="12"/>
      <c r="G565" s="147" t="s">
        <v>642</v>
      </c>
      <c r="H565" s="159">
        <v>69.998000000000005</v>
      </c>
      <c r="I565" s="153">
        <v>70.28</v>
      </c>
      <c r="J565" s="153">
        <v>70.400000000000006</v>
      </c>
      <c r="K565" s="153">
        <v>70.38</v>
      </c>
      <c r="L565" s="153">
        <v>70.39</v>
      </c>
      <c r="M565" s="80">
        <f t="shared" si="16"/>
        <v>70.400000000000006</v>
      </c>
      <c r="N565" s="80">
        <f t="shared" si="17"/>
        <v>70.28</v>
      </c>
      <c r="O565" s="153">
        <v>21.09</v>
      </c>
      <c r="P565" s="153">
        <v>21.14</v>
      </c>
      <c r="Q565" s="153">
        <v>21.11</v>
      </c>
      <c r="R565" s="153">
        <v>21.02</v>
      </c>
      <c r="S565" s="4"/>
      <c r="U565" s="147" t="s">
        <v>642</v>
      </c>
      <c r="V565" s="11"/>
      <c r="W565" s="4"/>
      <c r="X565" s="12"/>
      <c r="Y565" s="14"/>
      <c r="Z565" s="4"/>
      <c r="AA565" s="13"/>
      <c r="AB565" s="11"/>
      <c r="AC565" s="4"/>
      <c r="AD565" s="12"/>
      <c r="AE565" s="13"/>
      <c r="AF565" s="14">
        <v>4.9997999999999996</v>
      </c>
      <c r="AG565" s="133"/>
      <c r="AI565" s="84"/>
      <c r="AL565" s="64">
        <v>4.1719333999999986</v>
      </c>
      <c r="AM565" s="56">
        <v>13.86000000000003</v>
      </c>
      <c r="AN565" s="56">
        <v>15.760000000000041</v>
      </c>
      <c r="AO565" s="62">
        <v>21.78000000000004</v>
      </c>
      <c r="AQ565" s="64">
        <v>4.0808111499999988</v>
      </c>
      <c r="AR565" s="56">
        <v>13.34</v>
      </c>
      <c r="AS565" s="56">
        <v>14.700000000000021</v>
      </c>
      <c r="AT565" s="62">
        <v>18.63999999999999</v>
      </c>
      <c r="AV565" s="64">
        <v>3.7271357499999991</v>
      </c>
      <c r="AW565" s="56">
        <v>13.03999999999998</v>
      </c>
      <c r="AX565" s="56">
        <v>14.44000000000001</v>
      </c>
      <c r="AY565" s="62">
        <v>19.059999999999992</v>
      </c>
      <c r="BA565" s="64">
        <v>3.1896803999999999</v>
      </c>
      <c r="BB565" s="56">
        <v>15.259999999999961</v>
      </c>
      <c r="BC565" s="56">
        <v>17.600000000000019</v>
      </c>
      <c r="BD565" s="62">
        <v>29.04</v>
      </c>
      <c r="BF565" s="64">
        <v>2.9313606499999998</v>
      </c>
      <c r="BG565" s="56">
        <v>18.75999999999998</v>
      </c>
      <c r="BH565" s="56">
        <v>25.140000000000029</v>
      </c>
      <c r="BI565" s="62">
        <v>52.70000000000001</v>
      </c>
      <c r="BJ565" s="70"/>
      <c r="BK565" s="51"/>
    </row>
    <row r="566" spans="1:63" x14ac:dyDescent="0.4">
      <c r="A566" s="11" t="s">
        <v>643</v>
      </c>
      <c r="B566" s="4"/>
      <c r="C566" s="4"/>
      <c r="D566" s="4"/>
      <c r="E566" s="12"/>
      <c r="G566" s="147" t="s">
        <v>643</v>
      </c>
      <c r="H566" s="159">
        <v>69.959999999999994</v>
      </c>
      <c r="I566" s="153">
        <v>70.400000000000006</v>
      </c>
      <c r="J566" s="153">
        <v>70.290000000000006</v>
      </c>
      <c r="K566" s="153">
        <v>70.319999999999993</v>
      </c>
      <c r="L566" s="153">
        <v>70.37</v>
      </c>
      <c r="M566" s="80">
        <f t="shared" si="16"/>
        <v>70.400000000000006</v>
      </c>
      <c r="N566" s="80">
        <f t="shared" si="17"/>
        <v>70.290000000000006</v>
      </c>
      <c r="O566" s="153">
        <v>21.18</v>
      </c>
      <c r="P566" s="153">
        <v>21.16</v>
      </c>
      <c r="Q566" s="153">
        <v>21.12</v>
      </c>
      <c r="R566" s="153">
        <v>21.01</v>
      </c>
      <c r="S566" s="4"/>
      <c r="U566" s="147" t="s">
        <v>643</v>
      </c>
      <c r="V566" s="11"/>
      <c r="W566" s="4"/>
      <c r="X566" s="12"/>
      <c r="Y566" s="14"/>
      <c r="Z566" s="4"/>
      <c r="AA566" s="13"/>
      <c r="AB566" s="11"/>
      <c r="AC566" s="4"/>
      <c r="AD566" s="12"/>
      <c r="AE566" s="13"/>
      <c r="AF566" s="14">
        <v>4.9981</v>
      </c>
      <c r="AG566" s="133"/>
      <c r="AI566" s="84"/>
      <c r="AL566" s="64">
        <v>4.172106883333333</v>
      </c>
      <c r="AM566" s="56">
        <v>15.240000000000011</v>
      </c>
      <c r="AN566" s="56">
        <v>17.280000000000051</v>
      </c>
      <c r="AO566" s="62">
        <v>23.600000000000069</v>
      </c>
      <c r="AQ566" s="64">
        <v>4.0819006166666663</v>
      </c>
      <c r="AR566" s="56">
        <v>14.920000000000041</v>
      </c>
      <c r="AS566" s="56">
        <v>16.420000000000009</v>
      </c>
      <c r="AT566" s="62">
        <v>20.659999999999989</v>
      </c>
      <c r="AV566" s="64">
        <v>3.728589383333333</v>
      </c>
      <c r="AW566" s="56">
        <v>14.52</v>
      </c>
      <c r="AX566" s="56">
        <v>16.019999999999971</v>
      </c>
      <c r="AY566" s="62">
        <v>20.96</v>
      </c>
      <c r="BA566" s="64">
        <v>3.185823683333334</v>
      </c>
      <c r="BB566" s="56">
        <v>16.48000000000005</v>
      </c>
      <c r="BC566" s="56">
        <v>18.96000000000004</v>
      </c>
      <c r="BD566" s="62">
        <v>30.880000000000059</v>
      </c>
      <c r="BF566" s="64">
        <v>2.926899033333334</v>
      </c>
      <c r="BG566" s="56">
        <v>20.180000000000039</v>
      </c>
      <c r="BH566" s="56">
        <v>26.960000000000051</v>
      </c>
      <c r="BI566" s="62">
        <v>55.660000000000039</v>
      </c>
      <c r="BJ566" s="70"/>
      <c r="BK566" s="51"/>
    </row>
    <row r="567" spans="1:63" x14ac:dyDescent="0.4">
      <c r="A567" s="11" t="s">
        <v>644</v>
      </c>
      <c r="B567" s="4"/>
      <c r="C567" s="4"/>
      <c r="D567" s="4"/>
      <c r="E567" s="12"/>
      <c r="G567" s="147" t="s">
        <v>644</v>
      </c>
      <c r="H567" s="159">
        <v>69.971999999999994</v>
      </c>
      <c r="I567" s="153">
        <v>70.36</v>
      </c>
      <c r="J567" s="153">
        <v>70.290000000000006</v>
      </c>
      <c r="K567" s="153">
        <v>70.38</v>
      </c>
      <c r="L567" s="153">
        <v>70.3</v>
      </c>
      <c r="M567" s="80">
        <f t="shared" si="16"/>
        <v>70.38</v>
      </c>
      <c r="N567" s="80">
        <f t="shared" si="17"/>
        <v>70.290000000000006</v>
      </c>
      <c r="O567" s="153">
        <v>21.19</v>
      </c>
      <c r="P567" s="153">
        <v>21</v>
      </c>
      <c r="Q567" s="153">
        <v>21.12</v>
      </c>
      <c r="R567" s="153">
        <v>21.1</v>
      </c>
      <c r="S567" s="4"/>
      <c r="U567" s="147" t="s">
        <v>644</v>
      </c>
      <c r="V567" s="11"/>
      <c r="W567" s="4"/>
      <c r="X567" s="12"/>
      <c r="Y567" s="14"/>
      <c r="Z567" s="4"/>
      <c r="AA567" s="13"/>
      <c r="AB567" s="11"/>
      <c r="AC567" s="4"/>
      <c r="AD567" s="12"/>
      <c r="AE567" s="13"/>
      <c r="AF567" s="14">
        <v>5.0022000000000002</v>
      </c>
      <c r="AG567" s="133"/>
      <c r="AI567" s="84"/>
      <c r="AL567" s="64">
        <v>4.1718734166666662</v>
      </c>
      <c r="AM567" s="56">
        <v>15.63999999999997</v>
      </c>
      <c r="AN567" s="56">
        <v>17.69999999999996</v>
      </c>
      <c r="AO567" s="62">
        <v>23.980000000000071</v>
      </c>
      <c r="AQ567" s="64">
        <v>4.0800420500000003</v>
      </c>
      <c r="AR567" s="56">
        <v>14.87999999999996</v>
      </c>
      <c r="AS567" s="56">
        <v>16.39999999999997</v>
      </c>
      <c r="AT567" s="62">
        <v>20.639999999999951</v>
      </c>
      <c r="AV567" s="64">
        <v>3.726173433333333</v>
      </c>
      <c r="AW567" s="56">
        <v>14.50000000000005</v>
      </c>
      <c r="AX567" s="56">
        <v>16.02000000000006</v>
      </c>
      <c r="AY567" s="62">
        <v>20.98000000000004</v>
      </c>
      <c r="BA567" s="64">
        <v>3.181861033333333</v>
      </c>
      <c r="BB567" s="56">
        <v>16.54</v>
      </c>
      <c r="BC567" s="56">
        <v>19.039999999999949</v>
      </c>
      <c r="BD567" s="62">
        <v>30.999999999999961</v>
      </c>
      <c r="BF567" s="64">
        <v>2.9226210333333329</v>
      </c>
      <c r="BG567" s="56">
        <v>20.340000000000021</v>
      </c>
      <c r="BH567" s="56">
        <v>27.02</v>
      </c>
      <c r="BI567" s="62">
        <v>55.759999999999991</v>
      </c>
      <c r="BJ567" s="70"/>
      <c r="BK567" s="51"/>
    </row>
    <row r="568" spans="1:63" x14ac:dyDescent="0.4">
      <c r="A568" s="11" t="s">
        <v>645</v>
      </c>
      <c r="B568" s="4"/>
      <c r="C568" s="4"/>
      <c r="D568" s="4"/>
      <c r="E568" s="12"/>
      <c r="G568" s="147" t="s">
        <v>645</v>
      </c>
      <c r="H568" s="159">
        <v>69.975999999999999</v>
      </c>
      <c r="I568" s="153">
        <v>70.3</v>
      </c>
      <c r="J568" s="153">
        <v>70.34</v>
      </c>
      <c r="K568" s="153">
        <v>70.349999999999994</v>
      </c>
      <c r="L568" s="153">
        <v>70.349999999999994</v>
      </c>
      <c r="M568" s="80">
        <f t="shared" si="16"/>
        <v>70.349999999999994</v>
      </c>
      <c r="N568" s="80">
        <f t="shared" si="17"/>
        <v>70.3</v>
      </c>
      <c r="O568" s="153">
        <v>21.18</v>
      </c>
      <c r="P568" s="153">
        <v>21.07</v>
      </c>
      <c r="Q568" s="153">
        <v>21.14</v>
      </c>
      <c r="R568" s="153">
        <v>21.04</v>
      </c>
      <c r="S568" s="4"/>
      <c r="U568" s="147" t="s">
        <v>645</v>
      </c>
      <c r="V568" s="11"/>
      <c r="W568" s="4"/>
      <c r="X568" s="12"/>
      <c r="Y568" s="14"/>
      <c r="Z568" s="4"/>
      <c r="AA568" s="13"/>
      <c r="AB568" s="11"/>
      <c r="AC568" s="4"/>
      <c r="AD568" s="12"/>
      <c r="AE568" s="13"/>
      <c r="AF568" s="14">
        <v>4.9946999999999999</v>
      </c>
      <c r="AG568" s="133"/>
      <c r="AI568" s="84"/>
      <c r="AL568" s="64">
        <v>4.1715654166666667</v>
      </c>
      <c r="AM568" s="56">
        <v>15.16000000000002</v>
      </c>
      <c r="AN568" s="56">
        <v>17.22000000000001</v>
      </c>
      <c r="AO568" s="62">
        <v>23.49999999999994</v>
      </c>
      <c r="AQ568" s="64">
        <v>4.0828323833333329</v>
      </c>
      <c r="AR568" s="56">
        <v>14.900000000000089</v>
      </c>
      <c r="AS568" s="56">
        <v>16.400000000000151</v>
      </c>
      <c r="AT568" s="62">
        <v>20.660000000000078</v>
      </c>
      <c r="AV568" s="64">
        <v>3.729379616666666</v>
      </c>
      <c r="AW568" s="56">
        <v>14.44000000000001</v>
      </c>
      <c r="AX568" s="56">
        <v>15.939999999999969</v>
      </c>
      <c r="AY568" s="62">
        <v>20.88000000000001</v>
      </c>
      <c r="BA568" s="64">
        <v>3.1871034499999999</v>
      </c>
      <c r="BB568" s="56">
        <v>16.38000000000002</v>
      </c>
      <c r="BC568" s="56">
        <v>18.880000000000049</v>
      </c>
      <c r="BD568" s="62">
        <v>30.800000000000072</v>
      </c>
      <c r="BF568" s="64">
        <v>2.9246150333333341</v>
      </c>
      <c r="BG568" s="56">
        <v>20.119999999999919</v>
      </c>
      <c r="BH568" s="56">
        <v>26.779999999999941</v>
      </c>
      <c r="BI568" s="62">
        <v>55.559999999999917</v>
      </c>
      <c r="BJ568" s="70"/>
      <c r="BK568" s="51"/>
    </row>
    <row r="569" spans="1:63" x14ac:dyDescent="0.4">
      <c r="A569" s="11" t="s">
        <v>646</v>
      </c>
      <c r="B569" s="4"/>
      <c r="C569" s="4"/>
      <c r="D569" s="4"/>
      <c r="E569" s="12"/>
      <c r="G569" s="147" t="s">
        <v>646</v>
      </c>
      <c r="H569" s="159">
        <v>69.944999999999993</v>
      </c>
      <c r="I569" s="153">
        <v>70.28</v>
      </c>
      <c r="J569" s="153">
        <v>70.38</v>
      </c>
      <c r="K569" s="153">
        <v>70.3</v>
      </c>
      <c r="L569" s="153">
        <v>70.290000000000006</v>
      </c>
      <c r="M569" s="80">
        <f t="shared" si="16"/>
        <v>70.38</v>
      </c>
      <c r="N569" s="80">
        <f t="shared" si="17"/>
        <v>70.28</v>
      </c>
      <c r="O569" s="153">
        <v>21.22</v>
      </c>
      <c r="P569" s="153">
        <v>21.05</v>
      </c>
      <c r="Q569" s="153">
        <v>21.15</v>
      </c>
      <c r="R569" s="153">
        <v>21.08</v>
      </c>
      <c r="S569" s="4"/>
      <c r="U569" s="147" t="s">
        <v>646</v>
      </c>
      <c r="V569" s="11"/>
      <c r="W569" s="4"/>
      <c r="X569" s="12"/>
      <c r="Y569" s="14"/>
      <c r="Z569" s="4"/>
      <c r="AA569" s="13"/>
      <c r="AB569" s="11"/>
      <c r="AC569" s="4"/>
      <c r="AD569" s="12"/>
      <c r="AE569" s="13"/>
      <c r="AF569" s="14">
        <v>4.9931000000000001</v>
      </c>
      <c r="AG569" s="133"/>
      <c r="AI569" s="84"/>
      <c r="AL569" s="64">
        <v>4.1717320833333327</v>
      </c>
      <c r="AM569" s="56">
        <v>14.47999999999983</v>
      </c>
      <c r="AN569" s="56">
        <v>16.45999999999983</v>
      </c>
      <c r="AO569" s="62">
        <v>22.739999999999942</v>
      </c>
      <c r="AQ569" s="64">
        <v>4.0830601166666671</v>
      </c>
      <c r="AR569" s="56">
        <v>14.380000000000059</v>
      </c>
      <c r="AS569" s="56">
        <v>15.859999999999991</v>
      </c>
      <c r="AT569" s="62">
        <v>20.05999999999997</v>
      </c>
      <c r="AV569" s="64">
        <v>3.7293230333333329</v>
      </c>
      <c r="AW569" s="56">
        <v>14.02000000000001</v>
      </c>
      <c r="AX569" s="56">
        <v>15.50000000000002</v>
      </c>
      <c r="AY569" s="62">
        <v>20.39999999999997</v>
      </c>
      <c r="BA569" s="64">
        <v>3.184673416666667</v>
      </c>
      <c r="BB569" s="56">
        <v>16.039999999999921</v>
      </c>
      <c r="BC569" s="56">
        <v>18.499999999999961</v>
      </c>
      <c r="BD569" s="62">
        <v>30.45999999999998</v>
      </c>
      <c r="BF569" s="64">
        <v>2.9239018666666672</v>
      </c>
      <c r="BG569" s="56">
        <v>19.70000000000001</v>
      </c>
      <c r="BH569" s="56">
        <v>26.240000000000041</v>
      </c>
      <c r="BI569" s="62">
        <v>55.020000000000017</v>
      </c>
      <c r="BJ569" s="70"/>
      <c r="BK569" s="51"/>
    </row>
    <row r="570" spans="1:63" x14ac:dyDescent="0.4">
      <c r="A570" s="11" t="s">
        <v>647</v>
      </c>
      <c r="B570" s="4"/>
      <c r="C570" s="4"/>
      <c r="D570" s="4"/>
      <c r="E570" s="12"/>
      <c r="G570" s="147" t="s">
        <v>647</v>
      </c>
      <c r="H570" s="159">
        <v>70.007999999999996</v>
      </c>
      <c r="I570" s="153">
        <v>70.39</v>
      </c>
      <c r="J570" s="153">
        <v>70.39</v>
      </c>
      <c r="K570" s="153">
        <v>70.38</v>
      </c>
      <c r="L570" s="153">
        <v>70.38</v>
      </c>
      <c r="M570" s="80">
        <f t="shared" si="16"/>
        <v>70.39</v>
      </c>
      <c r="N570" s="80">
        <f t="shared" si="17"/>
        <v>70.38</v>
      </c>
      <c r="O570" s="153">
        <v>21.14</v>
      </c>
      <c r="P570" s="153">
        <v>21.03</v>
      </c>
      <c r="Q570" s="153">
        <v>21.1</v>
      </c>
      <c r="R570" s="153">
        <v>21.08</v>
      </c>
      <c r="S570" s="4"/>
      <c r="U570" s="147" t="s">
        <v>647</v>
      </c>
      <c r="V570" s="11"/>
      <c r="W570" s="4"/>
      <c r="X570" s="12"/>
      <c r="Y570" s="14"/>
      <c r="Z570" s="4"/>
      <c r="AA570" s="13"/>
      <c r="AB570" s="11"/>
      <c r="AC570" s="4"/>
      <c r="AD570" s="12"/>
      <c r="AE570" s="13"/>
      <c r="AF570" s="14">
        <v>5.0087999999999999</v>
      </c>
      <c r="AG570" s="133"/>
      <c r="AI570" s="84"/>
      <c r="AL570" s="64">
        <v>4.1717157833333331</v>
      </c>
      <c r="AM570" s="56">
        <v>14.979999999999899</v>
      </c>
      <c r="AN570" s="56">
        <v>16.999999999999989</v>
      </c>
      <c r="AO570" s="62">
        <v>23.29999999999988</v>
      </c>
      <c r="AQ570" s="64">
        <v>4.0820277166666674</v>
      </c>
      <c r="AR570" s="56">
        <v>14.619999999999861</v>
      </c>
      <c r="AS570" s="56">
        <v>16.139999999999869</v>
      </c>
      <c r="AT570" s="62">
        <v>20.399999999999881</v>
      </c>
      <c r="AV570" s="64">
        <v>3.7282229166666672</v>
      </c>
      <c r="AW570" s="56">
        <v>14.24000000000003</v>
      </c>
      <c r="AX570" s="56">
        <v>15.74</v>
      </c>
      <c r="AY570" s="62">
        <v>20.680000000000032</v>
      </c>
      <c r="BA570" s="64">
        <v>3.1839265000000001</v>
      </c>
      <c r="BB570" s="56">
        <v>16.26000000000003</v>
      </c>
      <c r="BC570" s="56">
        <v>18.780000000000019</v>
      </c>
      <c r="BD570" s="62">
        <v>30.799999999999979</v>
      </c>
      <c r="BF570" s="64">
        <v>2.9247846833333329</v>
      </c>
      <c r="BG570" s="56">
        <v>20.119999999999919</v>
      </c>
      <c r="BH570" s="56">
        <v>26.739999999999942</v>
      </c>
      <c r="BI570" s="62">
        <v>55.499999999999972</v>
      </c>
      <c r="BJ570" s="70"/>
      <c r="BK570" s="51"/>
    </row>
    <row r="571" spans="1:63" x14ac:dyDescent="0.4">
      <c r="A571" s="11" t="s">
        <v>648</v>
      </c>
      <c r="B571" s="4"/>
      <c r="C571" s="4"/>
      <c r="D571" s="4"/>
      <c r="E571" s="12"/>
      <c r="G571" s="147" t="s">
        <v>648</v>
      </c>
      <c r="H571" s="159">
        <v>70.009</v>
      </c>
      <c r="I571" s="153">
        <v>70.36</v>
      </c>
      <c r="J571" s="153">
        <v>70.34</v>
      </c>
      <c r="K571" s="153">
        <v>70.28</v>
      </c>
      <c r="L571" s="153">
        <v>70.319999999999993</v>
      </c>
      <c r="M571" s="80">
        <f t="shared" si="16"/>
        <v>70.36</v>
      </c>
      <c r="N571" s="80">
        <f t="shared" si="17"/>
        <v>70.28</v>
      </c>
      <c r="O571" s="153">
        <v>21.19</v>
      </c>
      <c r="P571" s="153">
        <v>21.06</v>
      </c>
      <c r="Q571" s="153">
        <v>21.14</v>
      </c>
      <c r="R571" s="153">
        <v>21.07</v>
      </c>
      <c r="S571" s="4"/>
      <c r="U571" s="147" t="s">
        <v>648</v>
      </c>
      <c r="V571" s="11"/>
      <c r="W571" s="4"/>
      <c r="X571" s="12"/>
      <c r="Y571" s="14"/>
      <c r="Z571" s="4"/>
      <c r="AA571" s="13"/>
      <c r="AB571" s="11"/>
      <c r="AC571" s="4"/>
      <c r="AD571" s="12"/>
      <c r="AE571" s="13"/>
      <c r="AF571" s="14">
        <v>5.0175999999999998</v>
      </c>
      <c r="AG571" s="133"/>
      <c r="AI571" s="84"/>
      <c r="AL571" s="64">
        <v>4.1717081166666663</v>
      </c>
      <c r="AM571" s="56">
        <v>13.899999999999929</v>
      </c>
      <c r="AN571" s="56">
        <v>15.78</v>
      </c>
      <c r="AO571" s="62">
        <v>21.8399999999999</v>
      </c>
      <c r="AQ571" s="64">
        <v>4.0818413333333341</v>
      </c>
      <c r="AR571" s="56">
        <v>13.419999999999989</v>
      </c>
      <c r="AS571" s="56">
        <v>14.8200000000001</v>
      </c>
      <c r="AT571" s="62">
        <v>18.800000000000061</v>
      </c>
      <c r="AV571" s="64">
        <v>3.7279712333333341</v>
      </c>
      <c r="AW571" s="56">
        <v>13.12000000000006</v>
      </c>
      <c r="AX571" s="56">
        <v>14.50000000000005</v>
      </c>
      <c r="AY571" s="62">
        <v>19.160000000000021</v>
      </c>
      <c r="BA571" s="64">
        <v>3.1874974333333328</v>
      </c>
      <c r="BB571" s="56">
        <v>15.28</v>
      </c>
      <c r="BC571" s="56">
        <v>17.600000000000019</v>
      </c>
      <c r="BD571" s="62">
        <v>29.22000000000002</v>
      </c>
      <c r="BF571" s="64">
        <v>2.9312064000000002</v>
      </c>
      <c r="BG571" s="56">
        <v>18.86000000000001</v>
      </c>
      <c r="BH571" s="56">
        <v>25.060000000000041</v>
      </c>
      <c r="BI571" s="62">
        <v>52.720000000000063</v>
      </c>
      <c r="BJ571" s="70"/>
      <c r="BK571" s="51"/>
    </row>
    <row r="572" spans="1:63" x14ac:dyDescent="0.4">
      <c r="A572" s="11" t="s">
        <v>649</v>
      </c>
      <c r="B572" s="4"/>
      <c r="C572" s="4"/>
      <c r="D572" s="4"/>
      <c r="E572" s="12"/>
      <c r="G572" s="147" t="s">
        <v>649</v>
      </c>
      <c r="H572" s="159">
        <v>70.007999999999996</v>
      </c>
      <c r="I572" s="153">
        <v>70.319999999999993</v>
      </c>
      <c r="J572" s="153">
        <v>70.3</v>
      </c>
      <c r="K572" s="153">
        <v>70.36</v>
      </c>
      <c r="L572" s="153">
        <v>70.33</v>
      </c>
      <c r="M572" s="80">
        <f t="shared" si="16"/>
        <v>70.36</v>
      </c>
      <c r="N572" s="80">
        <f t="shared" si="17"/>
        <v>70.3</v>
      </c>
      <c r="O572" s="153">
        <v>21.21</v>
      </c>
      <c r="P572" s="153">
        <v>21.09</v>
      </c>
      <c r="Q572" s="153">
        <v>21.11</v>
      </c>
      <c r="R572" s="153">
        <v>21.08</v>
      </c>
      <c r="S572" s="4"/>
      <c r="U572" s="147" t="s">
        <v>649</v>
      </c>
      <c r="V572" s="11"/>
      <c r="W572" s="4"/>
      <c r="X572" s="12"/>
      <c r="Y572" s="14"/>
      <c r="Z572" s="4"/>
      <c r="AA572" s="13"/>
      <c r="AB572" s="11"/>
      <c r="AC572" s="4"/>
      <c r="AD572" s="12"/>
      <c r="AE572" s="13"/>
      <c r="AF572" s="14">
        <v>5.0145999999999997</v>
      </c>
      <c r="AG572" s="133"/>
      <c r="AI572" s="84"/>
      <c r="AL572" s="64">
        <v>4.1718423166666669</v>
      </c>
      <c r="AM572" s="56">
        <v>13.76000000000008</v>
      </c>
      <c r="AN572" s="56">
        <v>15.63999999999997</v>
      </c>
      <c r="AO572" s="62">
        <v>21.72000000000001</v>
      </c>
      <c r="AQ572" s="64">
        <v>4.0829750499999999</v>
      </c>
      <c r="AR572" s="56">
        <v>13.640000000000009</v>
      </c>
      <c r="AS572" s="56">
        <v>15.000000000000041</v>
      </c>
      <c r="AT572" s="62">
        <v>18.98</v>
      </c>
      <c r="AV572" s="64">
        <v>3.7291439166666671</v>
      </c>
      <c r="AW572" s="56">
        <v>13.37999999999999</v>
      </c>
      <c r="AX572" s="56">
        <v>14.780000000000021</v>
      </c>
      <c r="AY572" s="62">
        <v>19.460000000000029</v>
      </c>
      <c r="BA572" s="64">
        <v>3.1903533500000001</v>
      </c>
      <c r="BB572" s="56">
        <v>15.75999999999995</v>
      </c>
      <c r="BC572" s="56">
        <v>18.15999999999995</v>
      </c>
      <c r="BD572" s="62">
        <v>29.8</v>
      </c>
      <c r="BF572" s="64">
        <v>2.933022666666667</v>
      </c>
      <c r="BG572" s="56">
        <v>19.420000000000041</v>
      </c>
      <c r="BH572" s="56">
        <v>25.760000000000009</v>
      </c>
      <c r="BI572" s="62">
        <v>53.500000000000007</v>
      </c>
      <c r="BJ572" s="69"/>
      <c r="BK572" s="51"/>
    </row>
    <row r="573" spans="1:63" x14ac:dyDescent="0.4">
      <c r="A573" s="11" t="s">
        <v>650</v>
      </c>
      <c r="B573" s="4"/>
      <c r="C573" s="4"/>
      <c r="D573" s="4"/>
      <c r="E573" s="12"/>
      <c r="G573" s="147" t="s">
        <v>650</v>
      </c>
      <c r="H573" s="159">
        <v>70.039000000000001</v>
      </c>
      <c r="I573" s="153">
        <v>70.28</v>
      </c>
      <c r="J573" s="153">
        <v>70.3</v>
      </c>
      <c r="K573" s="153">
        <v>70.36</v>
      </c>
      <c r="L573" s="153">
        <v>70.28</v>
      </c>
      <c r="M573" s="80">
        <f t="shared" si="16"/>
        <v>70.36</v>
      </c>
      <c r="N573" s="80">
        <f t="shared" si="17"/>
        <v>70.28</v>
      </c>
      <c r="O573" s="153">
        <v>21.22</v>
      </c>
      <c r="P573" s="153">
        <v>21.13</v>
      </c>
      <c r="Q573" s="153">
        <v>21.14</v>
      </c>
      <c r="R573" s="153">
        <v>21.06</v>
      </c>
      <c r="S573" s="4"/>
      <c r="U573" s="147" t="s">
        <v>650</v>
      </c>
      <c r="V573" s="11"/>
      <c r="W573" s="4"/>
      <c r="X573" s="12"/>
      <c r="Y573" s="14"/>
      <c r="Z573" s="4"/>
      <c r="AA573" s="13"/>
      <c r="AB573" s="11"/>
      <c r="AC573" s="4"/>
      <c r="AD573" s="12"/>
      <c r="AE573" s="13"/>
      <c r="AF573" s="14">
        <v>5.0368000000000004</v>
      </c>
      <c r="AG573" s="133"/>
      <c r="AI573" s="84"/>
      <c r="AL573" s="64">
        <v>4.1715644333333328</v>
      </c>
      <c r="AM573" s="56">
        <v>14.119999999999949</v>
      </c>
      <c r="AN573" s="56">
        <v>16.019999999999971</v>
      </c>
      <c r="AO573" s="62">
        <v>22.080000000000059</v>
      </c>
      <c r="AQ573" s="64">
        <v>4.08093985</v>
      </c>
      <c r="AR573" s="56">
        <v>13.52000000000011</v>
      </c>
      <c r="AS573" s="56">
        <v>14.900000000000089</v>
      </c>
      <c r="AT573" s="62">
        <v>18.900000000000091</v>
      </c>
      <c r="AV573" s="64">
        <v>3.7269833166666659</v>
      </c>
      <c r="AW573" s="56">
        <v>13.20000000000006</v>
      </c>
      <c r="AX573" s="56">
        <v>14.580000000000039</v>
      </c>
      <c r="AY573" s="62">
        <v>19.240000000000009</v>
      </c>
      <c r="BA573" s="64">
        <v>3.1882237</v>
      </c>
      <c r="BB573" s="56">
        <v>15.379999999999949</v>
      </c>
      <c r="BC573" s="56">
        <v>17.760000000000002</v>
      </c>
      <c r="BD573" s="62">
        <v>29.319999999999968</v>
      </c>
      <c r="BF573" s="64">
        <v>2.930360733333333</v>
      </c>
      <c r="BG573" s="56">
        <v>18.96000000000004</v>
      </c>
      <c r="BH573" s="56">
        <v>25.23999999999997</v>
      </c>
      <c r="BI573" s="62">
        <v>52.780000000000008</v>
      </c>
      <c r="BJ573" s="70"/>
      <c r="BK573" s="51"/>
    </row>
    <row r="574" spans="1:63" x14ac:dyDescent="0.4">
      <c r="A574" s="11" t="s">
        <v>651</v>
      </c>
      <c r="B574" s="4"/>
      <c r="C574" s="4"/>
      <c r="D574" s="4"/>
      <c r="E574" s="12"/>
      <c r="G574" s="147" t="s">
        <v>651</v>
      </c>
      <c r="H574" s="159">
        <v>70.090999999999994</v>
      </c>
      <c r="I574" s="153">
        <v>70.38</v>
      </c>
      <c r="J574" s="153">
        <v>70.33</v>
      </c>
      <c r="K574" s="153">
        <v>70.33</v>
      </c>
      <c r="L574" s="153">
        <v>70.349999999999994</v>
      </c>
      <c r="M574" s="80">
        <f t="shared" si="16"/>
        <v>70.38</v>
      </c>
      <c r="N574" s="80">
        <f t="shared" si="17"/>
        <v>70.33</v>
      </c>
      <c r="O574" s="153">
        <v>21.19</v>
      </c>
      <c r="P574" s="153">
        <v>21.12</v>
      </c>
      <c r="Q574" s="153">
        <v>21.12</v>
      </c>
      <c r="R574" s="153">
        <v>21.08</v>
      </c>
      <c r="S574" s="4"/>
      <c r="U574" s="147" t="s">
        <v>651</v>
      </c>
      <c r="V574" s="11"/>
      <c r="W574" s="4"/>
      <c r="X574" s="12"/>
      <c r="Y574" s="14"/>
      <c r="Z574" s="4"/>
      <c r="AA574" s="13"/>
      <c r="AB574" s="11"/>
      <c r="AC574" s="4"/>
      <c r="AD574" s="12"/>
      <c r="AE574" s="13"/>
      <c r="AF574" s="14">
        <v>5.0598000000000001</v>
      </c>
      <c r="AG574" s="133"/>
      <c r="AI574" s="84"/>
      <c r="AL574" s="64">
        <v>4.1717459333333338</v>
      </c>
      <c r="AM574" s="56">
        <v>13.959999999999971</v>
      </c>
      <c r="AN574" s="56">
        <v>15.88000000000012</v>
      </c>
      <c r="AO574" s="62">
        <v>21.95999999999998</v>
      </c>
      <c r="AQ574" s="64">
        <v>4.0808876499999993</v>
      </c>
      <c r="AR574" s="56">
        <v>13.480000000000031</v>
      </c>
      <c r="AS574" s="56">
        <v>14.89999999999991</v>
      </c>
      <c r="AT574" s="62">
        <v>18.87999999999996</v>
      </c>
      <c r="AV574" s="64">
        <v>3.7277434666666669</v>
      </c>
      <c r="AW574" s="56">
        <v>13.219999999999921</v>
      </c>
      <c r="AX574" s="56">
        <v>14.619999999999941</v>
      </c>
      <c r="AY574" s="62">
        <v>19.279999999999919</v>
      </c>
      <c r="BA574" s="64">
        <v>3.1891912833333329</v>
      </c>
      <c r="BB574" s="56">
        <v>15.30000000000005</v>
      </c>
      <c r="BC574" s="56">
        <v>17.640000000000011</v>
      </c>
      <c r="BD574" s="62">
        <v>29.20000000000007</v>
      </c>
      <c r="BF574" s="64">
        <v>2.9295501833333328</v>
      </c>
      <c r="BG574" s="56">
        <v>18.74000000000002</v>
      </c>
      <c r="BH574" s="56">
        <v>24.720000000000031</v>
      </c>
      <c r="BI574" s="62">
        <v>52.120000000000033</v>
      </c>
      <c r="BJ574" s="70"/>
      <c r="BK574" s="51"/>
    </row>
    <row r="575" spans="1:63" x14ac:dyDescent="0.4">
      <c r="A575" s="11" t="s">
        <v>652</v>
      </c>
      <c r="B575" s="4"/>
      <c r="C575" s="4"/>
      <c r="D575" s="4"/>
      <c r="E575" s="12"/>
      <c r="G575" s="147" t="s">
        <v>652</v>
      </c>
      <c r="H575" s="159">
        <v>70.007000000000005</v>
      </c>
      <c r="I575" s="153">
        <v>70.38</v>
      </c>
      <c r="J575" s="153">
        <v>70.319999999999993</v>
      </c>
      <c r="K575" s="153">
        <v>70.36</v>
      </c>
      <c r="L575" s="153">
        <v>70.34</v>
      </c>
      <c r="M575" s="80">
        <f t="shared" si="16"/>
        <v>70.38</v>
      </c>
      <c r="N575" s="80">
        <f t="shared" si="17"/>
        <v>70.319999999999993</v>
      </c>
      <c r="O575" s="153">
        <v>21.14</v>
      </c>
      <c r="P575" s="153">
        <v>21.05</v>
      </c>
      <c r="Q575" s="153">
        <v>21.17</v>
      </c>
      <c r="R575" s="153">
        <v>21.07</v>
      </c>
      <c r="S575" s="4"/>
      <c r="U575" s="147" t="s">
        <v>652</v>
      </c>
      <c r="V575" s="11"/>
      <c r="W575" s="4"/>
      <c r="X575" s="12"/>
      <c r="Y575" s="14"/>
      <c r="Z575" s="4"/>
      <c r="AA575" s="13"/>
      <c r="AB575" s="11"/>
      <c r="AC575" s="4"/>
      <c r="AD575" s="12"/>
      <c r="AE575" s="13"/>
      <c r="AF575" s="14">
        <v>5.0148000000000001</v>
      </c>
      <c r="AG575" s="133"/>
      <c r="AI575" s="84"/>
      <c r="AL575" s="64">
        <v>4.1722668333333326</v>
      </c>
      <c r="AM575" s="56">
        <v>13.940000000000021</v>
      </c>
      <c r="AN575" s="56">
        <v>15.859999999999991</v>
      </c>
      <c r="AO575" s="62">
        <v>21.95999999999998</v>
      </c>
      <c r="AQ575" s="64">
        <v>4.0815789000000002</v>
      </c>
      <c r="AR575" s="56">
        <v>13.54000000000006</v>
      </c>
      <c r="AS575" s="56">
        <v>14.920000000000041</v>
      </c>
      <c r="AT575" s="62">
        <v>18.900000000000009</v>
      </c>
      <c r="AV575" s="64">
        <v>3.7292910333333338</v>
      </c>
      <c r="AW575" s="56">
        <v>13.26000000000001</v>
      </c>
      <c r="AX575" s="56">
        <v>14.63999999999999</v>
      </c>
      <c r="AY575" s="62">
        <v>19.32</v>
      </c>
      <c r="BA575" s="64">
        <v>3.1964426833333328</v>
      </c>
      <c r="BB575" s="56">
        <v>15.49999999999994</v>
      </c>
      <c r="BC575" s="56">
        <v>17.79999999999999</v>
      </c>
      <c r="BD575" s="62">
        <v>29.04</v>
      </c>
      <c r="BF575" s="64">
        <v>2.921155033333334</v>
      </c>
      <c r="BG575" s="56">
        <v>19.299999999999962</v>
      </c>
      <c r="BH575" s="56">
        <v>25.640000000000018</v>
      </c>
      <c r="BI575" s="62">
        <v>54.08</v>
      </c>
      <c r="BJ575" s="70"/>
      <c r="BK575" s="51"/>
    </row>
    <row r="576" spans="1:63" x14ac:dyDescent="0.4">
      <c r="A576" s="11" t="s">
        <v>653</v>
      </c>
      <c r="B576" s="4"/>
      <c r="C576" s="4"/>
      <c r="D576" s="4"/>
      <c r="E576" s="12"/>
      <c r="G576" s="147" t="s">
        <v>653</v>
      </c>
      <c r="H576" s="159">
        <v>69.950999999999993</v>
      </c>
      <c r="I576" s="153">
        <v>70.3</v>
      </c>
      <c r="J576" s="153">
        <v>70.38</v>
      </c>
      <c r="K576" s="153">
        <v>70.37</v>
      </c>
      <c r="L576" s="153">
        <v>70.36</v>
      </c>
      <c r="M576" s="80">
        <f t="shared" si="16"/>
        <v>70.38</v>
      </c>
      <c r="N576" s="80">
        <f t="shared" si="17"/>
        <v>70.3</v>
      </c>
      <c r="O576" s="153">
        <v>21.08</v>
      </c>
      <c r="P576" s="153">
        <v>21.08</v>
      </c>
      <c r="Q576" s="153">
        <v>21.14</v>
      </c>
      <c r="R576" s="153">
        <v>21.09</v>
      </c>
      <c r="S576" s="4"/>
      <c r="U576" s="147" t="s">
        <v>653</v>
      </c>
      <c r="V576" s="11"/>
      <c r="W576" s="4"/>
      <c r="X576" s="12"/>
      <c r="Y576" s="14"/>
      <c r="Z576" s="4"/>
      <c r="AA576" s="13"/>
      <c r="AB576" s="11"/>
      <c r="AC576" s="4"/>
      <c r="AD576" s="12"/>
      <c r="AE576" s="13"/>
      <c r="AF576" s="14">
        <v>5.0152000000000001</v>
      </c>
      <c r="AG576" s="133"/>
      <c r="AI576" s="84"/>
      <c r="AL576" s="64">
        <v>4.1717244999999998</v>
      </c>
      <c r="AM576" s="56">
        <v>14.799999999999971</v>
      </c>
      <c r="AN576" s="56">
        <v>16.819999999999879</v>
      </c>
      <c r="AO576" s="62">
        <v>23.039999999999949</v>
      </c>
      <c r="AQ576" s="64">
        <v>4.0820826333333331</v>
      </c>
      <c r="AR576" s="56">
        <v>14.67999999999989</v>
      </c>
      <c r="AS576" s="56">
        <v>16.16</v>
      </c>
      <c r="AT576" s="62">
        <v>20.379999999999932</v>
      </c>
      <c r="AV576" s="64">
        <v>3.7288591166666678</v>
      </c>
      <c r="AW576" s="56">
        <v>14.299999999999979</v>
      </c>
      <c r="AX576" s="56">
        <v>15.81999999999999</v>
      </c>
      <c r="AY576" s="62">
        <v>20.739999999999981</v>
      </c>
      <c r="BA576" s="64">
        <v>3.186127583333334</v>
      </c>
      <c r="BB576" s="56">
        <v>15.97999999999997</v>
      </c>
      <c r="BC576" s="56">
        <v>18.459999999999969</v>
      </c>
      <c r="BD576" s="62">
        <v>30.29999999999999</v>
      </c>
      <c r="BF576" s="64">
        <v>2.9258994</v>
      </c>
      <c r="BG576" s="56">
        <v>19.71999999999996</v>
      </c>
      <c r="BH576" s="56">
        <v>26.239999999999949</v>
      </c>
      <c r="BI576" s="62">
        <v>54.659999999999982</v>
      </c>
      <c r="BJ576" s="69"/>
      <c r="BK576" s="51"/>
    </row>
    <row r="577" spans="1:63" x14ac:dyDescent="0.4">
      <c r="A577" s="11" t="s">
        <v>654</v>
      </c>
      <c r="B577" s="4"/>
      <c r="C577" s="4"/>
      <c r="D577" s="4"/>
      <c r="E577" s="12"/>
      <c r="G577" s="147" t="s">
        <v>654</v>
      </c>
      <c r="H577" s="159">
        <v>69.981999999999999</v>
      </c>
      <c r="I577" s="153">
        <v>70.38</v>
      </c>
      <c r="J577" s="153">
        <v>70.38</v>
      </c>
      <c r="K577" s="153">
        <v>70.36</v>
      </c>
      <c r="L577" s="153">
        <v>70.38</v>
      </c>
      <c r="M577" s="80">
        <f t="shared" si="16"/>
        <v>70.38</v>
      </c>
      <c r="N577" s="80">
        <f t="shared" si="17"/>
        <v>70.36</v>
      </c>
      <c r="O577" s="153">
        <v>21.19</v>
      </c>
      <c r="P577" s="153">
        <v>21.07</v>
      </c>
      <c r="Q577" s="153">
        <v>21.16</v>
      </c>
      <c r="R577" s="153">
        <v>21.05</v>
      </c>
      <c r="S577" s="4"/>
      <c r="U577" s="147" t="s">
        <v>654</v>
      </c>
      <c r="V577" s="11"/>
      <c r="W577" s="4"/>
      <c r="X577" s="12"/>
      <c r="Y577" s="14"/>
      <c r="Z577" s="4"/>
      <c r="AA577" s="13"/>
      <c r="AB577" s="11"/>
      <c r="AC577" s="4"/>
      <c r="AD577" s="12"/>
      <c r="AE577" s="13"/>
      <c r="AF577" s="14">
        <v>5.0145999999999997</v>
      </c>
      <c r="AG577" s="133"/>
      <c r="AI577" s="84"/>
      <c r="AL577" s="64">
        <v>4.1716841166666656</v>
      </c>
      <c r="AM577" s="56">
        <v>15.09999999999998</v>
      </c>
      <c r="AN577" s="56">
        <v>17.140000000000018</v>
      </c>
      <c r="AO577" s="62">
        <v>23.419999999999948</v>
      </c>
      <c r="AQ577" s="64">
        <v>4.0815083166666657</v>
      </c>
      <c r="AR577" s="56">
        <v>14.74000000000011</v>
      </c>
      <c r="AS577" s="56">
        <v>16.239999999999991</v>
      </c>
      <c r="AT577" s="62">
        <v>20.500000000000011</v>
      </c>
      <c r="AV577" s="64">
        <v>3.7277459333333329</v>
      </c>
      <c r="AW577" s="56">
        <v>14.21999999999999</v>
      </c>
      <c r="AX577" s="56">
        <v>15.71999999999996</v>
      </c>
      <c r="AY577" s="62">
        <v>20.639999999999951</v>
      </c>
      <c r="BA577" s="64">
        <v>3.1838700666666671</v>
      </c>
      <c r="BB577" s="56">
        <v>16.440000000000051</v>
      </c>
      <c r="BC577" s="56">
        <v>18.940000000000001</v>
      </c>
      <c r="BD577" s="62">
        <v>30.960000000000051</v>
      </c>
      <c r="BF577" s="64">
        <v>2.9240735</v>
      </c>
      <c r="BG577" s="56">
        <v>20.180000000000039</v>
      </c>
      <c r="BH577" s="56">
        <v>26.880000000000059</v>
      </c>
      <c r="BI577" s="62">
        <v>55.719999999999992</v>
      </c>
      <c r="BJ577" s="70"/>
      <c r="BK577" s="51"/>
    </row>
    <row r="578" spans="1:63" x14ac:dyDescent="0.4">
      <c r="A578" s="11" t="s">
        <v>655</v>
      </c>
      <c r="B578" s="4"/>
      <c r="C578" s="4"/>
      <c r="D578" s="4"/>
      <c r="E578" s="12"/>
      <c r="G578" s="147" t="s">
        <v>655</v>
      </c>
      <c r="H578" s="159">
        <v>70.025000000000006</v>
      </c>
      <c r="I578" s="153">
        <v>70.36</v>
      </c>
      <c r="J578" s="153">
        <v>70.36</v>
      </c>
      <c r="K578" s="153">
        <v>70.349999999999994</v>
      </c>
      <c r="L578" s="153">
        <v>70.37</v>
      </c>
      <c r="M578" s="80">
        <f t="shared" si="16"/>
        <v>70.37</v>
      </c>
      <c r="N578" s="80">
        <f t="shared" si="17"/>
        <v>70.349999999999994</v>
      </c>
      <c r="O578" s="153">
        <v>21.16</v>
      </c>
      <c r="P578" s="153">
        <v>21.07</v>
      </c>
      <c r="Q578" s="153">
        <v>21.15</v>
      </c>
      <c r="R578" s="153">
        <v>21.14</v>
      </c>
      <c r="S578" s="4"/>
      <c r="U578" s="147" t="s">
        <v>655</v>
      </c>
      <c r="V578" s="11"/>
      <c r="W578" s="4"/>
      <c r="X578" s="12"/>
      <c r="Y578" s="14"/>
      <c r="Z578" s="4"/>
      <c r="AA578" s="13"/>
      <c r="AB578" s="11"/>
      <c r="AC578" s="4"/>
      <c r="AD578" s="12"/>
      <c r="AE578" s="13"/>
      <c r="AF578" s="14">
        <v>5.0198</v>
      </c>
      <c r="AG578" s="133"/>
      <c r="AI578" s="84"/>
      <c r="AL578" s="64">
        <v>4.1714908166666662</v>
      </c>
      <c r="AM578" s="56">
        <v>15.16000000000002</v>
      </c>
      <c r="AN578" s="56">
        <v>17.179999999999929</v>
      </c>
      <c r="AO578" s="62">
        <v>23.4</v>
      </c>
      <c r="AQ578" s="64">
        <v>4.0814159666666674</v>
      </c>
      <c r="AR578" s="56">
        <v>14.720000000000161</v>
      </c>
      <c r="AS578" s="56">
        <v>16.220000000000031</v>
      </c>
      <c r="AT578" s="62">
        <v>20.48000000000005</v>
      </c>
      <c r="AV578" s="64">
        <v>3.727313066666667</v>
      </c>
      <c r="AW578" s="56">
        <v>14.319999999999929</v>
      </c>
      <c r="AX578" s="56">
        <v>15.839999999999939</v>
      </c>
      <c r="AY578" s="62">
        <v>20.819999999999968</v>
      </c>
      <c r="BA578" s="64">
        <v>3.1832135500000001</v>
      </c>
      <c r="BB578" s="56">
        <v>16.51999999999996</v>
      </c>
      <c r="BC578" s="56">
        <v>19.040000000000031</v>
      </c>
      <c r="BD578" s="62">
        <v>31.12000000000004</v>
      </c>
      <c r="BF578" s="64">
        <v>2.9257815333333328</v>
      </c>
      <c r="BG578" s="56">
        <v>20.340000000000021</v>
      </c>
      <c r="BH578" s="56">
        <v>27.02</v>
      </c>
      <c r="BI578" s="62">
        <v>55.620000000000047</v>
      </c>
      <c r="BJ578" s="70"/>
      <c r="BK578" s="51"/>
    </row>
    <row r="579" spans="1:63" x14ac:dyDescent="0.4">
      <c r="A579" s="11" t="s">
        <v>656</v>
      </c>
      <c r="B579" s="4"/>
      <c r="C579" s="4"/>
      <c r="D579" s="4"/>
      <c r="E579" s="12"/>
      <c r="G579" s="147" t="s">
        <v>656</v>
      </c>
      <c r="H579" s="159">
        <v>69.980999999999995</v>
      </c>
      <c r="I579" s="153">
        <v>70.290000000000006</v>
      </c>
      <c r="J579" s="153">
        <v>70.38</v>
      </c>
      <c r="K579" s="153">
        <v>70.38</v>
      </c>
      <c r="L579" s="153">
        <v>70.27</v>
      </c>
      <c r="M579" s="80">
        <f t="shared" si="16"/>
        <v>70.38</v>
      </c>
      <c r="N579" s="80">
        <f t="shared" si="17"/>
        <v>70.27</v>
      </c>
      <c r="O579" s="153">
        <v>21.15</v>
      </c>
      <c r="P579" s="153">
        <v>21.1</v>
      </c>
      <c r="Q579" s="153">
        <v>21.16</v>
      </c>
      <c r="R579" s="153">
        <v>21.08</v>
      </c>
      <c r="S579" s="4"/>
      <c r="U579" s="147" t="s">
        <v>656</v>
      </c>
      <c r="V579" s="11"/>
      <c r="W579" s="4"/>
      <c r="X579" s="12"/>
      <c r="Y579" s="14"/>
      <c r="Z579" s="4"/>
      <c r="AA579" s="13"/>
      <c r="AB579" s="11"/>
      <c r="AC579" s="4"/>
      <c r="AD579" s="12"/>
      <c r="AE579" s="13"/>
      <c r="AF579" s="14">
        <v>5.0137</v>
      </c>
      <c r="AG579" s="133"/>
      <c r="AI579" s="84"/>
      <c r="AL579" s="64">
        <v>4.1719096499999999</v>
      </c>
      <c r="AM579" s="56">
        <v>14.94</v>
      </c>
      <c r="AN579" s="56">
        <v>16.879999999999921</v>
      </c>
      <c r="AO579" s="62">
        <v>23.119999999999941</v>
      </c>
      <c r="AQ579" s="64">
        <v>4.0806886833333333</v>
      </c>
      <c r="AR579" s="56">
        <v>14.460000000000051</v>
      </c>
      <c r="AS579" s="56">
        <v>15.920000000000019</v>
      </c>
      <c r="AT579" s="62">
        <v>20.14000000000005</v>
      </c>
      <c r="AV579" s="64">
        <v>3.7267673333333331</v>
      </c>
      <c r="AW579" s="56">
        <v>14.1</v>
      </c>
      <c r="AX579" s="56">
        <v>15.560000000000059</v>
      </c>
      <c r="AY579" s="62">
        <v>20.420000000000019</v>
      </c>
      <c r="BA579" s="64">
        <v>3.183944883333333</v>
      </c>
      <c r="BB579" s="56">
        <v>16.16</v>
      </c>
      <c r="BC579" s="56">
        <v>18.599999999999991</v>
      </c>
      <c r="BD579" s="62">
        <v>30.50000000000006</v>
      </c>
      <c r="BF579" s="64">
        <v>2.9243079500000002</v>
      </c>
      <c r="BG579" s="56">
        <v>19.80000000000004</v>
      </c>
      <c r="BH579" s="56">
        <v>26.480000000000011</v>
      </c>
      <c r="BI579" s="62">
        <v>54.940000000000033</v>
      </c>
      <c r="BJ579" s="70"/>
      <c r="BK579" s="51"/>
    </row>
    <row r="580" spans="1:63" x14ac:dyDescent="0.4">
      <c r="A580" s="11" t="s">
        <v>657</v>
      </c>
      <c r="B580" s="4"/>
      <c r="C580" s="4"/>
      <c r="D580" s="4"/>
      <c r="E580" s="12"/>
      <c r="G580" s="147" t="s">
        <v>657</v>
      </c>
      <c r="H580" s="159">
        <v>70.037999999999997</v>
      </c>
      <c r="I580" s="153">
        <v>70.38</v>
      </c>
      <c r="J580" s="153">
        <v>70.290000000000006</v>
      </c>
      <c r="K580" s="153">
        <v>70.31</v>
      </c>
      <c r="L580" s="153">
        <v>70.37</v>
      </c>
      <c r="M580" s="80">
        <f t="shared" si="16"/>
        <v>70.38</v>
      </c>
      <c r="N580" s="80">
        <f t="shared" si="17"/>
        <v>70.290000000000006</v>
      </c>
      <c r="O580" s="153">
        <v>21.21</v>
      </c>
      <c r="P580" s="153">
        <v>21.07</v>
      </c>
      <c r="Q580" s="153">
        <v>21.12</v>
      </c>
      <c r="R580" s="153">
        <v>21.08</v>
      </c>
      <c r="S580" s="4"/>
      <c r="U580" s="147" t="s">
        <v>657</v>
      </c>
      <c r="V580" s="11"/>
      <c r="W580" s="4"/>
      <c r="X580" s="12"/>
      <c r="Y580" s="14"/>
      <c r="Z580" s="4"/>
      <c r="AA580" s="13"/>
      <c r="AB580" s="11"/>
      <c r="AC580" s="4"/>
      <c r="AD580" s="12"/>
      <c r="AE580" s="13"/>
      <c r="AF580" s="14">
        <v>5.0542999999999996</v>
      </c>
      <c r="AG580" s="133"/>
      <c r="AI580" s="84"/>
      <c r="AL580" s="64">
        <v>4.1718529166666656</v>
      </c>
      <c r="AM580" s="56">
        <v>15.019999999999991</v>
      </c>
      <c r="AN580" s="56">
        <v>17.02000000000012</v>
      </c>
      <c r="AO580" s="62">
        <v>23.280000000000101</v>
      </c>
      <c r="AQ580" s="64">
        <v>4.082885616666668</v>
      </c>
      <c r="AR580" s="56">
        <v>14.680000000000071</v>
      </c>
      <c r="AS580" s="56">
        <v>16.180000000000131</v>
      </c>
      <c r="AT580" s="62">
        <v>20.420000000000101</v>
      </c>
      <c r="AV580" s="64">
        <v>3.7291481499999999</v>
      </c>
      <c r="AW580" s="56">
        <v>14.32000000000002</v>
      </c>
      <c r="AX580" s="56">
        <v>15.81999999999999</v>
      </c>
      <c r="AY580" s="62">
        <v>20.760000000000019</v>
      </c>
      <c r="BA580" s="64">
        <v>3.1851708666666658</v>
      </c>
      <c r="BB580" s="56">
        <v>16.38000000000002</v>
      </c>
      <c r="BC580" s="56">
        <v>18.839999999999971</v>
      </c>
      <c r="BD580" s="62">
        <v>30.839999999999979</v>
      </c>
      <c r="BF580" s="64">
        <v>2.926233733333333</v>
      </c>
      <c r="BG580" s="56">
        <v>20.180000000000039</v>
      </c>
      <c r="BH580" s="56">
        <v>26.839999999999971</v>
      </c>
      <c r="BI580" s="62">
        <v>55.540000000000063</v>
      </c>
      <c r="BJ580" s="70"/>
      <c r="BK580" s="51"/>
    </row>
    <row r="581" spans="1:63" ht="17.25" customHeight="1" thickBot="1" x14ac:dyDescent="0.45">
      <c r="A581" s="16" t="s">
        <v>658</v>
      </c>
      <c r="B581" s="17"/>
      <c r="C581" s="17"/>
      <c r="D581" s="17"/>
      <c r="E581" s="18"/>
      <c r="G581" s="147" t="s">
        <v>658</v>
      </c>
      <c r="H581" s="159">
        <v>70.049000000000007</v>
      </c>
      <c r="I581" s="153">
        <v>70.290000000000006</v>
      </c>
      <c r="J581" s="153">
        <v>70.38</v>
      </c>
      <c r="K581" s="153">
        <v>70.38</v>
      </c>
      <c r="L581" s="153">
        <v>70.34</v>
      </c>
      <c r="M581" s="80">
        <f t="shared" si="16"/>
        <v>70.38</v>
      </c>
      <c r="N581" s="80">
        <f t="shared" si="17"/>
        <v>70.290000000000006</v>
      </c>
      <c r="O581" s="153">
        <v>21.16</v>
      </c>
      <c r="P581" s="153">
        <v>21.1</v>
      </c>
      <c r="Q581" s="153">
        <v>21.11</v>
      </c>
      <c r="R581" s="153">
        <v>21</v>
      </c>
      <c r="S581" s="4"/>
      <c r="U581" s="147" t="s">
        <v>658</v>
      </c>
      <c r="V581" s="16"/>
      <c r="W581" s="17"/>
      <c r="X581" s="18"/>
      <c r="Y581" s="29"/>
      <c r="Z581" s="17"/>
      <c r="AA581" s="30"/>
      <c r="AB581" s="16"/>
      <c r="AC581" s="17"/>
      <c r="AD581" s="18"/>
      <c r="AE581" s="30"/>
      <c r="AF581" s="14">
        <v>5.0391000000000004</v>
      </c>
      <c r="AG581" s="133"/>
      <c r="AI581" s="84"/>
      <c r="AL581" s="64">
        <v>4.1719411666666666</v>
      </c>
      <c r="AM581" s="56">
        <v>14.02000000000001</v>
      </c>
      <c r="AN581" s="56">
        <v>15.95999999999993</v>
      </c>
      <c r="AO581" s="62">
        <v>22.039999999999971</v>
      </c>
      <c r="AQ581" s="64">
        <v>4.0819964000000004</v>
      </c>
      <c r="AR581" s="56">
        <v>13.679999999999909</v>
      </c>
      <c r="AS581" s="56">
        <v>15.08000000000003</v>
      </c>
      <c r="AT581" s="62">
        <v>19.079999999999941</v>
      </c>
      <c r="AV581" s="64">
        <v>3.7291394499999999</v>
      </c>
      <c r="AW581" s="56">
        <v>13.36000000000004</v>
      </c>
      <c r="AX581" s="56">
        <v>14.800000000000059</v>
      </c>
      <c r="AY581" s="62">
        <v>19.47999999999999</v>
      </c>
      <c r="BA581" s="64">
        <v>3.194632233333333</v>
      </c>
      <c r="BB581" s="56">
        <v>15.7</v>
      </c>
      <c r="BC581" s="56">
        <v>18.02000000000001</v>
      </c>
      <c r="BD581" s="62">
        <v>29.44000000000004</v>
      </c>
      <c r="BF581" s="64">
        <v>2.928884416666667</v>
      </c>
      <c r="BG581" s="56">
        <v>19.380000000000042</v>
      </c>
      <c r="BH581" s="56">
        <v>25.72000000000001</v>
      </c>
      <c r="BI581" s="62">
        <v>53.500000000000007</v>
      </c>
      <c r="BJ581" s="70"/>
      <c r="BK581" s="51"/>
    </row>
    <row r="582" spans="1:63" x14ac:dyDescent="0.4">
      <c r="A582" s="19" t="s">
        <v>659</v>
      </c>
      <c r="B582" s="4"/>
      <c r="C582" s="4"/>
      <c r="D582" s="4"/>
      <c r="E582" s="12"/>
      <c r="G582" s="147" t="s">
        <v>659</v>
      </c>
      <c r="H582" s="159">
        <v>70.072999999999993</v>
      </c>
      <c r="I582" s="153">
        <v>70.27</v>
      </c>
      <c r="J582" s="153">
        <v>70.31</v>
      </c>
      <c r="K582" s="153">
        <v>70.349999999999994</v>
      </c>
      <c r="L582" s="153">
        <v>70.400000000000006</v>
      </c>
      <c r="M582" s="80">
        <f t="shared" ref="M582:M645" si="18">MAX(I582:L582)</f>
        <v>70.400000000000006</v>
      </c>
      <c r="N582" s="80">
        <f t="shared" ref="N582:N645" si="19">MIN(I582:L582)</f>
        <v>70.27</v>
      </c>
      <c r="O582" s="153">
        <v>21.15</v>
      </c>
      <c r="P582" s="153">
        <v>21.07</v>
      </c>
      <c r="Q582" s="153">
        <v>21.12</v>
      </c>
      <c r="R582" s="153">
        <v>21.11</v>
      </c>
      <c r="S582" s="4"/>
      <c r="U582" s="147" t="s">
        <v>659</v>
      </c>
      <c r="V582" s="19"/>
      <c r="W582" s="20"/>
      <c r="X582" s="22"/>
      <c r="Y582" s="31"/>
      <c r="Z582" s="20"/>
      <c r="AA582" s="21"/>
      <c r="AB582" s="19"/>
      <c r="AC582" s="20"/>
      <c r="AD582" s="22"/>
      <c r="AE582" s="21"/>
      <c r="AF582" s="14">
        <v>5.0397999999999996</v>
      </c>
      <c r="AG582" s="133"/>
      <c r="AI582" s="84"/>
      <c r="AL582" s="64">
        <v>4.1719935333333327</v>
      </c>
      <c r="AM582" s="56">
        <v>13.879999999999979</v>
      </c>
      <c r="AN582" s="56">
        <v>15.78</v>
      </c>
      <c r="AO582" s="62">
        <v>21.819999999999951</v>
      </c>
      <c r="AQ582" s="64">
        <v>4.0825873333333327</v>
      </c>
      <c r="AR582" s="56">
        <v>13.49999999999998</v>
      </c>
      <c r="AS582" s="56">
        <v>14.87999999999996</v>
      </c>
      <c r="AT582" s="62">
        <v>18.880000000000049</v>
      </c>
      <c r="AV582" s="64">
        <v>3.728875233333333</v>
      </c>
      <c r="AW582" s="56">
        <v>13.18000000000001</v>
      </c>
      <c r="AX582" s="56">
        <v>14.580000000000039</v>
      </c>
      <c r="AY582" s="62">
        <v>19.260000000000051</v>
      </c>
      <c r="BA582" s="64">
        <v>3.1908705500000001</v>
      </c>
      <c r="BB582" s="56">
        <v>15.460000000000029</v>
      </c>
      <c r="BC582" s="56">
        <v>17.820000000000039</v>
      </c>
      <c r="BD582" s="62">
        <v>29.400000000000048</v>
      </c>
      <c r="BF582" s="64">
        <v>2.934766433333333</v>
      </c>
      <c r="BG582" s="56">
        <v>19.09999999999998</v>
      </c>
      <c r="BH582" s="56">
        <v>25.319999999999961</v>
      </c>
      <c r="BI582" s="62">
        <v>52.759999999999962</v>
      </c>
      <c r="BJ582" s="70"/>
      <c r="BK582" s="51"/>
    </row>
    <row r="583" spans="1:63" x14ac:dyDescent="0.4">
      <c r="A583" s="11" t="s">
        <v>660</v>
      </c>
      <c r="B583" s="4"/>
      <c r="C583" s="4"/>
      <c r="D583" s="4"/>
      <c r="E583" s="12"/>
      <c r="G583" s="147" t="s">
        <v>660</v>
      </c>
      <c r="H583" s="159">
        <v>69.994</v>
      </c>
      <c r="I583" s="153">
        <v>70.349999999999994</v>
      </c>
      <c r="J583" s="153">
        <v>70.3</v>
      </c>
      <c r="K583" s="153">
        <v>70.349999999999994</v>
      </c>
      <c r="L583" s="153">
        <v>70.34</v>
      </c>
      <c r="M583" s="80">
        <f t="shared" si="18"/>
        <v>70.349999999999994</v>
      </c>
      <c r="N583" s="80">
        <f t="shared" si="19"/>
        <v>70.3</v>
      </c>
      <c r="O583" s="153">
        <v>21.17</v>
      </c>
      <c r="P583" s="153">
        <v>21.03</v>
      </c>
      <c r="Q583" s="153">
        <v>21.17</v>
      </c>
      <c r="R583" s="153">
        <v>21.07</v>
      </c>
      <c r="S583" s="4"/>
      <c r="U583" s="147" t="s">
        <v>660</v>
      </c>
      <c r="V583" s="11"/>
      <c r="W583" s="4"/>
      <c r="X583" s="12"/>
      <c r="Y583" s="14"/>
      <c r="Z583" s="4"/>
      <c r="AA583" s="13"/>
      <c r="AB583" s="11"/>
      <c r="AC583" s="4"/>
      <c r="AD583" s="12"/>
      <c r="AE583" s="13"/>
      <c r="AF583" s="14">
        <v>5.0331999999999999</v>
      </c>
      <c r="AG583" s="133"/>
      <c r="AI583" s="84"/>
      <c r="AL583" s="64">
        <v>4.1728730666666669</v>
      </c>
      <c r="AM583" s="56">
        <v>13.679999999999909</v>
      </c>
      <c r="AN583" s="56">
        <v>15.579999999999931</v>
      </c>
      <c r="AO583" s="62">
        <v>21.59999999999993</v>
      </c>
      <c r="AQ583" s="64">
        <v>4.0815914000000024</v>
      </c>
      <c r="AR583" s="56">
        <v>13.27999999999996</v>
      </c>
      <c r="AS583" s="56">
        <v>14.67999999999989</v>
      </c>
      <c r="AT583" s="62">
        <v>18.599999999999991</v>
      </c>
      <c r="AV583" s="64">
        <v>3.7285637</v>
      </c>
      <c r="AW583" s="56">
        <v>12.95999999999999</v>
      </c>
      <c r="AX583" s="56">
        <v>14.360000000000021</v>
      </c>
      <c r="AY583" s="62">
        <v>18.940000000000001</v>
      </c>
      <c r="BA583" s="64">
        <v>3.1897003499999999</v>
      </c>
      <c r="BB583" s="56">
        <v>15.81999999999999</v>
      </c>
      <c r="BC583" s="56">
        <v>18.200000000000038</v>
      </c>
      <c r="BD583" s="62">
        <v>29.82000000000005</v>
      </c>
      <c r="BF583" s="64">
        <v>2.93432095</v>
      </c>
      <c r="BG583" s="56">
        <v>20.039999999999921</v>
      </c>
      <c r="BH583" s="56">
        <v>27.339999999999961</v>
      </c>
      <c r="BI583" s="62">
        <v>57.499999999999929</v>
      </c>
      <c r="BJ583" s="70"/>
      <c r="BK583" s="51"/>
    </row>
    <row r="584" spans="1:63" x14ac:dyDescent="0.4">
      <c r="A584" s="11" t="s">
        <v>661</v>
      </c>
      <c r="B584" s="4"/>
      <c r="C584" s="4"/>
      <c r="D584" s="4"/>
      <c r="E584" s="12"/>
      <c r="G584" s="147" t="s">
        <v>661</v>
      </c>
      <c r="H584" s="159">
        <v>70.108000000000004</v>
      </c>
      <c r="I584" s="153">
        <v>70.37</v>
      </c>
      <c r="J584" s="153">
        <v>70.28</v>
      </c>
      <c r="K584" s="153">
        <v>70.37</v>
      </c>
      <c r="L584" s="153">
        <v>70.34</v>
      </c>
      <c r="M584" s="80">
        <f t="shared" si="18"/>
        <v>70.37</v>
      </c>
      <c r="N584" s="80">
        <f t="shared" si="19"/>
        <v>70.28</v>
      </c>
      <c r="O584" s="153">
        <v>21.18</v>
      </c>
      <c r="P584" s="153">
        <v>21.09</v>
      </c>
      <c r="Q584" s="153">
        <v>21.16</v>
      </c>
      <c r="R584" s="153">
        <v>21.06</v>
      </c>
      <c r="S584" s="4"/>
      <c r="U584" s="147" t="s">
        <v>661</v>
      </c>
      <c r="V584" s="11"/>
      <c r="W584" s="4"/>
      <c r="X584" s="12"/>
      <c r="Y584" s="14"/>
      <c r="Z584" s="4"/>
      <c r="AA584" s="13"/>
      <c r="AB584" s="11"/>
      <c r="AC584" s="4"/>
      <c r="AD584" s="12"/>
      <c r="AE584" s="13"/>
      <c r="AF584" s="14">
        <v>5.0368000000000004</v>
      </c>
      <c r="AG584" s="133"/>
      <c r="AI584" s="84"/>
      <c r="AL584" s="64">
        <v>4.1726662333333344</v>
      </c>
      <c r="AM584" s="56">
        <v>13.79999999999999</v>
      </c>
      <c r="AN584" s="56">
        <v>15.71999999999996</v>
      </c>
      <c r="AO584" s="62">
        <v>21.72000000000001</v>
      </c>
      <c r="AQ584" s="64">
        <v>4.0812245166666674</v>
      </c>
      <c r="AR584" s="56">
        <v>13.39999999999986</v>
      </c>
      <c r="AS584" s="56">
        <v>14.780000000000021</v>
      </c>
      <c r="AT584" s="62">
        <v>18.699999999999939</v>
      </c>
      <c r="AV584" s="64">
        <v>3.727855566666666</v>
      </c>
      <c r="AW584" s="56">
        <v>13.14000000000002</v>
      </c>
      <c r="AX584" s="56">
        <v>14.54000000000004</v>
      </c>
      <c r="AY584" s="62">
        <v>19.140000000000072</v>
      </c>
      <c r="BA584" s="64">
        <v>3.18830985</v>
      </c>
      <c r="BB584" s="56">
        <v>16.180000000000039</v>
      </c>
      <c r="BC584" s="56">
        <v>18.580000000000041</v>
      </c>
      <c r="BD584" s="62">
        <v>30.379999999999981</v>
      </c>
      <c r="BF584" s="64">
        <v>2.9416341166666671</v>
      </c>
      <c r="BG584" s="56">
        <v>20.36000000000007</v>
      </c>
      <c r="BH584" s="56">
        <v>27.500000000000039</v>
      </c>
      <c r="BI584" s="62">
        <v>56.960000000000029</v>
      </c>
      <c r="BJ584" s="73"/>
      <c r="BK584" s="94"/>
    </row>
    <row r="585" spans="1:63" x14ac:dyDescent="0.4">
      <c r="A585" s="11" t="s">
        <v>662</v>
      </c>
      <c r="B585" s="4"/>
      <c r="C585" s="4"/>
      <c r="D585" s="4"/>
      <c r="E585" s="12"/>
      <c r="G585" s="147" t="s">
        <v>662</v>
      </c>
      <c r="H585" s="159">
        <v>69.968000000000004</v>
      </c>
      <c r="I585" s="153">
        <v>70.400000000000006</v>
      </c>
      <c r="J585" s="153">
        <v>70.31</v>
      </c>
      <c r="K585" s="153">
        <v>70.349999999999994</v>
      </c>
      <c r="L585" s="153">
        <v>70.39</v>
      </c>
      <c r="M585" s="80">
        <f t="shared" si="18"/>
        <v>70.400000000000006</v>
      </c>
      <c r="N585" s="80">
        <f t="shared" si="19"/>
        <v>70.31</v>
      </c>
      <c r="O585" s="153">
        <v>21.17</v>
      </c>
      <c r="P585" s="153">
        <v>21.11</v>
      </c>
      <c r="Q585" s="153">
        <v>21.11</v>
      </c>
      <c r="R585" s="153">
        <v>21.1</v>
      </c>
      <c r="S585" s="4"/>
      <c r="U585" s="147" t="s">
        <v>662</v>
      </c>
      <c r="V585" s="11"/>
      <c r="W585" s="4"/>
      <c r="X585" s="12"/>
      <c r="Y585" s="14"/>
      <c r="Z585" s="4"/>
      <c r="AA585" s="13"/>
      <c r="AB585" s="11"/>
      <c r="AC585" s="4"/>
      <c r="AD585" s="12"/>
      <c r="AE585" s="13"/>
      <c r="AF585" s="14">
        <v>5.0152999999999999</v>
      </c>
      <c r="AG585" s="133"/>
      <c r="AI585" s="84"/>
      <c r="AL585" s="64">
        <v>4.1729761166666659</v>
      </c>
      <c r="AM585" s="56">
        <v>13.78000000000004</v>
      </c>
      <c r="AN585" s="56">
        <v>15.640000000000139</v>
      </c>
      <c r="AO585" s="62">
        <v>21.600000000000112</v>
      </c>
      <c r="AQ585" s="64">
        <v>4.0812657666666663</v>
      </c>
      <c r="AR585" s="56">
        <v>13.159999999999879</v>
      </c>
      <c r="AS585" s="56">
        <v>14.519999999999911</v>
      </c>
      <c r="AT585" s="62">
        <v>18.399999999999931</v>
      </c>
      <c r="AV585" s="64">
        <v>3.7276973833333331</v>
      </c>
      <c r="AW585" s="56">
        <v>12.819999999999959</v>
      </c>
      <c r="AX585" s="56">
        <v>14.19999999999995</v>
      </c>
      <c r="AY585" s="62">
        <v>18.739999999999931</v>
      </c>
      <c r="BA585" s="64">
        <v>3.188220733333333</v>
      </c>
      <c r="BB585" s="56">
        <v>15.55999999999997</v>
      </c>
      <c r="BC585" s="56">
        <v>17.899999999999942</v>
      </c>
      <c r="BD585" s="62">
        <v>29.559999999999938</v>
      </c>
      <c r="BF585" s="64">
        <v>2.9424942833333341</v>
      </c>
      <c r="BG585" s="56">
        <v>19.679999999999961</v>
      </c>
      <c r="BH585" s="56">
        <v>26.779999999999941</v>
      </c>
      <c r="BI585" s="62">
        <v>56.119999999999948</v>
      </c>
      <c r="BJ585" s="69"/>
      <c r="BK585" s="51"/>
    </row>
    <row r="586" spans="1:63" x14ac:dyDescent="0.4">
      <c r="A586" s="11" t="s">
        <v>663</v>
      </c>
      <c r="B586" s="4"/>
      <c r="C586" s="4"/>
      <c r="D586" s="4"/>
      <c r="E586" s="12"/>
      <c r="G586" s="147" t="s">
        <v>663</v>
      </c>
      <c r="H586" s="159">
        <v>70.012</v>
      </c>
      <c r="I586" s="153">
        <v>70.28</v>
      </c>
      <c r="J586" s="153">
        <v>70.39</v>
      </c>
      <c r="K586" s="153">
        <v>70.36</v>
      </c>
      <c r="L586" s="153">
        <v>70.28</v>
      </c>
      <c r="M586" s="80">
        <f t="shared" si="18"/>
        <v>70.39</v>
      </c>
      <c r="N586" s="80">
        <f t="shared" si="19"/>
        <v>70.28</v>
      </c>
      <c r="O586" s="153">
        <v>21.14</v>
      </c>
      <c r="P586" s="153">
        <v>21.16</v>
      </c>
      <c r="Q586" s="153">
        <v>21.11</v>
      </c>
      <c r="R586" s="153">
        <v>21.1</v>
      </c>
      <c r="S586" s="4"/>
      <c r="U586" s="147" t="s">
        <v>663</v>
      </c>
      <c r="V586" s="11"/>
      <c r="W586" s="4"/>
      <c r="X586" s="12"/>
      <c r="Y586" s="14"/>
      <c r="Z586" s="4"/>
      <c r="AA586" s="13"/>
      <c r="AB586" s="11"/>
      <c r="AC586" s="4"/>
      <c r="AD586" s="12"/>
      <c r="AE586" s="13"/>
      <c r="AF586" s="14">
        <v>5.0143000000000004</v>
      </c>
      <c r="AG586" s="133"/>
      <c r="AI586" s="84"/>
      <c r="AL586" s="64">
        <v>4.1728315499999997</v>
      </c>
      <c r="AM586" s="56">
        <v>15.079999999999851</v>
      </c>
      <c r="AN586" s="56">
        <v>17.099999999999941</v>
      </c>
      <c r="AO586" s="62">
        <v>23.359999999999911</v>
      </c>
      <c r="AQ586" s="64">
        <v>4.0816008833333344</v>
      </c>
      <c r="AR586" s="56">
        <v>14.539999999999861</v>
      </c>
      <c r="AS586" s="56">
        <v>16.039999999999921</v>
      </c>
      <c r="AT586" s="62">
        <v>20.19999999999991</v>
      </c>
      <c r="AV586" s="64">
        <v>3.727964350000001</v>
      </c>
      <c r="AW586" s="56">
        <v>14.14</v>
      </c>
      <c r="AX586" s="56">
        <v>15.660000000000011</v>
      </c>
      <c r="AY586" s="62">
        <v>20.54</v>
      </c>
      <c r="BA586" s="64">
        <v>3.1836037500000001</v>
      </c>
      <c r="BB586" s="56">
        <v>16.98000000000004</v>
      </c>
      <c r="BC586" s="56">
        <v>19.520000000000071</v>
      </c>
      <c r="BD586" s="62">
        <v>31.68000000000006</v>
      </c>
      <c r="BF586" s="64">
        <v>2.9372037666666668</v>
      </c>
      <c r="BG586" s="56">
        <v>21.400000000000041</v>
      </c>
      <c r="BH586" s="56">
        <v>29</v>
      </c>
      <c r="BI586" s="62">
        <v>59.500000000000057</v>
      </c>
      <c r="BJ586" s="69"/>
      <c r="BK586" s="51"/>
    </row>
    <row r="587" spans="1:63" x14ac:dyDescent="0.4">
      <c r="A587" s="11" t="s">
        <v>664</v>
      </c>
      <c r="B587" s="4"/>
      <c r="C587" s="4"/>
      <c r="D587" s="4"/>
      <c r="E587" s="12"/>
      <c r="G587" s="147" t="s">
        <v>664</v>
      </c>
      <c r="H587" s="159">
        <v>70.006</v>
      </c>
      <c r="I587" s="153">
        <v>70.31</v>
      </c>
      <c r="J587" s="153">
        <v>70.36</v>
      </c>
      <c r="K587" s="153">
        <v>70.28</v>
      </c>
      <c r="L587" s="153">
        <v>70.349999999999994</v>
      </c>
      <c r="M587" s="80">
        <f t="shared" si="18"/>
        <v>70.36</v>
      </c>
      <c r="N587" s="80">
        <f t="shared" si="19"/>
        <v>70.28</v>
      </c>
      <c r="O587" s="153">
        <v>21.2</v>
      </c>
      <c r="P587" s="153">
        <v>21.08</v>
      </c>
      <c r="Q587" s="153">
        <v>21.15</v>
      </c>
      <c r="R587" s="153">
        <v>21.11</v>
      </c>
      <c r="S587" s="4"/>
      <c r="U587" s="147" t="s">
        <v>664</v>
      </c>
      <c r="V587" s="11"/>
      <c r="W587" s="4"/>
      <c r="X587" s="12"/>
      <c r="Y587" s="14"/>
      <c r="Z587" s="4"/>
      <c r="AA587" s="13"/>
      <c r="AB587" s="11"/>
      <c r="AC587" s="4"/>
      <c r="AD587" s="12"/>
      <c r="AE587" s="13"/>
      <c r="AF587" s="14">
        <v>5.0228999999999999</v>
      </c>
      <c r="AG587" s="133"/>
      <c r="AI587" s="84"/>
      <c r="AL587" s="64">
        <v>4.1730326333333334</v>
      </c>
      <c r="AM587" s="56">
        <v>14.84000000000005</v>
      </c>
      <c r="AN587" s="56">
        <v>16.880000000000091</v>
      </c>
      <c r="AO587" s="62">
        <v>23.119999999999941</v>
      </c>
      <c r="AQ587" s="64">
        <v>4.0822897333333339</v>
      </c>
      <c r="AR587" s="56">
        <v>14.499999999999959</v>
      </c>
      <c r="AS587" s="56">
        <v>16.000000000000011</v>
      </c>
      <c r="AT587" s="62">
        <v>20.16</v>
      </c>
      <c r="AV587" s="64">
        <v>3.728664600000001</v>
      </c>
      <c r="AW587" s="56">
        <v>14.079999999999959</v>
      </c>
      <c r="AX587" s="56">
        <v>15.599999999999969</v>
      </c>
      <c r="AY587" s="62">
        <v>20.460000000000012</v>
      </c>
      <c r="BA587" s="64">
        <v>3.1835053833333329</v>
      </c>
      <c r="BB587" s="56">
        <v>16.88000000000001</v>
      </c>
      <c r="BC587" s="56">
        <v>19.420000000000041</v>
      </c>
      <c r="BD587" s="62">
        <v>31.660000000000021</v>
      </c>
      <c r="BF587" s="64">
        <v>2.9408235</v>
      </c>
      <c r="BG587" s="56">
        <v>21.020000000000039</v>
      </c>
      <c r="BH587" s="56">
        <v>28.62</v>
      </c>
      <c r="BI587" s="62">
        <v>58.8</v>
      </c>
      <c r="BJ587" s="70"/>
      <c r="BK587" s="51"/>
    </row>
    <row r="588" spans="1:63" x14ac:dyDescent="0.4">
      <c r="A588" s="11" t="s">
        <v>665</v>
      </c>
      <c r="B588" s="4"/>
      <c r="C588" s="4"/>
      <c r="D588" s="4"/>
      <c r="E588" s="12"/>
      <c r="G588" s="147" t="s">
        <v>665</v>
      </c>
      <c r="H588" s="159">
        <v>69.930000000000007</v>
      </c>
      <c r="I588" s="153">
        <v>70.31</v>
      </c>
      <c r="J588" s="153">
        <v>70.349999999999994</v>
      </c>
      <c r="K588" s="153">
        <v>70.28</v>
      </c>
      <c r="L588" s="153">
        <v>70.38</v>
      </c>
      <c r="M588" s="80">
        <f t="shared" si="18"/>
        <v>70.38</v>
      </c>
      <c r="N588" s="80">
        <f t="shared" si="19"/>
        <v>70.28</v>
      </c>
      <c r="O588" s="153">
        <v>21.22</v>
      </c>
      <c r="P588" s="153">
        <v>21.02</v>
      </c>
      <c r="Q588" s="153">
        <v>21.15</v>
      </c>
      <c r="R588" s="153">
        <v>21.09</v>
      </c>
      <c r="S588" s="4"/>
      <c r="U588" s="147" t="s">
        <v>665</v>
      </c>
      <c r="V588" s="11"/>
      <c r="W588" s="4"/>
      <c r="X588" s="12"/>
      <c r="Y588" s="14"/>
      <c r="Z588" s="4"/>
      <c r="AA588" s="13"/>
      <c r="AB588" s="11"/>
      <c r="AC588" s="4"/>
      <c r="AD588" s="12"/>
      <c r="AE588" s="13"/>
      <c r="AF588" s="14">
        <v>5.0137999999999998</v>
      </c>
      <c r="AG588" s="133"/>
      <c r="AI588" s="84"/>
      <c r="AL588" s="64">
        <v>4.173050233333333</v>
      </c>
      <c r="AM588" s="56">
        <v>14.739999999999929</v>
      </c>
      <c r="AN588" s="56">
        <v>16.719999999999931</v>
      </c>
      <c r="AO588" s="62">
        <v>22.94</v>
      </c>
      <c r="AQ588" s="64">
        <v>4.0811839500000007</v>
      </c>
      <c r="AR588" s="56">
        <v>14.279999999999941</v>
      </c>
      <c r="AS588" s="56">
        <v>15.760000000000041</v>
      </c>
      <c r="AT588" s="62">
        <v>19.93999999999998</v>
      </c>
      <c r="AV588" s="64">
        <v>3.7279354833333329</v>
      </c>
      <c r="AW588" s="56">
        <v>13.960000000000059</v>
      </c>
      <c r="AX588" s="56">
        <v>15.460000000000029</v>
      </c>
      <c r="AY588" s="62">
        <v>20.300000000000029</v>
      </c>
      <c r="BA588" s="64">
        <v>3.185281816666667</v>
      </c>
      <c r="BB588" s="56">
        <v>16.740000000000069</v>
      </c>
      <c r="BC588" s="56">
        <v>19.260000000000051</v>
      </c>
      <c r="BD588" s="62">
        <v>31.320000000000011</v>
      </c>
      <c r="BF588" s="64">
        <v>2.93457115</v>
      </c>
      <c r="BG588" s="56">
        <v>21.13999999999994</v>
      </c>
      <c r="BH588" s="56">
        <v>28.719999999999949</v>
      </c>
      <c r="BI588" s="62">
        <v>59.159999999999968</v>
      </c>
      <c r="BJ588" s="69"/>
      <c r="BK588" s="51"/>
    </row>
    <row r="589" spans="1:63" x14ac:dyDescent="0.4">
      <c r="A589" s="11" t="s">
        <v>666</v>
      </c>
      <c r="B589" s="4"/>
      <c r="C589" s="4"/>
      <c r="D589" s="4"/>
      <c r="E589" s="12"/>
      <c r="G589" s="147" t="s">
        <v>666</v>
      </c>
      <c r="H589" s="159">
        <v>69.971999999999994</v>
      </c>
      <c r="I589" s="153">
        <v>70.400000000000006</v>
      </c>
      <c r="J589" s="153">
        <v>70.400000000000006</v>
      </c>
      <c r="K589" s="153">
        <v>70.37</v>
      </c>
      <c r="L589" s="153">
        <v>70.290000000000006</v>
      </c>
      <c r="M589" s="80">
        <f t="shared" si="18"/>
        <v>70.400000000000006</v>
      </c>
      <c r="N589" s="80">
        <f t="shared" si="19"/>
        <v>70.290000000000006</v>
      </c>
      <c r="O589" s="153">
        <v>21.07</v>
      </c>
      <c r="P589" s="153">
        <v>21.14</v>
      </c>
      <c r="Q589" s="153">
        <v>21.08</v>
      </c>
      <c r="R589" s="153">
        <v>21.02</v>
      </c>
      <c r="S589" s="4"/>
      <c r="U589" s="147" t="s">
        <v>666</v>
      </c>
      <c r="V589" s="11"/>
      <c r="W589" s="4"/>
      <c r="X589" s="12"/>
      <c r="Y589" s="14"/>
      <c r="Z589" s="4"/>
      <c r="AA589" s="13"/>
      <c r="AB589" s="11"/>
      <c r="AC589" s="4"/>
      <c r="AD589" s="12"/>
      <c r="AE589" s="13"/>
      <c r="AF589" s="14">
        <v>5.0178000000000003</v>
      </c>
      <c r="AG589" s="133"/>
      <c r="AI589" s="84"/>
      <c r="AL589" s="64">
        <v>4.1728405666666664</v>
      </c>
      <c r="AM589" s="56">
        <v>14.839999999999881</v>
      </c>
      <c r="AN589" s="56">
        <v>16.879999999999921</v>
      </c>
      <c r="AO589" s="62">
        <v>23.119999999999941</v>
      </c>
      <c r="AQ589" s="64">
        <v>4.0822068333333332</v>
      </c>
      <c r="AR589" s="56">
        <v>14.41999999999997</v>
      </c>
      <c r="AS589" s="56">
        <v>15.920000000000019</v>
      </c>
      <c r="AT589" s="62">
        <v>20.080000000000009</v>
      </c>
      <c r="AV589" s="64">
        <v>3.7286100000000011</v>
      </c>
      <c r="AW589" s="56">
        <v>14.03999999999996</v>
      </c>
      <c r="AX589" s="56">
        <v>15.55999999999997</v>
      </c>
      <c r="AY589" s="62">
        <v>20.420000000000019</v>
      </c>
      <c r="BA589" s="64">
        <v>3.183907183333333</v>
      </c>
      <c r="BB589" s="56">
        <v>17.020000000000039</v>
      </c>
      <c r="BC589" s="56">
        <v>19.58000000000002</v>
      </c>
      <c r="BD589" s="62">
        <v>31.9</v>
      </c>
      <c r="BF589" s="64">
        <v>2.940300833333334</v>
      </c>
      <c r="BG589" s="56">
        <v>21.360000000000049</v>
      </c>
      <c r="BH589" s="56">
        <v>28.920000000000009</v>
      </c>
      <c r="BI589" s="62">
        <v>59.339999999999989</v>
      </c>
      <c r="BJ589" s="70"/>
      <c r="BK589" s="51"/>
    </row>
    <row r="590" spans="1:63" x14ac:dyDescent="0.4">
      <c r="A590" s="11" t="s">
        <v>667</v>
      </c>
      <c r="B590" s="4"/>
      <c r="C590" s="4"/>
      <c r="D590" s="4"/>
      <c r="E590" s="12"/>
      <c r="G590" s="147" t="s">
        <v>667</v>
      </c>
      <c r="H590" s="159">
        <v>70.028000000000006</v>
      </c>
      <c r="I590" s="153">
        <v>70.37</v>
      </c>
      <c r="J590" s="153">
        <v>70.27</v>
      </c>
      <c r="K590" s="153">
        <v>70.27</v>
      </c>
      <c r="L590" s="153">
        <v>70.31</v>
      </c>
      <c r="M590" s="80">
        <f t="shared" si="18"/>
        <v>70.37</v>
      </c>
      <c r="N590" s="80">
        <f t="shared" si="19"/>
        <v>70.27</v>
      </c>
      <c r="O590" s="153">
        <v>21.2</v>
      </c>
      <c r="P590" s="153">
        <v>20.97</v>
      </c>
      <c r="Q590" s="153">
        <v>21.14</v>
      </c>
      <c r="R590" s="153">
        <v>21.08</v>
      </c>
      <c r="S590" s="4"/>
      <c r="U590" s="147" t="s">
        <v>667</v>
      </c>
      <c r="V590" s="11"/>
      <c r="W590" s="4"/>
      <c r="X590" s="12"/>
      <c r="Y590" s="14"/>
      <c r="Z590" s="4"/>
      <c r="AA590" s="13"/>
      <c r="AB590" s="11"/>
      <c r="AC590" s="4"/>
      <c r="AD590" s="12"/>
      <c r="AE590" s="13"/>
      <c r="AF590" s="14">
        <v>5.0326000000000004</v>
      </c>
      <c r="AG590" s="133"/>
      <c r="AI590" s="84"/>
      <c r="AL590" s="64">
        <v>4.1726218166666671</v>
      </c>
      <c r="AM590" s="56">
        <v>14.84000000000005</v>
      </c>
      <c r="AN590" s="56">
        <v>16.880000000000091</v>
      </c>
      <c r="AO590" s="62">
        <v>23.160000000000029</v>
      </c>
      <c r="AQ590" s="64">
        <v>4.0820004166666672</v>
      </c>
      <c r="AR590" s="56">
        <v>14.54000000000004</v>
      </c>
      <c r="AS590" s="56">
        <v>16.039999999999921</v>
      </c>
      <c r="AT590" s="62">
        <v>20.2</v>
      </c>
      <c r="AV590" s="64">
        <v>3.7287761000000001</v>
      </c>
      <c r="AW590" s="56">
        <v>14.119999999999949</v>
      </c>
      <c r="AX590" s="56">
        <v>15.63999999999997</v>
      </c>
      <c r="AY590" s="62">
        <v>20.51999999999996</v>
      </c>
      <c r="BA590" s="64">
        <v>3.1850016833333328</v>
      </c>
      <c r="BB590" s="56">
        <v>16.920000000000002</v>
      </c>
      <c r="BC590" s="56">
        <v>19.480000000000079</v>
      </c>
      <c r="BD590" s="62">
        <v>31.68000000000006</v>
      </c>
      <c r="BF590" s="64">
        <v>2.9404043500000001</v>
      </c>
      <c r="BG590" s="56">
        <v>21.219999999999931</v>
      </c>
      <c r="BH590" s="56">
        <v>28.759999999999941</v>
      </c>
      <c r="BI590" s="62">
        <v>58.899999999999949</v>
      </c>
      <c r="BJ590" s="70"/>
      <c r="BK590" s="51"/>
    </row>
    <row r="591" spans="1:63" x14ac:dyDescent="0.4">
      <c r="A591" s="11" t="s">
        <v>668</v>
      </c>
      <c r="B591" s="4"/>
      <c r="C591" s="4"/>
      <c r="D591" s="4"/>
      <c r="E591" s="12"/>
      <c r="G591" s="147" t="s">
        <v>668</v>
      </c>
      <c r="H591" s="159">
        <v>70.040999999999997</v>
      </c>
      <c r="I591" s="153">
        <v>70.33</v>
      </c>
      <c r="J591" s="153">
        <v>70.37</v>
      </c>
      <c r="K591" s="153">
        <v>70.36</v>
      </c>
      <c r="L591" s="153">
        <v>70.33</v>
      </c>
      <c r="M591" s="80">
        <f t="shared" si="18"/>
        <v>70.37</v>
      </c>
      <c r="N591" s="80">
        <f t="shared" si="19"/>
        <v>70.33</v>
      </c>
      <c r="O591" s="153">
        <v>21.16</v>
      </c>
      <c r="P591" s="153">
        <v>21.1</v>
      </c>
      <c r="Q591" s="153">
        <v>21.12</v>
      </c>
      <c r="R591" s="153">
        <v>21.02</v>
      </c>
      <c r="S591" s="4"/>
      <c r="U591" s="147" t="s">
        <v>668</v>
      </c>
      <c r="V591" s="11"/>
      <c r="W591" s="4"/>
      <c r="X591" s="12"/>
      <c r="Y591" s="14"/>
      <c r="Z591" s="4"/>
      <c r="AA591" s="13"/>
      <c r="AB591" s="11"/>
      <c r="AC591" s="4"/>
      <c r="AD591" s="12"/>
      <c r="AE591" s="13"/>
      <c r="AF591" s="14">
        <v>5.0301999999999998</v>
      </c>
      <c r="AG591" s="133"/>
      <c r="AI591" s="84"/>
      <c r="AL591" s="64">
        <v>4.1722400833333326</v>
      </c>
      <c r="AM591" s="56">
        <v>13.400000000000031</v>
      </c>
      <c r="AN591" s="56">
        <v>15.30000000000005</v>
      </c>
      <c r="AO591" s="62">
        <v>21.3000000000001</v>
      </c>
      <c r="AQ591" s="64">
        <v>4.0835316666666666</v>
      </c>
      <c r="AR591" s="56">
        <v>13.3799999999999</v>
      </c>
      <c r="AS591" s="56">
        <v>14.76000000000006</v>
      </c>
      <c r="AT591" s="62">
        <v>18.679999999999989</v>
      </c>
      <c r="AV591" s="64">
        <v>3.730436383333334</v>
      </c>
      <c r="AW591" s="56">
        <v>13.080000000000069</v>
      </c>
      <c r="AX591" s="56">
        <v>14.460000000000051</v>
      </c>
      <c r="AY591" s="62">
        <v>19.040000000000031</v>
      </c>
      <c r="BA591" s="64">
        <v>3.1907306000000002</v>
      </c>
      <c r="BB591" s="56">
        <v>15.95999999999993</v>
      </c>
      <c r="BC591" s="56">
        <v>18.359999999999928</v>
      </c>
      <c r="BD591" s="62">
        <v>30.139999999999919</v>
      </c>
      <c r="BF591" s="64">
        <v>2.9441491666666662</v>
      </c>
      <c r="BG591" s="56">
        <v>20.080000000000009</v>
      </c>
      <c r="BH591" s="56">
        <v>27.34000000000005</v>
      </c>
      <c r="BI591" s="62">
        <v>57.08000000000002</v>
      </c>
      <c r="BJ591" s="70"/>
      <c r="BK591" s="51"/>
    </row>
    <row r="592" spans="1:63" x14ac:dyDescent="0.4">
      <c r="A592" s="11" t="s">
        <v>669</v>
      </c>
      <c r="B592" s="4"/>
      <c r="C592" s="4"/>
      <c r="D592" s="4"/>
      <c r="E592" s="12"/>
      <c r="G592" s="147" t="s">
        <v>669</v>
      </c>
      <c r="H592" s="159">
        <v>70.049000000000007</v>
      </c>
      <c r="I592" s="153">
        <v>70.31</v>
      </c>
      <c r="J592" s="153">
        <v>70.400000000000006</v>
      </c>
      <c r="K592" s="153">
        <v>70.33</v>
      </c>
      <c r="L592" s="153">
        <v>70.33</v>
      </c>
      <c r="M592" s="80">
        <f t="shared" si="18"/>
        <v>70.400000000000006</v>
      </c>
      <c r="N592" s="80">
        <f t="shared" si="19"/>
        <v>70.31</v>
      </c>
      <c r="O592" s="153">
        <v>21.22</v>
      </c>
      <c r="P592" s="153">
        <v>21.08</v>
      </c>
      <c r="Q592" s="153">
        <v>21.11</v>
      </c>
      <c r="R592" s="153">
        <v>21.05</v>
      </c>
      <c r="S592" s="4"/>
      <c r="U592" s="147" t="s">
        <v>669</v>
      </c>
      <c r="V592" s="11"/>
      <c r="W592" s="4"/>
      <c r="X592" s="12"/>
      <c r="Y592" s="14"/>
      <c r="Z592" s="4"/>
      <c r="AA592" s="13"/>
      <c r="AB592" s="11"/>
      <c r="AC592" s="4"/>
      <c r="AD592" s="12"/>
      <c r="AE592" s="13"/>
      <c r="AF592" s="14">
        <v>5.0449000000000002</v>
      </c>
      <c r="AG592" s="133"/>
      <c r="AI592" s="84"/>
      <c r="AL592" s="64">
        <v>4.1727845166666668</v>
      </c>
      <c r="AM592" s="56">
        <v>13.85999999999985</v>
      </c>
      <c r="AN592" s="56">
        <v>15.759999999999859</v>
      </c>
      <c r="AO592" s="62">
        <v>21.77999999999987</v>
      </c>
      <c r="AQ592" s="64">
        <v>4.0809308</v>
      </c>
      <c r="AR592" s="56">
        <v>13.320000000000039</v>
      </c>
      <c r="AS592" s="56">
        <v>14.700000000000021</v>
      </c>
      <c r="AT592" s="62">
        <v>18.620000000000129</v>
      </c>
      <c r="AV592" s="64">
        <v>3.7273162166666669</v>
      </c>
      <c r="AW592" s="56">
        <v>12.999999999999989</v>
      </c>
      <c r="AX592" s="56">
        <v>14.39999999999992</v>
      </c>
      <c r="AY592" s="62">
        <v>18.98</v>
      </c>
      <c r="BA592" s="64">
        <v>3.1852242833333331</v>
      </c>
      <c r="BB592" s="56">
        <v>15.80000000000004</v>
      </c>
      <c r="BC592" s="56">
        <v>18.200000000000038</v>
      </c>
      <c r="BD592" s="62">
        <v>30.000000000000071</v>
      </c>
      <c r="BF592" s="64">
        <v>2.9385821499999998</v>
      </c>
      <c r="BG592" s="56">
        <v>19.979999999999979</v>
      </c>
      <c r="BH592" s="56">
        <v>27.120000000000029</v>
      </c>
      <c r="BI592" s="62">
        <v>56.899999999999991</v>
      </c>
      <c r="BJ592" s="70"/>
      <c r="BK592" s="51"/>
    </row>
    <row r="593" spans="1:63" x14ac:dyDescent="0.4">
      <c r="A593" s="11" t="s">
        <v>670</v>
      </c>
      <c r="B593" s="4"/>
      <c r="C593" s="4"/>
      <c r="D593" s="4"/>
      <c r="E593" s="12"/>
      <c r="G593" s="147" t="s">
        <v>670</v>
      </c>
      <c r="H593" s="159">
        <v>70.004000000000005</v>
      </c>
      <c r="I593" s="153">
        <v>70.290000000000006</v>
      </c>
      <c r="J593" s="153">
        <v>70.37</v>
      </c>
      <c r="K593" s="153">
        <v>70.36</v>
      </c>
      <c r="L593" s="153">
        <v>70.3</v>
      </c>
      <c r="M593" s="80">
        <f t="shared" si="18"/>
        <v>70.37</v>
      </c>
      <c r="N593" s="80">
        <f t="shared" si="19"/>
        <v>70.290000000000006</v>
      </c>
      <c r="O593" s="153">
        <v>21.16</v>
      </c>
      <c r="P593" s="153">
        <v>21.15</v>
      </c>
      <c r="Q593" s="153">
        <v>21.1</v>
      </c>
      <c r="R593" s="153">
        <v>21.09</v>
      </c>
      <c r="S593" s="4"/>
      <c r="U593" s="147" t="s">
        <v>670</v>
      </c>
      <c r="V593" s="11"/>
      <c r="W593" s="4"/>
      <c r="X593" s="12"/>
      <c r="Y593" s="14"/>
      <c r="Z593" s="4"/>
      <c r="AA593" s="13"/>
      <c r="AB593" s="11"/>
      <c r="AC593" s="4"/>
      <c r="AD593" s="12"/>
      <c r="AE593" s="13"/>
      <c r="AF593" s="14">
        <v>5.0345000000000004</v>
      </c>
      <c r="AG593" s="133"/>
      <c r="AI593" s="84"/>
      <c r="AL593" s="64">
        <v>4.1726143999999996</v>
      </c>
      <c r="AM593" s="56">
        <v>13.879999999999979</v>
      </c>
      <c r="AN593" s="56">
        <v>15.760000000000041</v>
      </c>
      <c r="AO593" s="62">
        <v>21.78000000000004</v>
      </c>
      <c r="AQ593" s="64">
        <v>4.0806529833333336</v>
      </c>
      <c r="AR593" s="56">
        <v>13.320000000000039</v>
      </c>
      <c r="AS593" s="56">
        <v>14.700000000000021</v>
      </c>
      <c r="AT593" s="62">
        <v>18.60000000000008</v>
      </c>
      <c r="AV593" s="64">
        <v>3.7273239166666672</v>
      </c>
      <c r="AW593" s="56">
        <v>13.019999999999939</v>
      </c>
      <c r="AX593" s="56">
        <v>14.41999999999997</v>
      </c>
      <c r="AY593" s="62">
        <v>19.019999999999989</v>
      </c>
      <c r="BA593" s="64">
        <v>3.189603716666666</v>
      </c>
      <c r="BB593" s="56">
        <v>16.04000000000001</v>
      </c>
      <c r="BC593" s="56">
        <v>18.420000000000059</v>
      </c>
      <c r="BD593" s="62">
        <v>30.140000000000011</v>
      </c>
      <c r="BF593" s="64">
        <v>2.9409036</v>
      </c>
      <c r="BG593" s="56">
        <v>20.300000000000029</v>
      </c>
      <c r="BH593" s="56">
        <v>27.519999999999989</v>
      </c>
      <c r="BI593" s="62">
        <v>57.24</v>
      </c>
      <c r="BJ593" s="70"/>
      <c r="BK593" s="51"/>
    </row>
    <row r="594" spans="1:63" x14ac:dyDescent="0.4">
      <c r="A594" s="11" t="s">
        <v>671</v>
      </c>
      <c r="B594" s="4"/>
      <c r="C594" s="4"/>
      <c r="D594" s="4"/>
      <c r="E594" s="12"/>
      <c r="G594" s="147" t="s">
        <v>671</v>
      </c>
      <c r="H594" s="159">
        <v>70.051000000000002</v>
      </c>
      <c r="I594" s="153">
        <v>70.28</v>
      </c>
      <c r="J594" s="153">
        <v>70.36</v>
      </c>
      <c r="K594" s="153">
        <v>70.36</v>
      </c>
      <c r="L594" s="153">
        <v>70.31</v>
      </c>
      <c r="M594" s="80">
        <f t="shared" si="18"/>
        <v>70.36</v>
      </c>
      <c r="N594" s="80">
        <f t="shared" si="19"/>
        <v>70.28</v>
      </c>
      <c r="O594" s="153">
        <v>21.17</v>
      </c>
      <c r="P594" s="153">
        <v>21.08</v>
      </c>
      <c r="Q594" s="153">
        <v>21.14</v>
      </c>
      <c r="R594" s="153">
        <v>21.05</v>
      </c>
      <c r="S594" s="4"/>
      <c r="U594" s="147" t="s">
        <v>671</v>
      </c>
      <c r="V594" s="11"/>
      <c r="W594" s="4"/>
      <c r="X594" s="12"/>
      <c r="Y594" s="14"/>
      <c r="Z594" s="4"/>
      <c r="AA594" s="13"/>
      <c r="AB594" s="11"/>
      <c r="AC594" s="4"/>
      <c r="AD594" s="12"/>
      <c r="AE594" s="13"/>
      <c r="AF594" s="14">
        <v>5.0425000000000004</v>
      </c>
      <c r="AG594" s="133"/>
      <c r="AI594" s="84"/>
      <c r="AL594" s="64">
        <v>4.1725682000000006</v>
      </c>
      <c r="AM594" s="56">
        <v>13.86000000000003</v>
      </c>
      <c r="AN594" s="56">
        <v>15.740000000000091</v>
      </c>
      <c r="AO594" s="62">
        <v>21.76000000000009</v>
      </c>
      <c r="AQ594" s="64">
        <v>4.080769366666666</v>
      </c>
      <c r="AR594" s="56">
        <v>13.320000000000039</v>
      </c>
      <c r="AS594" s="56">
        <v>14.700000000000021</v>
      </c>
      <c r="AT594" s="62">
        <v>18.599999999999991</v>
      </c>
      <c r="AV594" s="64">
        <v>3.7270930999999989</v>
      </c>
      <c r="AW594" s="56">
        <v>12.979999999999951</v>
      </c>
      <c r="AX594" s="56">
        <v>14.35999999999993</v>
      </c>
      <c r="AY594" s="62">
        <v>18.959999999999951</v>
      </c>
      <c r="BA594" s="64">
        <v>3.1875025333333342</v>
      </c>
      <c r="BB594" s="56">
        <v>15.880000000000029</v>
      </c>
      <c r="BC594" s="56">
        <v>18.200000000000038</v>
      </c>
      <c r="BD594" s="62">
        <v>30.000000000000071</v>
      </c>
      <c r="BF594" s="64">
        <v>2.9448612666666669</v>
      </c>
      <c r="BG594" s="56">
        <v>19.880000000000031</v>
      </c>
      <c r="BH594" s="56">
        <v>26.999999999999961</v>
      </c>
      <c r="BI594" s="62">
        <v>56.099999999999987</v>
      </c>
      <c r="BJ594" s="70"/>
      <c r="BK594" s="51"/>
    </row>
    <row r="595" spans="1:63" x14ac:dyDescent="0.4">
      <c r="A595" s="11" t="s">
        <v>672</v>
      </c>
      <c r="B595" s="4"/>
      <c r="C595" s="4"/>
      <c r="D595" s="4"/>
      <c r="E595" s="12"/>
      <c r="G595" s="147" t="s">
        <v>672</v>
      </c>
      <c r="H595" s="159">
        <v>69.989999999999995</v>
      </c>
      <c r="I595" s="153">
        <v>70.39</v>
      </c>
      <c r="J595" s="153">
        <v>70.290000000000006</v>
      </c>
      <c r="K595" s="153">
        <v>70.33</v>
      </c>
      <c r="L595" s="153">
        <v>70.39</v>
      </c>
      <c r="M595" s="80">
        <f t="shared" si="18"/>
        <v>70.39</v>
      </c>
      <c r="N595" s="80">
        <f t="shared" si="19"/>
        <v>70.290000000000006</v>
      </c>
      <c r="O595" s="153">
        <v>21.18</v>
      </c>
      <c r="P595" s="153">
        <v>21.1</v>
      </c>
      <c r="Q595" s="153">
        <v>21.15</v>
      </c>
      <c r="R595" s="153">
        <v>21.09</v>
      </c>
      <c r="S595" s="4"/>
      <c r="U595" s="147" t="s">
        <v>672</v>
      </c>
      <c r="V595" s="11"/>
      <c r="W595" s="4"/>
      <c r="X595" s="12"/>
      <c r="Y595" s="14"/>
      <c r="Z595" s="4"/>
      <c r="AA595" s="13"/>
      <c r="AB595" s="11"/>
      <c r="AC595" s="4"/>
      <c r="AD595" s="12"/>
      <c r="AE595" s="13"/>
      <c r="AF595" s="14">
        <v>5.0189000000000004</v>
      </c>
      <c r="AG595" s="133"/>
      <c r="AI595" s="84"/>
      <c r="AL595" s="64">
        <v>4.1724840666666667</v>
      </c>
      <c r="AM595" s="56">
        <v>13.90000000000011</v>
      </c>
      <c r="AN595" s="56">
        <v>15.80000000000013</v>
      </c>
      <c r="AO595" s="62">
        <v>21.820000000000132</v>
      </c>
      <c r="AQ595" s="64">
        <v>4.081369116666667</v>
      </c>
      <c r="AR595" s="56">
        <v>13.50000000000016</v>
      </c>
      <c r="AS595" s="56">
        <v>14.880000000000139</v>
      </c>
      <c r="AT595" s="62">
        <v>18.800000000000061</v>
      </c>
      <c r="AV595" s="64">
        <v>3.7280331666666671</v>
      </c>
      <c r="AW595" s="56">
        <v>13.239999999999959</v>
      </c>
      <c r="AX595" s="56">
        <v>14.66000000000003</v>
      </c>
      <c r="AY595" s="62">
        <v>19.280000000000008</v>
      </c>
      <c r="BA595" s="64">
        <v>3.1902782666666671</v>
      </c>
      <c r="BB595" s="56">
        <v>16.300000000000029</v>
      </c>
      <c r="BC595" s="56">
        <v>18.719999999999981</v>
      </c>
      <c r="BD595" s="62">
        <v>30.480000000000022</v>
      </c>
      <c r="BF595" s="64">
        <v>2.9433329499999998</v>
      </c>
      <c r="BG595" s="56">
        <v>20.500000000000011</v>
      </c>
      <c r="BH595" s="56">
        <v>27.80000000000005</v>
      </c>
      <c r="BI595" s="62">
        <v>57.24</v>
      </c>
      <c r="BJ595" s="70"/>
      <c r="BK595" s="51"/>
    </row>
    <row r="596" spans="1:63" x14ac:dyDescent="0.4">
      <c r="A596" s="11" t="s">
        <v>673</v>
      </c>
      <c r="B596" s="4"/>
      <c r="C596" s="4"/>
      <c r="D596" s="4"/>
      <c r="E596" s="12"/>
      <c r="G596" s="147" t="s">
        <v>673</v>
      </c>
      <c r="H596" s="159">
        <v>69.972999999999999</v>
      </c>
      <c r="I596" s="153">
        <v>70.319999999999993</v>
      </c>
      <c r="J596" s="153">
        <v>70.349999999999994</v>
      </c>
      <c r="K596" s="153">
        <v>70.319999999999993</v>
      </c>
      <c r="L596" s="153">
        <v>70.31</v>
      </c>
      <c r="M596" s="80">
        <f t="shared" si="18"/>
        <v>70.349999999999994</v>
      </c>
      <c r="N596" s="80">
        <f t="shared" si="19"/>
        <v>70.31</v>
      </c>
      <c r="O596" s="153">
        <v>21.15</v>
      </c>
      <c r="P596" s="153">
        <v>21.18</v>
      </c>
      <c r="Q596" s="153">
        <v>21.15</v>
      </c>
      <c r="R596" s="153">
        <v>21.11</v>
      </c>
      <c r="S596" s="4"/>
      <c r="U596" s="147" t="s">
        <v>673</v>
      </c>
      <c r="V596" s="11"/>
      <c r="W596" s="4"/>
      <c r="X596" s="12"/>
      <c r="Y596" s="14"/>
      <c r="Z596" s="4"/>
      <c r="AA596" s="13"/>
      <c r="AB596" s="11"/>
      <c r="AC596" s="4"/>
      <c r="AD596" s="12"/>
      <c r="AE596" s="13"/>
      <c r="AF596" s="14">
        <v>5.0195999999999996</v>
      </c>
      <c r="AG596" s="133"/>
      <c r="AI596" s="84"/>
      <c r="AL596" s="64">
        <v>4.1724874833333336</v>
      </c>
      <c r="AM596" s="56">
        <v>14.400000000000009</v>
      </c>
      <c r="AN596" s="56">
        <v>16.400000000000151</v>
      </c>
      <c r="AO596" s="62">
        <v>22.60000000000009</v>
      </c>
      <c r="AQ596" s="64">
        <v>4.0821985166666677</v>
      </c>
      <c r="AR596" s="56">
        <v>14.33999999999997</v>
      </c>
      <c r="AS596" s="56">
        <v>15.82000000000008</v>
      </c>
      <c r="AT596" s="62">
        <v>19.979999999999979</v>
      </c>
      <c r="AV596" s="64">
        <v>3.728831883333334</v>
      </c>
      <c r="AW596" s="56">
        <v>14.02000000000001</v>
      </c>
      <c r="AX596" s="56">
        <v>15.51999999999998</v>
      </c>
      <c r="AY596" s="62">
        <v>20.359999999999982</v>
      </c>
      <c r="BA596" s="64">
        <v>3.1852726833333338</v>
      </c>
      <c r="BB596" s="56">
        <v>16.860000000000049</v>
      </c>
      <c r="BC596" s="56">
        <v>19.380000000000042</v>
      </c>
      <c r="BD596" s="62">
        <v>31.540000000000031</v>
      </c>
      <c r="BF596" s="64">
        <v>2.9383907666666671</v>
      </c>
      <c r="BG596" s="56">
        <v>21.199999999999971</v>
      </c>
      <c r="BH596" s="56">
        <v>28.739999999999991</v>
      </c>
      <c r="BI596" s="62">
        <v>59.220000000000013</v>
      </c>
      <c r="BJ596" s="70"/>
      <c r="BK596" s="51"/>
    </row>
    <row r="597" spans="1:63" x14ac:dyDescent="0.4">
      <c r="A597" s="11" t="s">
        <v>674</v>
      </c>
      <c r="B597" s="4"/>
      <c r="C597" s="4"/>
      <c r="D597" s="4"/>
      <c r="E597" s="12"/>
      <c r="G597" s="147" t="s">
        <v>674</v>
      </c>
      <c r="H597" s="159">
        <v>69.968999999999994</v>
      </c>
      <c r="I597" s="153">
        <v>70.400000000000006</v>
      </c>
      <c r="J597" s="153">
        <v>70.319999999999993</v>
      </c>
      <c r="K597" s="153">
        <v>70.39</v>
      </c>
      <c r="L597" s="153">
        <v>70.3</v>
      </c>
      <c r="M597" s="80">
        <f t="shared" si="18"/>
        <v>70.400000000000006</v>
      </c>
      <c r="N597" s="80">
        <f t="shared" si="19"/>
        <v>70.3</v>
      </c>
      <c r="O597" s="153">
        <v>21.2</v>
      </c>
      <c r="P597" s="153">
        <v>21.13</v>
      </c>
      <c r="Q597" s="153">
        <v>21.13</v>
      </c>
      <c r="R597" s="153">
        <v>21.07</v>
      </c>
      <c r="S597" s="4"/>
      <c r="U597" s="147" t="s">
        <v>674</v>
      </c>
      <c r="V597" s="11"/>
      <c r="W597" s="4"/>
      <c r="X597" s="12"/>
      <c r="Y597" s="14"/>
      <c r="Z597" s="4"/>
      <c r="AA597" s="13"/>
      <c r="AB597" s="11"/>
      <c r="AC597" s="4"/>
      <c r="AD597" s="12"/>
      <c r="AE597" s="13"/>
      <c r="AF597" s="14">
        <v>5.0193000000000003</v>
      </c>
      <c r="AG597" s="133"/>
      <c r="AI597" s="84"/>
      <c r="AL597" s="64">
        <v>4.1724927166666674</v>
      </c>
      <c r="AM597" s="56">
        <v>14.74000000000011</v>
      </c>
      <c r="AN597" s="56">
        <v>16.78000000000015</v>
      </c>
      <c r="AO597" s="62">
        <v>23.06000000000008</v>
      </c>
      <c r="AQ597" s="64">
        <v>4.0819643333333344</v>
      </c>
      <c r="AR597" s="56">
        <v>14.519999999999911</v>
      </c>
      <c r="AS597" s="56">
        <v>16.019999999999971</v>
      </c>
      <c r="AT597" s="62">
        <v>20.17999999999995</v>
      </c>
      <c r="AV597" s="64">
        <v>3.728637916666667</v>
      </c>
      <c r="AW597" s="56">
        <v>14.19999999999995</v>
      </c>
      <c r="AX597" s="56">
        <v>15.7</v>
      </c>
      <c r="AY597" s="62">
        <v>20.55999999999996</v>
      </c>
      <c r="BA597" s="64">
        <v>3.1848182166666672</v>
      </c>
      <c r="BB597" s="56">
        <v>16.719999999999931</v>
      </c>
      <c r="BC597" s="56">
        <v>19.23999999999992</v>
      </c>
      <c r="BD597" s="62">
        <v>31.319999999999929</v>
      </c>
      <c r="BF597" s="64">
        <v>2.937021483333333</v>
      </c>
      <c r="BG597" s="56">
        <v>21.040000000000081</v>
      </c>
      <c r="BH597" s="56">
        <v>28.62</v>
      </c>
      <c r="BI597" s="62">
        <v>59.120000000000061</v>
      </c>
      <c r="BJ597" s="70"/>
      <c r="BK597" s="51"/>
    </row>
    <row r="598" spans="1:63" x14ac:dyDescent="0.4">
      <c r="A598" s="11" t="s">
        <v>675</v>
      </c>
      <c r="B598" s="4"/>
      <c r="C598" s="4"/>
      <c r="D598" s="4"/>
      <c r="E598" s="12"/>
      <c r="G598" s="147" t="s">
        <v>675</v>
      </c>
      <c r="H598" s="159">
        <v>69.991</v>
      </c>
      <c r="I598" s="153">
        <v>70.3</v>
      </c>
      <c r="J598" s="153">
        <v>70.27</v>
      </c>
      <c r="K598" s="153">
        <v>70.349999999999994</v>
      </c>
      <c r="L598" s="153">
        <v>70.319999999999993</v>
      </c>
      <c r="M598" s="80">
        <f t="shared" si="18"/>
        <v>70.349999999999994</v>
      </c>
      <c r="N598" s="80">
        <f t="shared" si="19"/>
        <v>70.27</v>
      </c>
      <c r="O598" s="153">
        <v>21.21</v>
      </c>
      <c r="P598" s="153">
        <v>21.17</v>
      </c>
      <c r="Q598" s="153">
        <v>21.11</v>
      </c>
      <c r="R598" s="153">
        <v>21.1</v>
      </c>
      <c r="S598" s="4"/>
      <c r="U598" s="147" t="s">
        <v>675</v>
      </c>
      <c r="V598" s="11"/>
      <c r="W598" s="4"/>
      <c r="X598" s="12"/>
      <c r="Y598" s="14"/>
      <c r="Z598" s="4"/>
      <c r="AA598" s="13"/>
      <c r="AB598" s="11"/>
      <c r="AC598" s="4"/>
      <c r="AD598" s="12"/>
      <c r="AE598" s="13"/>
      <c r="AF598" s="14">
        <v>5.0190999999999999</v>
      </c>
      <c r="AG598" s="133"/>
      <c r="AI598" s="84"/>
      <c r="AL598" s="64">
        <v>4.1725899000000002</v>
      </c>
      <c r="AM598" s="56">
        <v>14.719999999999979</v>
      </c>
      <c r="AN598" s="56">
        <v>16.760000000000019</v>
      </c>
      <c r="AO598" s="62">
        <v>23.039999999999949</v>
      </c>
      <c r="AQ598" s="64">
        <v>4.0809786666666668</v>
      </c>
      <c r="AR598" s="56">
        <v>14.340000000000151</v>
      </c>
      <c r="AS598" s="56">
        <v>15.82000000000008</v>
      </c>
      <c r="AT598" s="62">
        <v>20.00000000000011</v>
      </c>
      <c r="AV598" s="64">
        <v>3.7274270999999999</v>
      </c>
      <c r="AW598" s="56">
        <v>14.08000000000005</v>
      </c>
      <c r="AX598" s="56">
        <v>15.58000000000002</v>
      </c>
      <c r="AY598" s="62">
        <v>20.460000000000012</v>
      </c>
      <c r="BA598" s="64">
        <v>3.1846218666666659</v>
      </c>
      <c r="BB598" s="56">
        <v>16.61999999999999</v>
      </c>
      <c r="BC598" s="56">
        <v>19.139999999999979</v>
      </c>
      <c r="BD598" s="62">
        <v>31.239999999999931</v>
      </c>
      <c r="BF598" s="64">
        <v>2.9409163166666672</v>
      </c>
      <c r="BG598" s="56">
        <v>20.920000000000009</v>
      </c>
      <c r="BH598" s="56">
        <v>28.420000000000019</v>
      </c>
      <c r="BI598" s="62">
        <v>58.46</v>
      </c>
      <c r="BJ598" s="70"/>
      <c r="BK598" s="51"/>
    </row>
    <row r="599" spans="1:63" x14ac:dyDescent="0.4">
      <c r="A599" s="11" t="s">
        <v>676</v>
      </c>
      <c r="B599" s="4"/>
      <c r="C599" s="4"/>
      <c r="D599" s="4"/>
      <c r="E599" s="12"/>
      <c r="G599" s="147" t="s">
        <v>676</v>
      </c>
      <c r="H599" s="159">
        <v>69.977999999999994</v>
      </c>
      <c r="I599" s="153">
        <v>70.38</v>
      </c>
      <c r="J599" s="153">
        <v>70.33</v>
      </c>
      <c r="K599" s="153">
        <v>70.400000000000006</v>
      </c>
      <c r="L599" s="153">
        <v>70.290000000000006</v>
      </c>
      <c r="M599" s="80">
        <f t="shared" si="18"/>
        <v>70.400000000000006</v>
      </c>
      <c r="N599" s="80">
        <f t="shared" si="19"/>
        <v>70.290000000000006</v>
      </c>
      <c r="O599" s="153">
        <v>21.2</v>
      </c>
      <c r="P599" s="153">
        <v>21.05</v>
      </c>
      <c r="Q599" s="153">
        <v>21.1</v>
      </c>
      <c r="R599" s="153">
        <v>21.08</v>
      </c>
      <c r="S599" s="4"/>
      <c r="U599" s="147" t="s">
        <v>676</v>
      </c>
      <c r="V599" s="11"/>
      <c r="W599" s="4"/>
      <c r="X599" s="12"/>
      <c r="Y599" s="14"/>
      <c r="Z599" s="4"/>
      <c r="AA599" s="13"/>
      <c r="AB599" s="11"/>
      <c r="AC599" s="4"/>
      <c r="AD599" s="12"/>
      <c r="AE599" s="13"/>
      <c r="AF599" s="14">
        <v>5.0156999999999998</v>
      </c>
      <c r="AG599" s="133"/>
      <c r="AI599" s="84"/>
      <c r="AL599" s="64">
        <v>4.1729289500000002</v>
      </c>
      <c r="AM599" s="56">
        <v>14.84000000000005</v>
      </c>
      <c r="AN599" s="56">
        <v>16.840000000000011</v>
      </c>
      <c r="AO599" s="62">
        <v>23.120000000000118</v>
      </c>
      <c r="AQ599" s="64">
        <v>4.0812499000000004</v>
      </c>
      <c r="AR599" s="56">
        <v>14.400000000000009</v>
      </c>
      <c r="AS599" s="56">
        <v>15.87999999999994</v>
      </c>
      <c r="AT599" s="62">
        <v>20.039999999999921</v>
      </c>
      <c r="AV599" s="64">
        <v>3.7278567499999991</v>
      </c>
      <c r="AW599" s="56">
        <v>13.959999999999971</v>
      </c>
      <c r="AX599" s="56">
        <v>15.460000000000029</v>
      </c>
      <c r="AY599" s="62">
        <v>20.300000000000029</v>
      </c>
      <c r="BA599" s="64">
        <v>3.1846959333333329</v>
      </c>
      <c r="BB599" s="56">
        <v>16.96</v>
      </c>
      <c r="BC599" s="56">
        <v>19.47999999999999</v>
      </c>
      <c r="BD599" s="62">
        <v>31.660000000000021</v>
      </c>
      <c r="BF599" s="64">
        <v>2.940153416666667</v>
      </c>
      <c r="BG599" s="56">
        <v>21.32000000000005</v>
      </c>
      <c r="BH599" s="56">
        <v>28.900000000000059</v>
      </c>
      <c r="BI599" s="62">
        <v>59.280000000000037</v>
      </c>
      <c r="BJ599" s="70"/>
      <c r="BK599" s="51"/>
    </row>
    <row r="600" spans="1:63" x14ac:dyDescent="0.4">
      <c r="A600" s="11" t="s">
        <v>677</v>
      </c>
      <c r="B600" s="4"/>
      <c r="C600" s="4"/>
      <c r="D600" s="4"/>
      <c r="E600" s="12"/>
      <c r="G600" s="147" t="s">
        <v>677</v>
      </c>
      <c r="H600" s="159">
        <v>70.061999999999998</v>
      </c>
      <c r="I600" s="153">
        <v>70.38</v>
      </c>
      <c r="J600" s="153">
        <v>70.37</v>
      </c>
      <c r="K600" s="153">
        <v>70.37</v>
      </c>
      <c r="L600" s="153">
        <v>70.38</v>
      </c>
      <c r="M600" s="80">
        <f t="shared" si="18"/>
        <v>70.38</v>
      </c>
      <c r="N600" s="80">
        <f t="shared" si="19"/>
        <v>70.37</v>
      </c>
      <c r="O600" s="153">
        <v>21.15</v>
      </c>
      <c r="P600" s="153">
        <v>21.12</v>
      </c>
      <c r="Q600" s="153">
        <v>21.1</v>
      </c>
      <c r="R600" s="153">
        <v>21.09</v>
      </c>
      <c r="S600" s="4"/>
      <c r="U600" s="147" t="s">
        <v>677</v>
      </c>
      <c r="V600" s="11"/>
      <c r="W600" s="4"/>
      <c r="X600" s="12"/>
      <c r="Y600" s="14"/>
      <c r="Z600" s="4"/>
      <c r="AA600" s="13"/>
      <c r="AB600" s="11"/>
      <c r="AC600" s="4"/>
      <c r="AD600" s="12"/>
      <c r="AE600" s="13"/>
      <c r="AF600" s="14">
        <v>5.0401999999999996</v>
      </c>
      <c r="AG600" s="133"/>
      <c r="AI600" s="84"/>
      <c r="AL600" s="64">
        <v>4.1731850333333336</v>
      </c>
      <c r="AM600" s="56">
        <v>15.11999999999993</v>
      </c>
      <c r="AN600" s="56">
        <v>17.159999999999979</v>
      </c>
      <c r="AO600" s="62">
        <v>23.419999999999948</v>
      </c>
      <c r="AQ600" s="64">
        <v>4.0815220333333331</v>
      </c>
      <c r="AR600" s="56">
        <v>14.620000000000029</v>
      </c>
      <c r="AS600" s="56">
        <v>16.14000000000004</v>
      </c>
      <c r="AT600" s="62">
        <v>20.339999999999939</v>
      </c>
      <c r="AV600" s="64">
        <v>3.7280602666666671</v>
      </c>
      <c r="AW600" s="56">
        <v>14.179999999999991</v>
      </c>
      <c r="AX600" s="56">
        <v>15.7</v>
      </c>
      <c r="AY600" s="62">
        <v>20.58</v>
      </c>
      <c r="BA600" s="64">
        <v>3.1838225666666671</v>
      </c>
      <c r="BB600" s="56">
        <v>17.01999999999995</v>
      </c>
      <c r="BC600" s="56">
        <v>19.559999999999981</v>
      </c>
      <c r="BD600" s="62">
        <v>31.740000000000009</v>
      </c>
      <c r="BF600" s="64">
        <v>2.9361108666666671</v>
      </c>
      <c r="BG600" s="56">
        <v>21.419999999999991</v>
      </c>
      <c r="BH600" s="56">
        <v>29.140000000000029</v>
      </c>
      <c r="BI600" s="62">
        <v>59.820000000000029</v>
      </c>
      <c r="BJ600" s="70"/>
      <c r="BK600" s="51"/>
    </row>
    <row r="601" spans="1:63" x14ac:dyDescent="0.4">
      <c r="A601" s="11" t="s">
        <v>678</v>
      </c>
      <c r="B601" s="4"/>
      <c r="C601" s="4"/>
      <c r="D601" s="4"/>
      <c r="E601" s="12"/>
      <c r="G601" s="147" t="s">
        <v>678</v>
      </c>
      <c r="H601" s="159">
        <v>69.959000000000003</v>
      </c>
      <c r="I601" s="153">
        <v>70.37</v>
      </c>
      <c r="J601" s="153">
        <v>70.349999999999994</v>
      </c>
      <c r="K601" s="153">
        <v>70.290000000000006</v>
      </c>
      <c r="L601" s="153">
        <v>70.27</v>
      </c>
      <c r="M601" s="80">
        <f t="shared" si="18"/>
        <v>70.37</v>
      </c>
      <c r="N601" s="80">
        <f t="shared" si="19"/>
        <v>70.27</v>
      </c>
      <c r="O601" s="153">
        <v>21.13</v>
      </c>
      <c r="P601" s="153">
        <v>21.08</v>
      </c>
      <c r="Q601" s="153">
        <v>21.08</v>
      </c>
      <c r="R601" s="153">
        <v>21.07</v>
      </c>
      <c r="S601" s="4"/>
      <c r="U601" s="147" t="s">
        <v>678</v>
      </c>
      <c r="V601" s="11"/>
      <c r="W601" s="4"/>
      <c r="X601" s="12"/>
      <c r="Y601" s="14"/>
      <c r="Z601" s="4"/>
      <c r="AA601" s="13"/>
      <c r="AB601" s="11"/>
      <c r="AC601" s="4"/>
      <c r="AD601" s="12"/>
      <c r="AE601" s="13"/>
      <c r="AF601" s="14">
        <v>5.0426000000000002</v>
      </c>
      <c r="AG601" s="133"/>
      <c r="AI601" s="84"/>
      <c r="AL601" s="64">
        <v>4.1730878499999999</v>
      </c>
      <c r="AM601" s="56">
        <v>13.68000000000009</v>
      </c>
      <c r="AN601" s="56">
        <v>15.55999999999997</v>
      </c>
      <c r="AO601" s="62">
        <v>21.56000000000002</v>
      </c>
      <c r="AQ601" s="64">
        <v>4.081893599999999</v>
      </c>
      <c r="AR601" s="56">
        <v>13.27999999999996</v>
      </c>
      <c r="AS601" s="56">
        <v>14.65999999999994</v>
      </c>
      <c r="AT601" s="62">
        <v>18.559999999999999</v>
      </c>
      <c r="AV601" s="64">
        <v>3.7286793166666672</v>
      </c>
      <c r="AW601" s="56">
        <v>12.999999999999989</v>
      </c>
      <c r="AX601" s="56">
        <v>14.380000000000059</v>
      </c>
      <c r="AY601" s="62">
        <v>18.98</v>
      </c>
      <c r="BA601" s="64">
        <v>3.190262333333334</v>
      </c>
      <c r="BB601" s="56">
        <v>15.80000000000004</v>
      </c>
      <c r="BC601" s="56">
        <v>18.219999999999992</v>
      </c>
      <c r="BD601" s="62">
        <v>29.84</v>
      </c>
      <c r="BF601" s="64">
        <v>2.9463881500000002</v>
      </c>
      <c r="BG601" s="56">
        <v>19.92000000000003</v>
      </c>
      <c r="BH601" s="56">
        <v>27.080000000000041</v>
      </c>
      <c r="BI601" s="62">
        <v>56.34000000000006</v>
      </c>
      <c r="BJ601" s="70"/>
      <c r="BK601" s="51"/>
    </row>
    <row r="602" spans="1:63" x14ac:dyDescent="0.4">
      <c r="A602" s="11" t="s">
        <v>679</v>
      </c>
      <c r="B602" s="4"/>
      <c r="C602" s="4"/>
      <c r="D602" s="4"/>
      <c r="E602" s="12"/>
      <c r="G602" s="147" t="s">
        <v>679</v>
      </c>
      <c r="H602" s="159">
        <v>70.016999999999996</v>
      </c>
      <c r="I602" s="153">
        <v>70.39</v>
      </c>
      <c r="J602" s="153">
        <v>70.349999999999994</v>
      </c>
      <c r="K602" s="153">
        <v>70.37</v>
      </c>
      <c r="L602" s="153">
        <v>70.33</v>
      </c>
      <c r="M602" s="80">
        <f t="shared" si="18"/>
        <v>70.39</v>
      </c>
      <c r="N602" s="80">
        <f t="shared" si="19"/>
        <v>70.33</v>
      </c>
      <c r="O602" s="153">
        <v>21.11</v>
      </c>
      <c r="P602" s="153">
        <v>21.11</v>
      </c>
      <c r="Q602" s="153">
        <v>21.13</v>
      </c>
      <c r="R602" s="153">
        <v>21.07</v>
      </c>
      <c r="S602" s="4"/>
      <c r="U602" s="147" t="s">
        <v>679</v>
      </c>
      <c r="V602" s="11"/>
      <c r="W602" s="4"/>
      <c r="X602" s="12"/>
      <c r="Y602" s="14"/>
      <c r="Z602" s="4"/>
      <c r="AA602" s="13"/>
      <c r="AB602" s="11"/>
      <c r="AC602" s="4"/>
      <c r="AD602" s="12"/>
      <c r="AE602" s="13"/>
      <c r="AF602" s="14">
        <v>5.0426000000000002</v>
      </c>
      <c r="AG602" s="133"/>
      <c r="AI602" s="84"/>
      <c r="AL602" s="64">
        <v>4.1734140499999999</v>
      </c>
      <c r="AM602" s="56">
        <v>13.86000000000003</v>
      </c>
      <c r="AN602" s="56">
        <v>15.799999999999949</v>
      </c>
      <c r="AO602" s="62">
        <v>21.819999999999951</v>
      </c>
      <c r="AQ602" s="64">
        <v>4.0826759499999996</v>
      </c>
      <c r="AR602" s="56">
        <v>13.49999999999998</v>
      </c>
      <c r="AS602" s="56">
        <v>14.87999999999996</v>
      </c>
      <c r="AT602" s="62">
        <v>18.820000000000011</v>
      </c>
      <c r="AV602" s="64">
        <v>3.7298762166666659</v>
      </c>
      <c r="AW602" s="56">
        <v>13.18000000000001</v>
      </c>
      <c r="AX602" s="56">
        <v>14.580000000000039</v>
      </c>
      <c r="AY602" s="62">
        <v>19.21999999999997</v>
      </c>
      <c r="BA602" s="64">
        <v>3.1922774500000002</v>
      </c>
      <c r="BB602" s="56">
        <v>16.099999999999959</v>
      </c>
      <c r="BC602" s="56">
        <v>18.459999999999969</v>
      </c>
      <c r="BD602" s="62">
        <v>30.07999999999997</v>
      </c>
      <c r="BF602" s="64">
        <v>2.94007255</v>
      </c>
      <c r="BG602" s="56">
        <v>20.39999999999997</v>
      </c>
      <c r="BH602" s="56">
        <v>27.559999999999981</v>
      </c>
      <c r="BI602" s="62">
        <v>57.28</v>
      </c>
      <c r="BJ602" s="70"/>
      <c r="BK602" s="51"/>
    </row>
    <row r="603" spans="1:63" x14ac:dyDescent="0.4">
      <c r="A603" s="11" t="s">
        <v>680</v>
      </c>
      <c r="B603" s="4"/>
      <c r="C603" s="4"/>
      <c r="D603" s="4"/>
      <c r="E603" s="12"/>
      <c r="G603" s="147" t="s">
        <v>680</v>
      </c>
      <c r="H603" s="159">
        <v>70.085999999999999</v>
      </c>
      <c r="I603" s="153">
        <v>70.290000000000006</v>
      </c>
      <c r="J603" s="153">
        <v>70.290000000000006</v>
      </c>
      <c r="K603" s="153">
        <v>70.36</v>
      </c>
      <c r="L603" s="153">
        <v>70.33</v>
      </c>
      <c r="M603" s="80">
        <f t="shared" si="18"/>
        <v>70.36</v>
      </c>
      <c r="N603" s="80">
        <f t="shared" si="19"/>
        <v>70.290000000000006</v>
      </c>
      <c r="O603" s="153">
        <v>21.15</v>
      </c>
      <c r="P603" s="153">
        <v>21.12</v>
      </c>
      <c r="Q603" s="153">
        <v>21.12</v>
      </c>
      <c r="R603" s="153">
        <v>21.07</v>
      </c>
      <c r="S603" s="4"/>
      <c r="U603" s="147" t="s">
        <v>680</v>
      </c>
      <c r="V603" s="11"/>
      <c r="W603" s="4"/>
      <c r="X603" s="12"/>
      <c r="Y603" s="14"/>
      <c r="Z603" s="4"/>
      <c r="AA603" s="13"/>
      <c r="AB603" s="11"/>
      <c r="AC603" s="4"/>
      <c r="AD603" s="12"/>
      <c r="AE603" s="136"/>
      <c r="AF603" s="14">
        <v>5.0555000000000003</v>
      </c>
      <c r="AG603" s="134"/>
      <c r="AI603" s="84"/>
      <c r="AL603" s="64">
        <v>4.1730272333333334</v>
      </c>
      <c r="AM603" s="56">
        <v>13.840000000000069</v>
      </c>
      <c r="AN603" s="56">
        <v>15.740000000000091</v>
      </c>
      <c r="AO603" s="62">
        <v>21.78000000000004</v>
      </c>
      <c r="AQ603" s="64">
        <v>4.0810780500000003</v>
      </c>
      <c r="AR603" s="56">
        <v>13.380000000000081</v>
      </c>
      <c r="AS603" s="56">
        <v>14.74000000000011</v>
      </c>
      <c r="AT603" s="62">
        <v>18.660000000000029</v>
      </c>
      <c r="AV603" s="64">
        <v>3.7277151666666661</v>
      </c>
      <c r="AW603" s="56">
        <v>13.11999999999998</v>
      </c>
      <c r="AX603" s="56">
        <v>14.52</v>
      </c>
      <c r="AY603" s="62">
        <v>19.139999999999979</v>
      </c>
      <c r="BA603" s="64">
        <v>3.1894989499999999</v>
      </c>
      <c r="BB603" s="56">
        <v>16.16</v>
      </c>
      <c r="BC603" s="56">
        <v>18.559999999999999</v>
      </c>
      <c r="BD603" s="62">
        <v>30.28000000000004</v>
      </c>
      <c r="BF603" s="64">
        <v>2.9419369999999998</v>
      </c>
      <c r="BG603" s="56">
        <v>20.420000000000019</v>
      </c>
      <c r="BH603" s="56">
        <v>27.639999999999979</v>
      </c>
      <c r="BI603" s="62">
        <v>57.20000000000001</v>
      </c>
      <c r="BJ603" s="69"/>
      <c r="BK603" s="51"/>
    </row>
    <row r="604" spans="1:63" x14ac:dyDescent="0.4">
      <c r="A604" s="11" t="s">
        <v>681</v>
      </c>
      <c r="B604" s="4"/>
      <c r="C604" s="4"/>
      <c r="D604" s="4"/>
      <c r="E604" s="12"/>
      <c r="G604" s="147" t="s">
        <v>681</v>
      </c>
      <c r="H604" s="159">
        <v>70.016999999999996</v>
      </c>
      <c r="I604" s="153">
        <v>70.3</v>
      </c>
      <c r="J604" s="153">
        <v>70.33</v>
      </c>
      <c r="K604" s="153">
        <v>70.28</v>
      </c>
      <c r="L604" s="153">
        <v>70.349999999999994</v>
      </c>
      <c r="M604" s="80">
        <f t="shared" si="18"/>
        <v>70.349999999999994</v>
      </c>
      <c r="N604" s="80">
        <f t="shared" si="19"/>
        <v>70.28</v>
      </c>
      <c r="O604" s="153">
        <v>21.17</v>
      </c>
      <c r="P604" s="153">
        <v>21.12</v>
      </c>
      <c r="Q604" s="153">
        <v>21.1</v>
      </c>
      <c r="R604" s="153">
        <v>21.02</v>
      </c>
      <c r="S604" s="4"/>
      <c r="U604" s="147" t="s">
        <v>681</v>
      </c>
      <c r="V604" s="11"/>
      <c r="W604" s="4"/>
      <c r="X604" s="12"/>
      <c r="Y604" s="14"/>
      <c r="Z604" s="4"/>
      <c r="AA604" s="13"/>
      <c r="AB604" s="11"/>
      <c r="AC604" s="4"/>
      <c r="AD604" s="12"/>
      <c r="AE604" s="136"/>
      <c r="AF604" s="14">
        <v>5.0407999999999999</v>
      </c>
      <c r="AG604" s="133"/>
      <c r="AI604" s="84"/>
      <c r="AL604" s="64">
        <v>4.1731247499999986</v>
      </c>
      <c r="AM604" s="56">
        <v>13.86000000000003</v>
      </c>
      <c r="AN604" s="56">
        <v>15.760000000000041</v>
      </c>
      <c r="AO604" s="62">
        <v>21.819999999999951</v>
      </c>
      <c r="AQ604" s="64">
        <v>4.0813170333333328</v>
      </c>
      <c r="AR604" s="56">
        <v>13.3799999999999</v>
      </c>
      <c r="AS604" s="56">
        <v>14.759999999999881</v>
      </c>
      <c r="AT604" s="62">
        <v>18.65999999999994</v>
      </c>
      <c r="AV604" s="64">
        <v>3.7288592000000009</v>
      </c>
      <c r="AW604" s="56">
        <v>13.060000000000031</v>
      </c>
      <c r="AX604" s="56">
        <v>14.460000000000051</v>
      </c>
      <c r="AY604" s="62">
        <v>19.059999999999992</v>
      </c>
      <c r="BA604" s="64">
        <v>3.1950069499999998</v>
      </c>
      <c r="BB604" s="56">
        <v>16.04000000000001</v>
      </c>
      <c r="BC604" s="56">
        <v>18.379999999999971</v>
      </c>
      <c r="BD604" s="62">
        <v>29.900000000000041</v>
      </c>
      <c r="BF604" s="64">
        <v>2.94139185</v>
      </c>
      <c r="BG604" s="56">
        <v>20.300000000000029</v>
      </c>
      <c r="BH604" s="56">
        <v>27.44</v>
      </c>
      <c r="BI604" s="62">
        <v>56.880000000000038</v>
      </c>
      <c r="BJ604" s="70"/>
      <c r="BK604" s="51"/>
    </row>
    <row r="605" spans="1:63" x14ac:dyDescent="0.4">
      <c r="A605" s="11" t="s">
        <v>682</v>
      </c>
      <c r="B605" s="4"/>
      <c r="C605" s="4"/>
      <c r="D605" s="4"/>
      <c r="E605" s="12"/>
      <c r="G605" s="147" t="s">
        <v>682</v>
      </c>
      <c r="H605" s="159">
        <v>70.031000000000006</v>
      </c>
      <c r="I605" s="153">
        <v>70.3</v>
      </c>
      <c r="J605" s="153">
        <v>70.37</v>
      </c>
      <c r="K605" s="153">
        <v>70.31</v>
      </c>
      <c r="L605" s="153">
        <v>70.33</v>
      </c>
      <c r="M605" s="80">
        <f t="shared" si="18"/>
        <v>70.37</v>
      </c>
      <c r="N605" s="80">
        <f t="shared" si="19"/>
        <v>70.3</v>
      </c>
      <c r="O605" s="153">
        <v>21.22</v>
      </c>
      <c r="P605" s="153">
        <v>21.07</v>
      </c>
      <c r="Q605" s="153">
        <v>21.14</v>
      </c>
      <c r="R605" s="153">
        <v>21.07</v>
      </c>
      <c r="S605" s="4"/>
      <c r="U605" s="147" t="s">
        <v>682</v>
      </c>
      <c r="V605" s="11"/>
      <c r="W605" s="4"/>
      <c r="X605" s="12"/>
      <c r="Y605" s="14"/>
      <c r="Z605" s="4"/>
      <c r="AA605" s="13"/>
      <c r="AB605" s="11"/>
      <c r="AC605" s="4"/>
      <c r="AD605" s="12"/>
      <c r="AE605" s="13"/>
      <c r="AF605" s="14">
        <v>5.0221999999999998</v>
      </c>
      <c r="AG605" s="133"/>
      <c r="AI605" s="84"/>
      <c r="AL605" s="64">
        <v>4.1730745333333328</v>
      </c>
      <c r="AM605" s="56">
        <v>13.59999999999992</v>
      </c>
      <c r="AN605" s="56">
        <v>15.49999999999994</v>
      </c>
      <c r="AO605" s="62">
        <v>21.56000000000002</v>
      </c>
      <c r="AQ605" s="64">
        <v>4.0828593166666671</v>
      </c>
      <c r="AR605" s="56">
        <v>13.320000000000039</v>
      </c>
      <c r="AS605" s="56">
        <v>14.680000000000071</v>
      </c>
      <c r="AT605" s="62">
        <v>18.60000000000008</v>
      </c>
      <c r="AV605" s="64">
        <v>3.7310372166666661</v>
      </c>
      <c r="AW605" s="56">
        <v>12.900000000000039</v>
      </c>
      <c r="AX605" s="56">
        <v>14.28000000000003</v>
      </c>
      <c r="AY605" s="62">
        <v>18.86000000000001</v>
      </c>
      <c r="BA605" s="64">
        <v>3.1924337</v>
      </c>
      <c r="BB605" s="56">
        <v>15.579999999999931</v>
      </c>
      <c r="BC605" s="56">
        <v>17.95999999999998</v>
      </c>
      <c r="BD605" s="62">
        <v>29.579999999999981</v>
      </c>
      <c r="BF605" s="64">
        <v>2.9465088333333331</v>
      </c>
      <c r="BG605" s="56">
        <v>19.859999999999989</v>
      </c>
      <c r="BH605" s="56">
        <v>27.46000000000004</v>
      </c>
      <c r="BI605" s="62">
        <v>57.960000000000008</v>
      </c>
      <c r="BJ605" s="70"/>
      <c r="BK605" s="51"/>
    </row>
    <row r="606" spans="1:63" x14ac:dyDescent="0.4">
      <c r="A606" s="11" t="s">
        <v>683</v>
      </c>
      <c r="B606" s="4"/>
      <c r="C606" s="4"/>
      <c r="D606" s="4"/>
      <c r="E606" s="12"/>
      <c r="G606" s="147" t="s">
        <v>683</v>
      </c>
      <c r="H606" s="159">
        <v>69.966999999999999</v>
      </c>
      <c r="I606" s="153">
        <v>70.27</v>
      </c>
      <c r="J606" s="153">
        <v>70.28</v>
      </c>
      <c r="K606" s="153">
        <v>70.319999999999993</v>
      </c>
      <c r="L606" s="153">
        <v>70.33</v>
      </c>
      <c r="M606" s="80">
        <f t="shared" si="18"/>
        <v>70.33</v>
      </c>
      <c r="N606" s="80">
        <f t="shared" si="19"/>
        <v>70.27</v>
      </c>
      <c r="O606" s="153">
        <v>21.13</v>
      </c>
      <c r="P606" s="153">
        <v>21.08</v>
      </c>
      <c r="Q606" s="153">
        <v>21.15</v>
      </c>
      <c r="R606" s="153">
        <v>21.1</v>
      </c>
      <c r="S606" s="4"/>
      <c r="U606" s="147" t="s">
        <v>683</v>
      </c>
      <c r="V606" s="11"/>
      <c r="W606" s="4"/>
      <c r="X606" s="12"/>
      <c r="Y606" s="14"/>
      <c r="Z606" s="4"/>
      <c r="AA606" s="13"/>
      <c r="AB606" s="11"/>
      <c r="AC606" s="4"/>
      <c r="AD606" s="12"/>
      <c r="AE606" s="13"/>
      <c r="AF606" s="14">
        <v>5.0194000000000001</v>
      </c>
      <c r="AG606" s="133"/>
      <c r="AI606" s="84"/>
      <c r="AL606" s="74">
        <v>4.172874216666667</v>
      </c>
      <c r="AM606" s="75">
        <v>14.00000000000006</v>
      </c>
      <c r="AN606" s="75">
        <v>15.960000000000109</v>
      </c>
      <c r="AO606" s="78">
        <v>22.280000000000118</v>
      </c>
      <c r="AQ606" s="74">
        <v>4.0823397166666684</v>
      </c>
      <c r="AR606" s="75">
        <v>14.179999999999991</v>
      </c>
      <c r="AS606" s="75">
        <v>15.63999999999997</v>
      </c>
      <c r="AT606" s="78">
        <v>19.81999999999999</v>
      </c>
      <c r="AV606" s="74">
        <v>3.729310433333334</v>
      </c>
      <c r="AW606" s="75">
        <v>13.86000000000003</v>
      </c>
      <c r="AX606" s="75">
        <v>15.340000000000041</v>
      </c>
      <c r="AY606" s="78">
        <v>20.2</v>
      </c>
      <c r="BA606" s="74">
        <v>3.1856238000000001</v>
      </c>
      <c r="BB606" s="75">
        <v>16.100000000000051</v>
      </c>
      <c r="BC606" s="75">
        <v>18.540000000000049</v>
      </c>
      <c r="BD606" s="78">
        <v>30.480000000000022</v>
      </c>
      <c r="BF606" s="74">
        <v>2.936427816666666</v>
      </c>
      <c r="BG606" s="75">
        <v>20.439999999999969</v>
      </c>
      <c r="BH606" s="75">
        <v>27.879999999999949</v>
      </c>
      <c r="BI606" s="78">
        <v>58.259999999999927</v>
      </c>
      <c r="BJ606" s="70"/>
      <c r="BK606" s="51"/>
    </row>
    <row r="607" spans="1:63" x14ac:dyDescent="0.4">
      <c r="A607" s="11" t="s">
        <v>684</v>
      </c>
      <c r="B607" s="4"/>
      <c r="C607" s="4"/>
      <c r="D607" s="4"/>
      <c r="E607" s="12"/>
      <c r="G607" s="147" t="s">
        <v>684</v>
      </c>
      <c r="H607" s="159">
        <v>69.956999999999994</v>
      </c>
      <c r="I607" s="153">
        <v>70.349999999999994</v>
      </c>
      <c r="J607" s="153">
        <v>70.31</v>
      </c>
      <c r="K607" s="153">
        <v>70.36</v>
      </c>
      <c r="L607" s="153">
        <v>70.38</v>
      </c>
      <c r="M607" s="80">
        <f t="shared" si="18"/>
        <v>70.38</v>
      </c>
      <c r="N607" s="80">
        <f t="shared" si="19"/>
        <v>70.31</v>
      </c>
      <c r="O607" s="153">
        <v>21.18</v>
      </c>
      <c r="P607" s="153">
        <v>21.11</v>
      </c>
      <c r="Q607" s="153">
        <v>21.12</v>
      </c>
      <c r="R607" s="153">
        <v>21.11</v>
      </c>
      <c r="S607" s="4"/>
      <c r="U607" s="147" t="s">
        <v>684</v>
      </c>
      <c r="V607" s="11"/>
      <c r="W607" s="4"/>
      <c r="X607" s="12"/>
      <c r="Y607" s="14"/>
      <c r="Z607" s="4"/>
      <c r="AA607" s="13"/>
      <c r="AB607" s="11"/>
      <c r="AC607" s="4"/>
      <c r="AD607" s="12"/>
      <c r="AE607" s="13"/>
      <c r="AF607" s="14">
        <v>5.0187999999999997</v>
      </c>
      <c r="AG607" s="133"/>
      <c r="AI607" s="84"/>
      <c r="AL607" s="74">
        <v>4.1728675166666669</v>
      </c>
      <c r="AM607" s="75">
        <v>14.35999999999993</v>
      </c>
      <c r="AN607" s="75">
        <v>16.319999999999979</v>
      </c>
      <c r="AO607" s="78">
        <v>22.539999999999871</v>
      </c>
      <c r="AQ607" s="74">
        <v>4.0820762166666658</v>
      </c>
      <c r="AR607" s="75">
        <v>14.39999999999984</v>
      </c>
      <c r="AS607" s="75">
        <v>15.859999999999991</v>
      </c>
      <c r="AT607" s="78">
        <v>20.039999999999921</v>
      </c>
      <c r="AV607" s="74">
        <v>3.728538299999999</v>
      </c>
      <c r="AW607" s="75">
        <v>13.980000000000009</v>
      </c>
      <c r="AX607" s="75">
        <v>15.460000000000029</v>
      </c>
      <c r="AY607" s="78">
        <v>20.300000000000029</v>
      </c>
      <c r="BA607" s="74">
        <v>3.1852814166666672</v>
      </c>
      <c r="BB607" s="75">
        <v>16.659999999999989</v>
      </c>
      <c r="BC607" s="75">
        <v>19.139999999999979</v>
      </c>
      <c r="BD607" s="78">
        <v>31.200000000000031</v>
      </c>
      <c r="BF607" s="74">
        <v>2.94193645</v>
      </c>
      <c r="BG607" s="75">
        <v>20.840000000000011</v>
      </c>
      <c r="BH607" s="75">
        <v>28.479999999999968</v>
      </c>
      <c r="BI607" s="78">
        <v>58.680000000000021</v>
      </c>
      <c r="BJ607" s="70"/>
      <c r="BK607" s="51"/>
    </row>
    <row r="608" spans="1:63" x14ac:dyDescent="0.4">
      <c r="A608" s="11" t="s">
        <v>685</v>
      </c>
      <c r="B608" s="4"/>
      <c r="C608" s="4"/>
      <c r="D608" s="4"/>
      <c r="E608" s="12"/>
      <c r="G608" s="147" t="s">
        <v>685</v>
      </c>
      <c r="H608" s="159">
        <v>69.994</v>
      </c>
      <c r="I608" s="153">
        <v>70.37</v>
      </c>
      <c r="J608" s="153">
        <v>70.28</v>
      </c>
      <c r="K608" s="153">
        <v>70.33</v>
      </c>
      <c r="L608" s="153">
        <v>70.28</v>
      </c>
      <c r="M608" s="80">
        <f t="shared" si="18"/>
        <v>70.37</v>
      </c>
      <c r="N608" s="80">
        <f t="shared" si="19"/>
        <v>70.28</v>
      </c>
      <c r="O608" s="153">
        <v>21.21</v>
      </c>
      <c r="P608" s="153">
        <v>21.09</v>
      </c>
      <c r="Q608" s="153">
        <v>21.12</v>
      </c>
      <c r="R608" s="153">
        <v>21.07</v>
      </c>
      <c r="S608" s="4"/>
      <c r="U608" s="147" t="s">
        <v>685</v>
      </c>
      <c r="V608" s="11"/>
      <c r="W608" s="4"/>
      <c r="X608" s="12"/>
      <c r="Y608" s="14"/>
      <c r="Z608" s="4"/>
      <c r="AA608" s="13"/>
      <c r="AB608" s="11"/>
      <c r="AC608" s="4"/>
      <c r="AD608" s="12"/>
      <c r="AE608" s="13"/>
      <c r="AF608" s="14">
        <v>5.0148999999999999</v>
      </c>
      <c r="AG608" s="133"/>
      <c r="AI608" s="84"/>
      <c r="AL608" s="74">
        <v>4.172756016666666</v>
      </c>
      <c r="AM608" s="75">
        <v>14.739999999999929</v>
      </c>
      <c r="AN608" s="75">
        <v>16.760000000000019</v>
      </c>
      <c r="AO608" s="78">
        <v>23.039999999999949</v>
      </c>
      <c r="AQ608" s="74">
        <v>4.0829166166666679</v>
      </c>
      <c r="AR608" s="75">
        <v>14.52000000000009</v>
      </c>
      <c r="AS608" s="75">
        <v>16.000000000000011</v>
      </c>
      <c r="AT608" s="78">
        <v>20.2</v>
      </c>
      <c r="AV608" s="74">
        <v>3.7293132166666672</v>
      </c>
      <c r="AW608" s="75">
        <v>14.160000000000039</v>
      </c>
      <c r="AX608" s="75">
        <v>15.680000000000049</v>
      </c>
      <c r="AY608" s="78">
        <v>20.560000000000041</v>
      </c>
      <c r="BA608" s="74">
        <v>3.18541835</v>
      </c>
      <c r="BB608" s="75">
        <v>17.060000000000031</v>
      </c>
      <c r="BC608" s="75">
        <v>19.600000000000058</v>
      </c>
      <c r="BD608" s="78">
        <v>31.84000000000005</v>
      </c>
      <c r="BF608" s="74">
        <v>2.9420632166666669</v>
      </c>
      <c r="BG608" s="75">
        <v>21.280000000000051</v>
      </c>
      <c r="BH608" s="75">
        <v>29.04</v>
      </c>
      <c r="BI608" s="78">
        <v>59.480000000000018</v>
      </c>
      <c r="BJ608" s="70"/>
      <c r="BK608" s="51"/>
    </row>
    <row r="609" spans="1:63" x14ac:dyDescent="0.4">
      <c r="A609" s="11" t="s">
        <v>686</v>
      </c>
      <c r="B609" s="4"/>
      <c r="C609" s="4"/>
      <c r="D609" s="4"/>
      <c r="E609" s="12"/>
      <c r="G609" s="147" t="s">
        <v>686</v>
      </c>
      <c r="H609" s="159">
        <v>69.941999999999993</v>
      </c>
      <c r="I609" s="153">
        <v>70.3</v>
      </c>
      <c r="J609" s="153">
        <v>70.400000000000006</v>
      </c>
      <c r="K609" s="153">
        <v>70.290000000000006</v>
      </c>
      <c r="L609" s="153">
        <v>70.33</v>
      </c>
      <c r="M609" s="80">
        <f t="shared" si="18"/>
        <v>70.400000000000006</v>
      </c>
      <c r="N609" s="80">
        <f t="shared" si="19"/>
        <v>70.290000000000006</v>
      </c>
      <c r="O609" s="153">
        <v>21.19</v>
      </c>
      <c r="P609" s="153">
        <v>21.08</v>
      </c>
      <c r="Q609" s="153">
        <v>21.14</v>
      </c>
      <c r="R609" s="153">
        <v>21.08</v>
      </c>
      <c r="S609" s="4"/>
      <c r="U609" s="147" t="s">
        <v>686</v>
      </c>
      <c r="V609" s="11"/>
      <c r="W609" s="4"/>
      <c r="X609" s="12"/>
      <c r="Y609" s="14"/>
      <c r="Z609" s="4"/>
      <c r="AA609" s="13"/>
      <c r="AB609" s="11"/>
      <c r="AC609" s="4"/>
      <c r="AD609" s="12"/>
      <c r="AE609" s="13"/>
      <c r="AF609" s="14">
        <v>5.0168999999999997</v>
      </c>
      <c r="AG609" s="133"/>
      <c r="AI609" s="84"/>
      <c r="AL609" s="74">
        <v>4.1726670833333337</v>
      </c>
      <c r="AM609" s="75">
        <v>14.280000000000109</v>
      </c>
      <c r="AN609" s="75">
        <v>16.259999999999941</v>
      </c>
      <c r="AO609" s="78">
        <v>22.41999999999997</v>
      </c>
      <c r="AQ609" s="74">
        <v>4.0835228499999996</v>
      </c>
      <c r="AR609" s="75">
        <v>14.41999999999997</v>
      </c>
      <c r="AS609" s="75">
        <v>15.87999999999994</v>
      </c>
      <c r="AT609" s="78">
        <v>20.039999999999921</v>
      </c>
      <c r="AV609" s="74">
        <v>3.7302746</v>
      </c>
      <c r="AW609" s="75">
        <v>13.940000000000021</v>
      </c>
      <c r="AX609" s="75">
        <v>15.41999999999994</v>
      </c>
      <c r="AY609" s="78">
        <v>20.27999999999999</v>
      </c>
      <c r="BA609" s="74">
        <v>3.1869753666666671</v>
      </c>
      <c r="BB609" s="75">
        <v>16.659999999999989</v>
      </c>
      <c r="BC609" s="75">
        <v>19.119999999999941</v>
      </c>
      <c r="BD609" s="78">
        <v>31.199999999999939</v>
      </c>
      <c r="BF609" s="74">
        <v>2.9428655666666672</v>
      </c>
      <c r="BG609" s="75">
        <v>20.899999999999959</v>
      </c>
      <c r="BH609" s="75">
        <v>28.45999999999993</v>
      </c>
      <c r="BI609" s="78">
        <v>58.639999999999937</v>
      </c>
      <c r="BJ609" s="70"/>
      <c r="BK609" s="51"/>
    </row>
    <row r="610" spans="1:63" x14ac:dyDescent="0.4">
      <c r="A610" s="11" t="s">
        <v>687</v>
      </c>
      <c r="B610" s="4"/>
      <c r="C610" s="4"/>
      <c r="D610" s="4"/>
      <c r="E610" s="12"/>
      <c r="G610" s="147" t="s">
        <v>687</v>
      </c>
      <c r="H610" s="159">
        <v>70.034999999999997</v>
      </c>
      <c r="I610" s="153">
        <v>70.349999999999994</v>
      </c>
      <c r="J610" s="153">
        <v>70.36</v>
      </c>
      <c r="K610" s="153">
        <v>70.34</v>
      </c>
      <c r="L610" s="153">
        <v>70.27</v>
      </c>
      <c r="M610" s="80">
        <f t="shared" si="18"/>
        <v>70.36</v>
      </c>
      <c r="N610" s="80">
        <f t="shared" si="19"/>
        <v>70.27</v>
      </c>
      <c r="O610" s="153">
        <v>21.21</v>
      </c>
      <c r="P610" s="153">
        <v>21.11</v>
      </c>
      <c r="Q610" s="153">
        <v>21.1</v>
      </c>
      <c r="R610" s="153">
        <v>21.05</v>
      </c>
      <c r="S610" s="4"/>
      <c r="U610" s="147" t="s">
        <v>687</v>
      </c>
      <c r="V610" s="11"/>
      <c r="W610" s="4"/>
      <c r="X610" s="12"/>
      <c r="Y610" s="14"/>
      <c r="Z610" s="4"/>
      <c r="AA610" s="13"/>
      <c r="AB610" s="11"/>
      <c r="AC610" s="4"/>
      <c r="AD610" s="12"/>
      <c r="AE610" s="13"/>
      <c r="AF610" s="14">
        <v>5.0873999999999997</v>
      </c>
      <c r="AG610" s="133"/>
      <c r="AI610" s="84"/>
      <c r="AL610" s="64">
        <v>4.1726002333333332</v>
      </c>
      <c r="AM610" s="56">
        <v>15.120000000000109</v>
      </c>
      <c r="AN610" s="56">
        <v>17.18000000000011</v>
      </c>
      <c r="AO610" s="62">
        <v>23.440000000000079</v>
      </c>
      <c r="AQ610" s="64">
        <v>4.0829398666666679</v>
      </c>
      <c r="AR610" s="56">
        <v>14.84000000000005</v>
      </c>
      <c r="AS610" s="56">
        <v>16.36000000000006</v>
      </c>
      <c r="AT610" s="62">
        <v>20.58</v>
      </c>
      <c r="AV610" s="64">
        <v>3.7294459999999998</v>
      </c>
      <c r="AW610" s="56">
        <v>14.379999999999971</v>
      </c>
      <c r="AX610" s="56">
        <v>15.899999999999981</v>
      </c>
      <c r="AY610" s="62">
        <v>20.77999999999998</v>
      </c>
      <c r="BA610" s="64">
        <v>3.1852795999999999</v>
      </c>
      <c r="BB610" s="56">
        <v>17.279999999999959</v>
      </c>
      <c r="BC610" s="56">
        <v>19.840000000000039</v>
      </c>
      <c r="BD610" s="62">
        <v>32.099999999999973</v>
      </c>
      <c r="BF610" s="64">
        <v>2.9438108166666672</v>
      </c>
      <c r="BG610" s="56">
        <v>21.659999999999972</v>
      </c>
      <c r="BH610" s="56">
        <v>29.22000000000002</v>
      </c>
      <c r="BI610" s="62">
        <v>59.45999999999998</v>
      </c>
      <c r="BJ610" s="69"/>
      <c r="BK610" s="51"/>
    </row>
    <row r="611" spans="1:63" x14ac:dyDescent="0.4">
      <c r="A611" s="11" t="s">
        <v>688</v>
      </c>
      <c r="B611" s="4"/>
      <c r="C611" s="4"/>
      <c r="D611" s="4"/>
      <c r="E611" s="12"/>
      <c r="G611" s="147" t="s">
        <v>688</v>
      </c>
      <c r="H611" s="159">
        <v>69.986000000000004</v>
      </c>
      <c r="I611" s="153">
        <v>70.31</v>
      </c>
      <c r="J611" s="153">
        <v>70.34</v>
      </c>
      <c r="K611" s="153">
        <v>70.28</v>
      </c>
      <c r="L611" s="153">
        <v>70.319999999999993</v>
      </c>
      <c r="M611" s="80">
        <f t="shared" si="18"/>
        <v>70.34</v>
      </c>
      <c r="N611" s="80">
        <f t="shared" si="19"/>
        <v>70.28</v>
      </c>
      <c r="O611" s="153">
        <v>21.18</v>
      </c>
      <c r="P611" s="153">
        <v>21.05</v>
      </c>
      <c r="Q611" s="153">
        <v>21.08</v>
      </c>
      <c r="R611" s="153">
        <v>21.06</v>
      </c>
      <c r="S611" s="4"/>
      <c r="U611" s="147" t="s">
        <v>688</v>
      </c>
      <c r="V611" s="11"/>
      <c r="W611" s="4"/>
      <c r="X611" s="12"/>
      <c r="Y611" s="14"/>
      <c r="Z611" s="4"/>
      <c r="AA611" s="13"/>
      <c r="AB611" s="11"/>
      <c r="AC611" s="4"/>
      <c r="AD611" s="12"/>
      <c r="AE611" s="13"/>
      <c r="AF611" s="14">
        <v>5.0454999999999997</v>
      </c>
      <c r="AG611" s="133"/>
      <c r="AI611" s="84"/>
      <c r="AL611" s="74">
        <v>4.1732144833333331</v>
      </c>
      <c r="AM611" s="75">
        <v>13.81999999999994</v>
      </c>
      <c r="AN611" s="75">
        <v>15.7</v>
      </c>
      <c r="AO611" s="78">
        <v>21.72000000000001</v>
      </c>
      <c r="AQ611" s="74">
        <v>4.080980283333334</v>
      </c>
      <c r="AR611" s="75">
        <v>13.26000000000001</v>
      </c>
      <c r="AS611" s="75">
        <v>14.620000000000029</v>
      </c>
      <c r="AT611" s="78">
        <v>18.50000000000005</v>
      </c>
      <c r="AV611" s="74">
        <v>3.7294995833333342</v>
      </c>
      <c r="AW611" s="75">
        <v>12.899999999999959</v>
      </c>
      <c r="AX611" s="75">
        <v>14.279999999999941</v>
      </c>
      <c r="AY611" s="78">
        <v>18.859999999999921</v>
      </c>
      <c r="BA611" s="74">
        <v>3.2027998666666671</v>
      </c>
      <c r="BB611" s="75">
        <v>15.53999999999993</v>
      </c>
      <c r="BC611" s="75">
        <v>17.779999999999951</v>
      </c>
      <c r="BD611" s="78">
        <v>28.759999999999941</v>
      </c>
      <c r="BF611" s="74">
        <v>2.9350198333333331</v>
      </c>
      <c r="BG611" s="75">
        <v>19.760000000000041</v>
      </c>
      <c r="BH611" s="75">
        <v>26.680000000000081</v>
      </c>
      <c r="BI611" s="78">
        <v>55.840000000000067</v>
      </c>
      <c r="BJ611" s="70"/>
      <c r="BK611" s="51"/>
    </row>
    <row r="612" spans="1:63" x14ac:dyDescent="0.4">
      <c r="A612" s="11" t="s">
        <v>689</v>
      </c>
      <c r="B612" s="4"/>
      <c r="C612" s="4"/>
      <c r="D612" s="4"/>
      <c r="E612" s="12"/>
      <c r="G612" s="147" t="s">
        <v>689</v>
      </c>
      <c r="H612" s="159">
        <v>70.051000000000002</v>
      </c>
      <c r="I612" s="153">
        <v>70.27</v>
      </c>
      <c r="J612" s="153">
        <v>70.28</v>
      </c>
      <c r="K612" s="153">
        <v>70.319999999999993</v>
      </c>
      <c r="L612" s="153">
        <v>70.290000000000006</v>
      </c>
      <c r="M612" s="80">
        <f t="shared" si="18"/>
        <v>70.319999999999993</v>
      </c>
      <c r="N612" s="80">
        <f t="shared" si="19"/>
        <v>70.27</v>
      </c>
      <c r="O612" s="153">
        <v>21.17</v>
      </c>
      <c r="P612" s="153">
        <v>21.14</v>
      </c>
      <c r="Q612" s="153">
        <v>21.12</v>
      </c>
      <c r="R612" s="153">
        <v>21.1</v>
      </c>
      <c r="S612" s="4"/>
      <c r="U612" s="147" t="s">
        <v>689</v>
      </c>
      <c r="V612" s="11"/>
      <c r="W612" s="4"/>
      <c r="X612" s="12"/>
      <c r="Y612" s="14"/>
      <c r="Z612" s="4"/>
      <c r="AA612" s="13"/>
      <c r="AB612" s="11"/>
      <c r="AC612" s="4"/>
      <c r="AD612" s="12"/>
      <c r="AE612" s="13"/>
      <c r="AF612" s="14">
        <v>5.0387000000000004</v>
      </c>
      <c r="AG612" s="133"/>
      <c r="AI612" s="84"/>
      <c r="AL612" s="74">
        <v>4.1726195500000003</v>
      </c>
      <c r="AM612" s="75">
        <v>13.73999999999995</v>
      </c>
      <c r="AN612" s="75">
        <v>15.6600000000001</v>
      </c>
      <c r="AO612" s="78">
        <v>21.680000000000099</v>
      </c>
      <c r="AQ612" s="74">
        <v>4.0817939666666669</v>
      </c>
      <c r="AR612" s="75">
        <v>13.419999999999989</v>
      </c>
      <c r="AS612" s="75">
        <v>14.8200000000001</v>
      </c>
      <c r="AT612" s="78">
        <v>18.74000000000002</v>
      </c>
      <c r="AV612" s="74">
        <v>3.7289460999999999</v>
      </c>
      <c r="AW612" s="75">
        <v>13.14000000000002</v>
      </c>
      <c r="AX612" s="75">
        <v>14.580000000000039</v>
      </c>
      <c r="AY612" s="78">
        <v>19.160000000000021</v>
      </c>
      <c r="BA612" s="74">
        <v>3.1916328666666671</v>
      </c>
      <c r="BB612" s="75">
        <v>16.080000000000009</v>
      </c>
      <c r="BC612" s="75">
        <v>18.480000000000011</v>
      </c>
      <c r="BD612" s="78">
        <v>30.119999999999969</v>
      </c>
      <c r="BF612" s="74">
        <v>2.9401854333333328</v>
      </c>
      <c r="BG612" s="75">
        <v>20.340000000000021</v>
      </c>
      <c r="BH612" s="75">
        <v>27.59999999999998</v>
      </c>
      <c r="BI612" s="78">
        <v>57.380000000000031</v>
      </c>
      <c r="BJ612" s="70"/>
      <c r="BK612" s="51"/>
    </row>
    <row r="613" spans="1:63" x14ac:dyDescent="0.4">
      <c r="A613" s="11" t="s">
        <v>690</v>
      </c>
      <c r="B613" s="4"/>
      <c r="C613" s="4"/>
      <c r="D613" s="4"/>
      <c r="E613" s="12"/>
      <c r="G613" s="147" t="s">
        <v>690</v>
      </c>
      <c r="H613" s="159">
        <v>70.093000000000004</v>
      </c>
      <c r="I613" s="153">
        <v>70.34</v>
      </c>
      <c r="J613" s="153">
        <v>70.36</v>
      </c>
      <c r="K613" s="153">
        <v>70.37</v>
      </c>
      <c r="L613" s="153">
        <v>70.3</v>
      </c>
      <c r="M613" s="80">
        <f t="shared" si="18"/>
        <v>70.37</v>
      </c>
      <c r="N613" s="80">
        <f t="shared" si="19"/>
        <v>70.3</v>
      </c>
      <c r="O613" s="153">
        <v>21.2</v>
      </c>
      <c r="P613" s="153">
        <v>21.04</v>
      </c>
      <c r="Q613" s="153">
        <v>21.13</v>
      </c>
      <c r="R613" s="153">
        <v>21.08</v>
      </c>
      <c r="S613" s="4"/>
      <c r="U613" s="147" t="s">
        <v>690</v>
      </c>
      <c r="V613" s="11"/>
      <c r="W613" s="4"/>
      <c r="X613" s="12"/>
      <c r="Y613" s="14"/>
      <c r="Z613" s="4"/>
      <c r="AA613" s="13"/>
      <c r="AB613" s="11"/>
      <c r="AC613" s="4"/>
      <c r="AD613" s="12"/>
      <c r="AE613" s="13"/>
      <c r="AF613" s="14">
        <v>5.0578000000000003</v>
      </c>
      <c r="AG613" s="133"/>
      <c r="AI613" s="84"/>
      <c r="AL613" s="74">
        <v>4.1725951499999994</v>
      </c>
      <c r="AM613" s="75">
        <v>14.160000000000039</v>
      </c>
      <c r="AN613" s="75">
        <v>16.060000000000048</v>
      </c>
      <c r="AO613" s="78">
        <v>22.100000000000009</v>
      </c>
      <c r="AQ613" s="74">
        <v>4.0804546666666663</v>
      </c>
      <c r="AR613" s="75">
        <v>13.56000000000002</v>
      </c>
      <c r="AS613" s="75">
        <v>14.94</v>
      </c>
      <c r="AT613" s="78">
        <v>18.89999999999992</v>
      </c>
      <c r="AV613" s="74">
        <v>3.7264197000000001</v>
      </c>
      <c r="AW613" s="75">
        <v>13.419999999999989</v>
      </c>
      <c r="AX613" s="75">
        <v>14.84000000000005</v>
      </c>
      <c r="AY613" s="78">
        <v>19.500000000000028</v>
      </c>
      <c r="BA613" s="74">
        <v>3.1867408500000001</v>
      </c>
      <c r="BB613" s="75">
        <v>16.719999999999931</v>
      </c>
      <c r="BC613" s="75">
        <v>19.199999999999928</v>
      </c>
      <c r="BD613" s="78">
        <v>31.219999999999981</v>
      </c>
      <c r="BF613" s="74">
        <v>2.9469530333333331</v>
      </c>
      <c r="BG613" s="75">
        <v>21</v>
      </c>
      <c r="BH613" s="75">
        <v>28.27999999999999</v>
      </c>
      <c r="BI613" s="78">
        <v>57.680000000000042</v>
      </c>
      <c r="BJ613" s="70"/>
      <c r="BK613" s="51"/>
    </row>
    <row r="614" spans="1:63" x14ac:dyDescent="0.4">
      <c r="A614" s="11" t="s">
        <v>691</v>
      </c>
      <c r="B614" s="4"/>
      <c r="C614" s="4"/>
      <c r="D614" s="4"/>
      <c r="E614" s="12"/>
      <c r="G614" s="147" t="s">
        <v>691</v>
      </c>
      <c r="H614" s="159">
        <v>70.055999999999997</v>
      </c>
      <c r="I614" s="153">
        <v>70.290000000000006</v>
      </c>
      <c r="J614" s="153">
        <v>70.28</v>
      </c>
      <c r="K614" s="153">
        <v>70.349999999999994</v>
      </c>
      <c r="L614" s="153">
        <v>70.36</v>
      </c>
      <c r="M614" s="80">
        <f t="shared" si="18"/>
        <v>70.36</v>
      </c>
      <c r="N614" s="80">
        <f t="shared" si="19"/>
        <v>70.28</v>
      </c>
      <c r="O614" s="153">
        <v>21.07</v>
      </c>
      <c r="P614" s="153">
        <v>21.15</v>
      </c>
      <c r="Q614" s="153">
        <v>21.13</v>
      </c>
      <c r="R614" s="153">
        <v>21.07</v>
      </c>
      <c r="S614" s="4"/>
      <c r="U614" s="147" t="s">
        <v>691</v>
      </c>
      <c r="V614" s="11"/>
      <c r="W614" s="4"/>
      <c r="X614" s="12"/>
      <c r="Y614" s="14"/>
      <c r="Z614" s="4"/>
      <c r="AA614" s="13"/>
      <c r="AB614" s="11"/>
      <c r="AC614" s="4"/>
      <c r="AD614" s="12"/>
      <c r="AE614" s="35"/>
      <c r="AF614" s="14">
        <v>5.0456000000000003</v>
      </c>
      <c r="AG614" s="133"/>
      <c r="AI614" s="84"/>
      <c r="AL614" s="74">
        <v>4.1729898666666667</v>
      </c>
      <c r="AM614" s="75">
        <v>13.940000000000021</v>
      </c>
      <c r="AN614" s="75">
        <v>15.84000000000003</v>
      </c>
      <c r="AO614" s="78">
        <v>21.899999999999942</v>
      </c>
      <c r="AQ614" s="74">
        <v>4.0820993833333334</v>
      </c>
      <c r="AR614" s="75">
        <v>13.59999999999992</v>
      </c>
      <c r="AS614" s="75">
        <v>14.99999999999986</v>
      </c>
      <c r="AT614" s="78">
        <v>18.939999999999909</v>
      </c>
      <c r="AV614" s="74">
        <v>3.7296027666666669</v>
      </c>
      <c r="AW614" s="75">
        <v>13.45999999999998</v>
      </c>
      <c r="AX614" s="75">
        <v>14.859999999999919</v>
      </c>
      <c r="AY614" s="78">
        <v>19.519999999999978</v>
      </c>
      <c r="BA614" s="74">
        <v>3.1956508166666659</v>
      </c>
      <c r="BB614" s="75">
        <v>16.61999999999999</v>
      </c>
      <c r="BC614" s="75">
        <v>18.99999999999995</v>
      </c>
      <c r="BD614" s="78">
        <v>30.619999999999958</v>
      </c>
      <c r="BF614" s="74">
        <v>2.9407512333333341</v>
      </c>
      <c r="BG614" s="75">
        <v>21.039999999999988</v>
      </c>
      <c r="BH614" s="75">
        <v>28.27999999999999</v>
      </c>
      <c r="BI614" s="78">
        <v>58.020000000000053</v>
      </c>
      <c r="BJ614" s="70"/>
      <c r="BK614" s="51"/>
    </row>
    <row r="615" spans="1:63" x14ac:dyDescent="0.4">
      <c r="A615" s="11" t="s">
        <v>692</v>
      </c>
      <c r="B615" s="4"/>
      <c r="C615" s="4"/>
      <c r="D615" s="4"/>
      <c r="E615" s="12"/>
      <c r="G615" s="147" t="s">
        <v>692</v>
      </c>
      <c r="H615" s="159">
        <v>69.959000000000003</v>
      </c>
      <c r="I615" s="153">
        <v>70.27</v>
      </c>
      <c r="J615" s="153">
        <v>70.39</v>
      </c>
      <c r="K615" s="153">
        <v>70.28</v>
      </c>
      <c r="L615" s="153">
        <v>70.34</v>
      </c>
      <c r="M615" s="80">
        <f t="shared" si="18"/>
        <v>70.39</v>
      </c>
      <c r="N615" s="80">
        <f t="shared" si="19"/>
        <v>70.27</v>
      </c>
      <c r="O615" s="153">
        <v>21.19</v>
      </c>
      <c r="P615" s="153">
        <v>21.04</v>
      </c>
      <c r="Q615" s="153">
        <v>21.14</v>
      </c>
      <c r="R615" s="153">
        <v>21.08</v>
      </c>
      <c r="S615" s="4"/>
      <c r="U615" s="147" t="s">
        <v>692</v>
      </c>
      <c r="V615" s="11"/>
      <c r="W615" s="4"/>
      <c r="X615" s="12"/>
      <c r="Y615" s="14"/>
      <c r="Z615" s="4"/>
      <c r="AA615" s="13"/>
      <c r="AB615" s="11"/>
      <c r="AC615" s="4"/>
      <c r="AD615" s="12"/>
      <c r="AE615" s="136"/>
      <c r="AF615" s="14">
        <v>5.0145</v>
      </c>
      <c r="AG615" s="133"/>
      <c r="AI615" s="84"/>
      <c r="AL615" s="64">
        <v>4.1731765166666666</v>
      </c>
      <c r="AM615" s="56">
        <v>14.059999999999921</v>
      </c>
      <c r="AN615" s="56">
        <v>15.97999999999988</v>
      </c>
      <c r="AO615" s="62">
        <v>22.080000000000059</v>
      </c>
      <c r="AQ615" s="64">
        <v>4.0810099000000006</v>
      </c>
      <c r="AR615" s="56">
        <v>13.54000000000006</v>
      </c>
      <c r="AS615" s="56">
        <v>14.900000000000089</v>
      </c>
      <c r="AT615" s="62">
        <v>18.84000000000006</v>
      </c>
      <c r="AV615" s="64">
        <v>3.7291156000000001</v>
      </c>
      <c r="AW615" s="56">
        <v>13.18000000000001</v>
      </c>
      <c r="AX615" s="56">
        <v>14.580000000000039</v>
      </c>
      <c r="AY615" s="62">
        <v>19.179999999999971</v>
      </c>
      <c r="BA615" s="64">
        <v>3.1923450999999998</v>
      </c>
      <c r="BB615" s="56">
        <v>16.199999999999989</v>
      </c>
      <c r="BC615" s="56">
        <v>18.580000000000041</v>
      </c>
      <c r="BD615" s="62">
        <v>30.200000000000049</v>
      </c>
      <c r="BF615" s="64">
        <v>2.94752715</v>
      </c>
      <c r="BG615" s="56">
        <v>20.61999999999999</v>
      </c>
      <c r="BH615" s="56">
        <v>28.259999999999948</v>
      </c>
      <c r="BI615" s="62">
        <v>58.699999999999967</v>
      </c>
      <c r="BJ615" s="70"/>
      <c r="BK615" s="51"/>
    </row>
    <row r="616" spans="1:63" x14ac:dyDescent="0.4">
      <c r="A616" s="11" t="s">
        <v>693</v>
      </c>
      <c r="B616" s="4"/>
      <c r="C616" s="4"/>
      <c r="D616" s="4"/>
      <c r="E616" s="12"/>
      <c r="G616" s="147" t="s">
        <v>693</v>
      </c>
      <c r="H616" s="159">
        <v>70.05</v>
      </c>
      <c r="I616" s="153">
        <v>70.36</v>
      </c>
      <c r="J616" s="153">
        <v>70.38</v>
      </c>
      <c r="K616" s="153">
        <v>70.36</v>
      </c>
      <c r="L616" s="153">
        <v>70.37</v>
      </c>
      <c r="M616" s="80">
        <f t="shared" si="18"/>
        <v>70.38</v>
      </c>
      <c r="N616" s="80">
        <f t="shared" si="19"/>
        <v>70.36</v>
      </c>
      <c r="O616" s="153">
        <v>21.22</v>
      </c>
      <c r="P616" s="153">
        <v>21.16</v>
      </c>
      <c r="Q616" s="153">
        <v>21.12</v>
      </c>
      <c r="R616" s="153">
        <v>20.98</v>
      </c>
      <c r="S616" s="4"/>
      <c r="U616" s="147" t="s">
        <v>693</v>
      </c>
      <c r="V616" s="11"/>
      <c r="W616" s="4"/>
      <c r="X616" s="12"/>
      <c r="Y616" s="14"/>
      <c r="Z616" s="4"/>
      <c r="AA616" s="13"/>
      <c r="AB616" s="11"/>
      <c r="AC616" s="4"/>
      <c r="AD616" s="12"/>
      <c r="AE616" s="35"/>
      <c r="AF616" s="14">
        <v>5.0256999999999996</v>
      </c>
      <c r="AG616" s="133"/>
      <c r="AI616" s="84"/>
      <c r="AL616" s="64">
        <v>4.1722671166666672</v>
      </c>
      <c r="AM616" s="56">
        <v>15.30000000000005</v>
      </c>
      <c r="AN616" s="56">
        <v>17.339999999999911</v>
      </c>
      <c r="AO616" s="62">
        <v>23.600000000000069</v>
      </c>
      <c r="AQ616" s="64">
        <v>4.0809256166666668</v>
      </c>
      <c r="AR616" s="56">
        <v>14.780000000000021</v>
      </c>
      <c r="AS616" s="56">
        <v>16.280000000000069</v>
      </c>
      <c r="AT616" s="62">
        <v>20.500000000000099</v>
      </c>
      <c r="AV616" s="64">
        <v>3.7273520666666671</v>
      </c>
      <c r="AW616" s="56">
        <v>14.319999999999929</v>
      </c>
      <c r="AX616" s="56">
        <v>15.839999999999939</v>
      </c>
      <c r="AY616" s="62">
        <v>20.759999999999931</v>
      </c>
      <c r="BA616" s="64">
        <v>3.1832951500000002</v>
      </c>
      <c r="BB616" s="56">
        <v>17.120000000000068</v>
      </c>
      <c r="BC616" s="56">
        <v>19.660000000000011</v>
      </c>
      <c r="BD616" s="62">
        <v>31.9</v>
      </c>
      <c r="BF616" s="64">
        <v>2.9436730999999998</v>
      </c>
      <c r="BG616" s="56">
        <v>21.44000000000004</v>
      </c>
      <c r="BH616" s="56">
        <v>29.04</v>
      </c>
      <c r="BI616" s="62">
        <v>59.240000000000052</v>
      </c>
      <c r="BJ616" s="70"/>
      <c r="BK616" s="51"/>
    </row>
    <row r="617" spans="1:63" x14ac:dyDescent="0.4">
      <c r="A617" s="11" t="s">
        <v>694</v>
      </c>
      <c r="B617" s="4"/>
      <c r="C617" s="4"/>
      <c r="D617" s="4"/>
      <c r="E617" s="12"/>
      <c r="G617" s="147" t="s">
        <v>694</v>
      </c>
      <c r="H617" s="159">
        <v>69.929000000000002</v>
      </c>
      <c r="I617" s="153">
        <v>70.31</v>
      </c>
      <c r="J617" s="153">
        <v>70.38</v>
      </c>
      <c r="K617" s="153">
        <v>70.28</v>
      </c>
      <c r="L617" s="153">
        <v>70.39</v>
      </c>
      <c r="M617" s="80">
        <f t="shared" si="18"/>
        <v>70.39</v>
      </c>
      <c r="N617" s="80">
        <f t="shared" si="19"/>
        <v>70.28</v>
      </c>
      <c r="O617" s="153">
        <v>21.17</v>
      </c>
      <c r="P617" s="153">
        <v>21.13</v>
      </c>
      <c r="Q617" s="153">
        <v>21.16</v>
      </c>
      <c r="R617" s="153">
        <v>21.07</v>
      </c>
      <c r="S617" s="4"/>
      <c r="U617" s="147" t="s">
        <v>694</v>
      </c>
      <c r="V617" s="11"/>
      <c r="W617" s="4"/>
      <c r="X617" s="12"/>
      <c r="Y617" s="14"/>
      <c r="Z617" s="4"/>
      <c r="AA617" s="13"/>
      <c r="AB617" s="11"/>
      <c r="AC617" s="4"/>
      <c r="AD617" s="12"/>
      <c r="AE617" s="136"/>
      <c r="AF617" s="14">
        <v>5.0187999999999997</v>
      </c>
      <c r="AG617" s="133"/>
      <c r="AI617" s="84"/>
      <c r="AL617" s="64">
        <v>4.172526583333334</v>
      </c>
      <c r="AM617" s="56">
        <v>14.880000000000139</v>
      </c>
      <c r="AN617" s="56">
        <v>16.900000000000048</v>
      </c>
      <c r="AO617" s="62">
        <v>23.160000000000029</v>
      </c>
      <c r="AQ617" s="64">
        <v>4.0812372166666666</v>
      </c>
      <c r="AR617" s="56">
        <v>14.54000000000004</v>
      </c>
      <c r="AS617" s="56">
        <v>16.019999999999971</v>
      </c>
      <c r="AT617" s="62">
        <v>20.2</v>
      </c>
      <c r="AV617" s="64">
        <v>3.7285426666666659</v>
      </c>
      <c r="AW617" s="56">
        <v>14.040000000000051</v>
      </c>
      <c r="AX617" s="56">
        <v>15.520000000000071</v>
      </c>
      <c r="AY617" s="62">
        <v>20.400000000000059</v>
      </c>
      <c r="BA617" s="64">
        <v>3.1871159833333329</v>
      </c>
      <c r="BB617" s="56">
        <v>16.520000000000049</v>
      </c>
      <c r="BC617" s="56">
        <v>18.980000000000089</v>
      </c>
      <c r="BD617" s="62">
        <v>30.940000000000008</v>
      </c>
      <c r="BF617" s="64">
        <v>2.9401935666666672</v>
      </c>
      <c r="BG617" s="56">
        <v>20.719999999999938</v>
      </c>
      <c r="BH617" s="56">
        <v>27.83999999999995</v>
      </c>
      <c r="BI617" s="62">
        <v>57.419999999999938</v>
      </c>
      <c r="BJ617" s="70"/>
      <c r="BK617" s="51"/>
    </row>
    <row r="618" spans="1:63" x14ac:dyDescent="0.4">
      <c r="A618" s="11" t="s">
        <v>695</v>
      </c>
      <c r="B618" s="4"/>
      <c r="C618" s="4"/>
      <c r="D618" s="4"/>
      <c r="E618" s="12"/>
      <c r="G618" s="147" t="s">
        <v>695</v>
      </c>
      <c r="H618" s="159">
        <v>69.965000000000003</v>
      </c>
      <c r="I618" s="153">
        <v>70.34</v>
      </c>
      <c r="J618" s="153">
        <v>70.38</v>
      </c>
      <c r="K618" s="153">
        <v>70.33</v>
      </c>
      <c r="L618" s="153">
        <v>70.349999999999994</v>
      </c>
      <c r="M618" s="80">
        <f t="shared" si="18"/>
        <v>70.38</v>
      </c>
      <c r="N618" s="80">
        <f t="shared" si="19"/>
        <v>70.33</v>
      </c>
      <c r="O618" s="153">
        <v>21.22</v>
      </c>
      <c r="P618" s="153">
        <v>21.12</v>
      </c>
      <c r="Q618" s="153">
        <v>21.11</v>
      </c>
      <c r="R618" s="153">
        <v>21.09</v>
      </c>
      <c r="S618" s="4"/>
      <c r="U618" s="147" t="s">
        <v>695</v>
      </c>
      <c r="V618" s="11"/>
      <c r="W618" s="4"/>
      <c r="X618" s="12"/>
      <c r="Y618" s="14"/>
      <c r="Z618" s="4"/>
      <c r="AA618" s="13"/>
      <c r="AB618" s="11"/>
      <c r="AC618" s="4"/>
      <c r="AD618" s="12"/>
      <c r="AE618" s="35"/>
      <c r="AF618" s="14">
        <v>5.0130999999999997</v>
      </c>
      <c r="AG618" s="133"/>
      <c r="AI618" s="84"/>
      <c r="AL618" s="64">
        <v>4.1726778500000004</v>
      </c>
      <c r="AM618" s="56">
        <v>15.019999999999991</v>
      </c>
      <c r="AN618" s="56">
        <v>17.060000000000031</v>
      </c>
      <c r="AO618" s="62">
        <v>23.279999999999919</v>
      </c>
      <c r="AQ618" s="64">
        <v>4.0813825333333336</v>
      </c>
      <c r="AR618" s="56">
        <v>14.52000000000009</v>
      </c>
      <c r="AS618" s="56">
        <v>16.000000000000011</v>
      </c>
      <c r="AT618" s="62">
        <v>20.180000000000039</v>
      </c>
      <c r="AV618" s="64">
        <v>3.727829383333332</v>
      </c>
      <c r="AW618" s="56">
        <v>14.160000000000039</v>
      </c>
      <c r="AX618" s="56">
        <v>15.660000000000011</v>
      </c>
      <c r="AY618" s="62">
        <v>20.51999999999996</v>
      </c>
      <c r="BA618" s="64">
        <v>3.1837158666666672</v>
      </c>
      <c r="BB618" s="56">
        <v>17.060000000000031</v>
      </c>
      <c r="BC618" s="56">
        <v>19.600000000000058</v>
      </c>
      <c r="BD618" s="62">
        <v>31.84000000000005</v>
      </c>
      <c r="BF618" s="64">
        <v>2.945183716666667</v>
      </c>
      <c r="BG618" s="56">
        <v>21.38</v>
      </c>
      <c r="BH618" s="56">
        <v>29</v>
      </c>
      <c r="BI618" s="62">
        <v>59.080000000000062</v>
      </c>
      <c r="BJ618" s="70"/>
      <c r="BK618" s="51"/>
    </row>
    <row r="619" spans="1:63" x14ac:dyDescent="0.4">
      <c r="A619" s="11" t="s">
        <v>696</v>
      </c>
      <c r="B619" s="4"/>
      <c r="C619" s="4"/>
      <c r="D619" s="4"/>
      <c r="E619" s="12"/>
      <c r="G619" s="147" t="s">
        <v>696</v>
      </c>
      <c r="H619" s="159">
        <v>70.028000000000006</v>
      </c>
      <c r="I619" s="153">
        <v>70.34</v>
      </c>
      <c r="J619" s="153">
        <v>70.37</v>
      </c>
      <c r="K619" s="153">
        <v>70.28</v>
      </c>
      <c r="L619" s="153">
        <v>70.28</v>
      </c>
      <c r="M619" s="80">
        <f t="shared" si="18"/>
        <v>70.37</v>
      </c>
      <c r="N619" s="80">
        <f t="shared" si="19"/>
        <v>70.28</v>
      </c>
      <c r="O619" s="153">
        <v>21.2</v>
      </c>
      <c r="P619" s="153">
        <v>21.01</v>
      </c>
      <c r="Q619" s="153">
        <v>21.14</v>
      </c>
      <c r="R619" s="153">
        <v>21.04</v>
      </c>
      <c r="S619" s="4"/>
      <c r="U619" s="147" t="s">
        <v>696</v>
      </c>
      <c r="V619" s="11"/>
      <c r="W619" s="4"/>
      <c r="X619" s="12"/>
      <c r="Y619" s="14"/>
      <c r="Z619" s="4"/>
      <c r="AA619" s="13"/>
      <c r="AB619" s="11"/>
      <c r="AC619" s="4"/>
      <c r="AD619" s="12"/>
      <c r="AE619" s="13"/>
      <c r="AF619" s="14">
        <v>5.0266000000000002</v>
      </c>
      <c r="AG619" s="133"/>
      <c r="AI619" s="84"/>
      <c r="AL619" s="64">
        <v>4.1727159999999994</v>
      </c>
      <c r="AM619" s="56">
        <v>14.700000000000021</v>
      </c>
      <c r="AN619" s="56">
        <v>16.699999999999982</v>
      </c>
      <c r="AO619" s="62">
        <v>23.000000000000039</v>
      </c>
      <c r="AQ619" s="64">
        <v>4.0817009833333326</v>
      </c>
      <c r="AR619" s="56">
        <v>14.400000000000009</v>
      </c>
      <c r="AS619" s="56">
        <v>15.87999999999994</v>
      </c>
      <c r="AT619" s="62">
        <v>20.05999999999997</v>
      </c>
      <c r="AV619" s="64">
        <v>3.7285816999999999</v>
      </c>
      <c r="AW619" s="56">
        <v>13.99999999999997</v>
      </c>
      <c r="AX619" s="56">
        <v>15.50000000000002</v>
      </c>
      <c r="AY619" s="62">
        <v>20.359999999999982</v>
      </c>
      <c r="BA619" s="64">
        <v>3.1843899833333329</v>
      </c>
      <c r="BB619" s="56">
        <v>16.819999999999968</v>
      </c>
      <c r="BC619" s="56">
        <v>19.32</v>
      </c>
      <c r="BD619" s="62">
        <v>31.47999999999999</v>
      </c>
      <c r="BF619" s="64">
        <v>2.9442982</v>
      </c>
      <c r="BG619" s="56">
        <v>20.98000000000004</v>
      </c>
      <c r="BH619" s="56">
        <v>28.500000000000011</v>
      </c>
      <c r="BI619" s="62">
        <v>58.560000000000038</v>
      </c>
      <c r="BJ619" s="70"/>
      <c r="BK619" s="51"/>
    </row>
    <row r="620" spans="1:63" x14ac:dyDescent="0.4">
      <c r="A620" s="11" t="s">
        <v>697</v>
      </c>
      <c r="B620" s="4"/>
      <c r="C620" s="4"/>
      <c r="D620" s="4"/>
      <c r="E620" s="12"/>
      <c r="G620" s="147" t="s">
        <v>697</v>
      </c>
      <c r="H620" s="159">
        <v>70.088999999999999</v>
      </c>
      <c r="I620" s="153">
        <v>70.3</v>
      </c>
      <c r="J620" s="153">
        <v>70.290000000000006</v>
      </c>
      <c r="K620" s="153">
        <v>70.38</v>
      </c>
      <c r="L620" s="153">
        <v>70.3</v>
      </c>
      <c r="M620" s="80">
        <f t="shared" si="18"/>
        <v>70.38</v>
      </c>
      <c r="N620" s="80">
        <f t="shared" si="19"/>
        <v>70.290000000000006</v>
      </c>
      <c r="O620" s="153">
        <v>21.15</v>
      </c>
      <c r="P620" s="153">
        <v>21.13</v>
      </c>
      <c r="Q620" s="153">
        <v>21.13</v>
      </c>
      <c r="R620" s="153">
        <v>21.11</v>
      </c>
      <c r="S620" s="4"/>
      <c r="U620" s="147" t="s">
        <v>697</v>
      </c>
      <c r="V620" s="11"/>
      <c r="W620" s="4"/>
      <c r="X620" s="12"/>
      <c r="Y620" s="14"/>
      <c r="Z620" s="4"/>
      <c r="AA620" s="13"/>
      <c r="AB620" s="11"/>
      <c r="AC620" s="4"/>
      <c r="AD620" s="12"/>
      <c r="AE620" s="35"/>
      <c r="AF620" s="14">
        <v>5.0454999999999997</v>
      </c>
      <c r="AG620" s="133"/>
      <c r="AI620" s="84"/>
      <c r="AL620" s="64">
        <v>4.1730596833333333</v>
      </c>
      <c r="AM620" s="56">
        <v>14.700000000000021</v>
      </c>
      <c r="AN620" s="56">
        <v>16.699999999999982</v>
      </c>
      <c r="AO620" s="62">
        <v>22.900000000000102</v>
      </c>
      <c r="AQ620" s="64">
        <v>4.0830951166666676</v>
      </c>
      <c r="AR620" s="56">
        <v>14.499999999999959</v>
      </c>
      <c r="AS620" s="56">
        <v>16.000000000000011</v>
      </c>
      <c r="AT620" s="62">
        <v>20.17999999999995</v>
      </c>
      <c r="AV620" s="64">
        <v>3.7305564333333332</v>
      </c>
      <c r="AW620" s="56">
        <v>13.980000000000009</v>
      </c>
      <c r="AX620" s="56">
        <v>15.479999999999981</v>
      </c>
      <c r="AY620" s="62">
        <v>20.36000000000007</v>
      </c>
      <c r="BA620" s="64">
        <v>3.190383666666667</v>
      </c>
      <c r="BB620" s="56">
        <v>16.61999999999999</v>
      </c>
      <c r="BC620" s="56">
        <v>19.119999999999941</v>
      </c>
      <c r="BD620" s="62">
        <v>31.02</v>
      </c>
      <c r="BF620" s="64">
        <v>2.940000683333333</v>
      </c>
      <c r="BG620" s="56">
        <v>20.88000000000001</v>
      </c>
      <c r="BH620" s="56">
        <v>28.05999999999997</v>
      </c>
      <c r="BI620" s="62">
        <v>57.89999999999997</v>
      </c>
      <c r="BJ620" s="70"/>
      <c r="BK620" s="51"/>
    </row>
    <row r="621" spans="1:63" x14ac:dyDescent="0.4">
      <c r="A621" s="11" t="s">
        <v>698</v>
      </c>
      <c r="B621" s="4"/>
      <c r="C621" s="4"/>
      <c r="D621" s="4"/>
      <c r="E621" s="12"/>
      <c r="G621" s="147" t="s">
        <v>698</v>
      </c>
      <c r="H621" s="159">
        <v>70.072999999999993</v>
      </c>
      <c r="I621" s="153">
        <v>70.400000000000006</v>
      </c>
      <c r="J621" s="153">
        <v>70.31</v>
      </c>
      <c r="K621" s="153">
        <v>70.290000000000006</v>
      </c>
      <c r="L621" s="153">
        <v>70.37</v>
      </c>
      <c r="M621" s="80">
        <f t="shared" si="18"/>
        <v>70.400000000000006</v>
      </c>
      <c r="N621" s="80">
        <f t="shared" si="19"/>
        <v>70.290000000000006</v>
      </c>
      <c r="O621" s="153">
        <v>21.15</v>
      </c>
      <c r="P621" s="153">
        <v>21.12</v>
      </c>
      <c r="Q621" s="153">
        <v>21.14</v>
      </c>
      <c r="R621" s="153">
        <v>21.03</v>
      </c>
      <c r="S621" s="4"/>
      <c r="U621" s="147" t="s">
        <v>698</v>
      </c>
      <c r="V621" s="11"/>
      <c r="W621" s="4"/>
      <c r="X621" s="12"/>
      <c r="Y621" s="14"/>
      <c r="Z621" s="4"/>
      <c r="AA621" s="13"/>
      <c r="AB621" s="11"/>
      <c r="AC621" s="4"/>
      <c r="AD621" s="12"/>
      <c r="AE621" s="35"/>
      <c r="AF621" s="14">
        <v>5.0494000000000003</v>
      </c>
      <c r="AG621" s="134"/>
      <c r="AI621" s="84"/>
      <c r="AL621" s="64">
        <v>4.1728542000000006</v>
      </c>
      <c r="AM621" s="56">
        <v>13.8399999999999</v>
      </c>
      <c r="AN621" s="56">
        <v>15.71999999999996</v>
      </c>
      <c r="AO621" s="62">
        <v>21.759999999999909</v>
      </c>
      <c r="AQ621" s="64">
        <v>4.0822336833333326</v>
      </c>
      <c r="AR621" s="56">
        <v>13.480000000000031</v>
      </c>
      <c r="AS621" s="56">
        <v>14.86000000000001</v>
      </c>
      <c r="AT621" s="62">
        <v>18.820000000000011</v>
      </c>
      <c r="AV621" s="64">
        <v>3.7289867000000001</v>
      </c>
      <c r="AW621" s="56">
        <v>13.22000000000001</v>
      </c>
      <c r="AX621" s="56">
        <v>14.619999999999941</v>
      </c>
      <c r="AY621" s="62">
        <v>19.280000000000008</v>
      </c>
      <c r="BA621" s="64">
        <v>3.1917629999999999</v>
      </c>
      <c r="BB621" s="56">
        <v>16.280000000000069</v>
      </c>
      <c r="BC621" s="56">
        <v>18.700000000000031</v>
      </c>
      <c r="BD621" s="62">
        <v>30.440000000000019</v>
      </c>
      <c r="BF621" s="64">
        <v>2.9491666333333342</v>
      </c>
      <c r="BG621" s="56">
        <v>20.600000000000041</v>
      </c>
      <c r="BH621" s="56">
        <v>27.880000000000042</v>
      </c>
      <c r="BI621" s="62">
        <v>57.439999999999984</v>
      </c>
      <c r="BJ621" s="69"/>
      <c r="BK621" s="51"/>
    </row>
    <row r="622" spans="1:63" x14ac:dyDescent="0.4">
      <c r="A622" s="11" t="s">
        <v>699</v>
      </c>
      <c r="B622" s="4"/>
      <c r="C622" s="4"/>
      <c r="D622" s="4"/>
      <c r="E622" s="12"/>
      <c r="G622" s="147" t="s">
        <v>699</v>
      </c>
      <c r="H622" s="159">
        <v>70.012</v>
      </c>
      <c r="I622" s="153">
        <v>70.36</v>
      </c>
      <c r="J622" s="153">
        <v>70.33</v>
      </c>
      <c r="K622" s="153">
        <v>70.34</v>
      </c>
      <c r="L622" s="153">
        <v>70.36</v>
      </c>
      <c r="M622" s="80">
        <f t="shared" si="18"/>
        <v>70.36</v>
      </c>
      <c r="N622" s="80">
        <f t="shared" si="19"/>
        <v>70.33</v>
      </c>
      <c r="O622" s="153">
        <v>21.19</v>
      </c>
      <c r="P622" s="153">
        <v>21.05</v>
      </c>
      <c r="Q622" s="153">
        <v>21.14</v>
      </c>
      <c r="R622" s="153">
        <v>21.1</v>
      </c>
      <c r="S622" s="4"/>
      <c r="U622" s="147" t="s">
        <v>699</v>
      </c>
      <c r="V622" s="11"/>
      <c r="W622" s="4"/>
      <c r="X622" s="12"/>
      <c r="Y622" s="14"/>
      <c r="Z622" s="4"/>
      <c r="AA622" s="13"/>
      <c r="AB622" s="11"/>
      <c r="AC622" s="4"/>
      <c r="AD622" s="12"/>
      <c r="AE622" s="35"/>
      <c r="AF622" s="14">
        <v>5.0323000000000002</v>
      </c>
      <c r="AG622" s="133"/>
      <c r="AI622" s="84"/>
      <c r="AL622" s="64">
        <v>4.1730080000000003</v>
      </c>
      <c r="AM622" s="56">
        <v>13.76000000000008</v>
      </c>
      <c r="AN622" s="56">
        <v>15.6600000000001</v>
      </c>
      <c r="AO622" s="62">
        <v>21.76000000000009</v>
      </c>
      <c r="AQ622" s="64">
        <v>4.0820196666666666</v>
      </c>
      <c r="AR622" s="56">
        <v>13.419999999999989</v>
      </c>
      <c r="AS622" s="56">
        <v>14.799999999999971</v>
      </c>
      <c r="AT622" s="62">
        <v>18.759999999999891</v>
      </c>
      <c r="AV622" s="64">
        <v>3.7295533000000001</v>
      </c>
      <c r="AW622" s="56">
        <v>13.079999999999981</v>
      </c>
      <c r="AX622" s="56">
        <v>14.48</v>
      </c>
      <c r="AY622" s="62">
        <v>19.120000000000029</v>
      </c>
      <c r="BA622" s="64">
        <v>3.1948492333333331</v>
      </c>
      <c r="BB622" s="56">
        <v>15.939999999999969</v>
      </c>
      <c r="BC622" s="56">
        <v>18.299999999999979</v>
      </c>
      <c r="BD622" s="62">
        <v>29.860000000000039</v>
      </c>
      <c r="BF622" s="64">
        <v>2.9469123000000002</v>
      </c>
      <c r="BG622" s="56">
        <v>19.979999999999979</v>
      </c>
      <c r="BH622" s="56">
        <v>27.359999999999921</v>
      </c>
      <c r="BI622" s="62">
        <v>56.879999999999953</v>
      </c>
      <c r="BJ622" s="70"/>
      <c r="BK622" s="51"/>
    </row>
    <row r="623" spans="1:63" x14ac:dyDescent="0.4">
      <c r="A623" s="11" t="s">
        <v>700</v>
      </c>
      <c r="B623" s="4"/>
      <c r="C623" s="4"/>
      <c r="D623" s="4"/>
      <c r="E623" s="12"/>
      <c r="G623" s="147" t="s">
        <v>700</v>
      </c>
      <c r="H623" s="159">
        <v>70.113</v>
      </c>
      <c r="I623" s="153">
        <v>70.3</v>
      </c>
      <c r="J623" s="153">
        <v>70.400000000000006</v>
      </c>
      <c r="K623" s="153">
        <v>70.400000000000006</v>
      </c>
      <c r="L623" s="153">
        <v>70.349999999999994</v>
      </c>
      <c r="M623" s="80">
        <f t="shared" si="18"/>
        <v>70.400000000000006</v>
      </c>
      <c r="N623" s="80">
        <f t="shared" si="19"/>
        <v>70.3</v>
      </c>
      <c r="O623" s="153">
        <v>21.22</v>
      </c>
      <c r="P623" s="153">
        <v>21.14</v>
      </c>
      <c r="Q623" s="153">
        <v>21.16</v>
      </c>
      <c r="R623" s="153">
        <v>21.13</v>
      </c>
      <c r="S623" s="4"/>
      <c r="U623" s="147" t="s">
        <v>700</v>
      </c>
      <c r="V623" s="11"/>
      <c r="W623" s="4"/>
      <c r="X623" s="12"/>
      <c r="Y623" s="14"/>
      <c r="Z623" s="4"/>
      <c r="AA623" s="13"/>
      <c r="AB623" s="11"/>
      <c r="AC623" s="4"/>
      <c r="AD623" s="12"/>
      <c r="AE623" s="13"/>
      <c r="AF623" s="14">
        <v>5.0591999999999997</v>
      </c>
      <c r="AG623" s="133"/>
      <c r="AI623" s="84"/>
      <c r="AL623" s="64">
        <v>4.1722644333333339</v>
      </c>
      <c r="AM623" s="56">
        <v>13.78000000000004</v>
      </c>
      <c r="AN623" s="56">
        <v>15.680000000000049</v>
      </c>
      <c r="AO623" s="62">
        <v>21.72000000000001</v>
      </c>
      <c r="AQ623" s="64">
        <v>4.0819209333333326</v>
      </c>
      <c r="AR623" s="56">
        <v>13.459999999999891</v>
      </c>
      <c r="AS623" s="56">
        <v>14.86000000000001</v>
      </c>
      <c r="AT623" s="62">
        <v>18.820000000000011</v>
      </c>
      <c r="AV623" s="64">
        <v>3.7284457666666659</v>
      </c>
      <c r="AW623" s="56">
        <v>13.26000000000001</v>
      </c>
      <c r="AX623" s="56">
        <v>14.56</v>
      </c>
      <c r="AY623" s="62">
        <v>19.200000000000021</v>
      </c>
      <c r="BA623" s="64">
        <v>3.1879583166666672</v>
      </c>
      <c r="BB623" s="56">
        <v>16.14000000000004</v>
      </c>
      <c r="BC623" s="56">
        <v>18.580000000000041</v>
      </c>
      <c r="BD623" s="62">
        <v>30.480000000000022</v>
      </c>
      <c r="BF623" s="64">
        <v>2.948114433333334</v>
      </c>
      <c r="BG623" s="56">
        <v>20.359999999999982</v>
      </c>
      <c r="BH623" s="56">
        <v>27.559999999999981</v>
      </c>
      <c r="BI623" s="62">
        <v>57.000000000000028</v>
      </c>
      <c r="BJ623" s="70"/>
      <c r="BK623" s="51"/>
    </row>
    <row r="624" spans="1:63" x14ac:dyDescent="0.4">
      <c r="A624" s="11" t="s">
        <v>701</v>
      </c>
      <c r="B624" s="4"/>
      <c r="C624" s="4"/>
      <c r="D624" s="4"/>
      <c r="E624" s="12"/>
      <c r="G624" s="147" t="s">
        <v>701</v>
      </c>
      <c r="H624" s="159">
        <v>70.043000000000006</v>
      </c>
      <c r="I624" s="153">
        <v>70.3</v>
      </c>
      <c r="J624" s="153">
        <v>70.36</v>
      </c>
      <c r="K624" s="153">
        <v>70.28</v>
      </c>
      <c r="L624" s="153">
        <v>70.27</v>
      </c>
      <c r="M624" s="80">
        <f t="shared" si="18"/>
        <v>70.36</v>
      </c>
      <c r="N624" s="80">
        <f t="shared" si="19"/>
        <v>70.27</v>
      </c>
      <c r="O624" s="153">
        <v>21.22</v>
      </c>
      <c r="P624" s="153">
        <v>21.15</v>
      </c>
      <c r="Q624" s="153">
        <v>21.06</v>
      </c>
      <c r="R624" s="153">
        <v>21.03</v>
      </c>
      <c r="S624" s="4"/>
      <c r="U624" s="147" t="s">
        <v>701</v>
      </c>
      <c r="V624" s="11"/>
      <c r="W624" s="4"/>
      <c r="X624" s="12"/>
      <c r="Y624" s="14"/>
      <c r="Z624" s="4"/>
      <c r="AA624" s="13"/>
      <c r="AB624" s="11"/>
      <c r="AC624" s="4"/>
      <c r="AD624" s="12"/>
      <c r="AE624" s="13"/>
      <c r="AF624" s="14">
        <v>5.0380000000000003</v>
      </c>
      <c r="AG624" s="133"/>
      <c r="AI624" s="84"/>
      <c r="AL624" s="64">
        <v>4.1724712666666663</v>
      </c>
      <c r="AM624" s="56">
        <v>13.59999999999992</v>
      </c>
      <c r="AN624" s="56">
        <v>15.519999999999889</v>
      </c>
      <c r="AO624" s="62">
        <v>21.579999999999981</v>
      </c>
      <c r="AQ624" s="64">
        <v>4.0834745000000003</v>
      </c>
      <c r="AR624" s="56">
        <v>13.620000000000051</v>
      </c>
      <c r="AS624" s="56">
        <v>15.000000000000041</v>
      </c>
      <c r="AT624" s="62">
        <v>18.940000000000001</v>
      </c>
      <c r="AV624" s="64">
        <v>3.731546199999999</v>
      </c>
      <c r="AW624" s="56">
        <v>13.3</v>
      </c>
      <c r="AX624" s="56">
        <v>14.699999999999941</v>
      </c>
      <c r="AY624" s="62">
        <v>19.339999999999961</v>
      </c>
      <c r="BA624" s="64">
        <v>3.1986972333333341</v>
      </c>
      <c r="BB624" s="56">
        <v>16.27999999999998</v>
      </c>
      <c r="BC624" s="56">
        <v>18.619999999999951</v>
      </c>
      <c r="BD624" s="62">
        <v>30.119999999999969</v>
      </c>
      <c r="BF624" s="64">
        <v>2.95092365</v>
      </c>
      <c r="BG624" s="56">
        <v>20.639999999999951</v>
      </c>
      <c r="BH624" s="56">
        <v>27.73999999999992</v>
      </c>
      <c r="BI624" s="62">
        <v>57.019999999999982</v>
      </c>
      <c r="BJ624" s="70"/>
      <c r="BK624" s="51"/>
    </row>
    <row r="625" spans="1:63" x14ac:dyDescent="0.4">
      <c r="A625" s="11" t="s">
        <v>702</v>
      </c>
      <c r="B625" s="4"/>
      <c r="C625" s="4"/>
      <c r="D625" s="4"/>
      <c r="E625" s="12"/>
      <c r="G625" s="147" t="s">
        <v>702</v>
      </c>
      <c r="H625" s="159">
        <v>70.02</v>
      </c>
      <c r="I625" s="153">
        <v>70.3</v>
      </c>
      <c r="J625" s="153">
        <v>70.33</v>
      </c>
      <c r="K625" s="153">
        <v>70.38</v>
      </c>
      <c r="L625" s="153">
        <v>70.36</v>
      </c>
      <c r="M625" s="80">
        <f t="shared" si="18"/>
        <v>70.38</v>
      </c>
      <c r="N625" s="80">
        <f t="shared" si="19"/>
        <v>70.3</v>
      </c>
      <c r="O625" s="153">
        <v>21.16</v>
      </c>
      <c r="P625" s="153">
        <v>21.06</v>
      </c>
      <c r="Q625" s="153">
        <v>21.13</v>
      </c>
      <c r="R625" s="153">
        <v>21.06</v>
      </c>
      <c r="S625" s="4"/>
      <c r="U625" s="147" t="s">
        <v>702</v>
      </c>
      <c r="V625" s="11"/>
      <c r="W625" s="4"/>
      <c r="X625" s="12"/>
      <c r="Y625" s="14"/>
      <c r="Z625" s="4"/>
      <c r="AA625" s="13"/>
      <c r="AB625" s="11"/>
      <c r="AC625" s="4"/>
      <c r="AD625" s="12"/>
      <c r="AE625" s="13"/>
      <c r="AF625" s="14">
        <v>5.016</v>
      </c>
      <c r="AG625" s="133"/>
      <c r="AI625" s="84"/>
      <c r="AL625" s="64">
        <v>4.1720218500000001</v>
      </c>
      <c r="AM625" s="56">
        <v>13.79999999999999</v>
      </c>
      <c r="AN625" s="56">
        <v>15.71999999999996</v>
      </c>
      <c r="AO625" s="62">
        <v>21.8</v>
      </c>
      <c r="AQ625" s="64">
        <v>4.0825045333333314</v>
      </c>
      <c r="AR625" s="56">
        <v>13.479999999999849</v>
      </c>
      <c r="AS625" s="56">
        <v>14.859999999999831</v>
      </c>
      <c r="AT625" s="62">
        <v>18.819999999999929</v>
      </c>
      <c r="AV625" s="64">
        <v>3.7302903999999999</v>
      </c>
      <c r="AW625" s="56">
        <v>13.060000000000031</v>
      </c>
      <c r="AX625" s="56">
        <v>14.44000000000001</v>
      </c>
      <c r="AY625" s="62">
        <v>19.059999999999992</v>
      </c>
      <c r="BA625" s="64">
        <v>3.1910955666666672</v>
      </c>
      <c r="BB625" s="56">
        <v>15.939999999999969</v>
      </c>
      <c r="BC625" s="56">
        <v>18.339999999999979</v>
      </c>
      <c r="BD625" s="62">
        <v>30.100000000000019</v>
      </c>
      <c r="BF625" s="64">
        <v>2.9520221333333332</v>
      </c>
      <c r="BG625" s="56">
        <v>20.180000000000039</v>
      </c>
      <c r="BH625" s="56">
        <v>27.92000000000003</v>
      </c>
      <c r="BI625" s="62">
        <v>58.340000000000018</v>
      </c>
      <c r="BJ625" s="70"/>
      <c r="BK625" s="51"/>
    </row>
    <row r="626" spans="1:63" x14ac:dyDescent="0.4">
      <c r="A626" s="11" t="s">
        <v>703</v>
      </c>
      <c r="B626" s="4"/>
      <c r="C626" s="4"/>
      <c r="D626" s="4"/>
      <c r="E626" s="12"/>
      <c r="G626" s="147" t="s">
        <v>703</v>
      </c>
      <c r="H626" s="159">
        <v>70.021000000000001</v>
      </c>
      <c r="I626" s="153">
        <v>70.37</v>
      </c>
      <c r="J626" s="153">
        <v>70.33</v>
      </c>
      <c r="K626" s="153">
        <v>70.31</v>
      </c>
      <c r="L626" s="153">
        <v>70.319999999999993</v>
      </c>
      <c r="M626" s="80">
        <f t="shared" si="18"/>
        <v>70.37</v>
      </c>
      <c r="N626" s="80">
        <f t="shared" si="19"/>
        <v>70.31</v>
      </c>
      <c r="O626" s="153">
        <v>21.19</v>
      </c>
      <c r="P626" s="153">
        <v>21.05</v>
      </c>
      <c r="Q626" s="153">
        <v>21.11</v>
      </c>
      <c r="R626" s="153">
        <v>21.06</v>
      </c>
      <c r="S626" s="4"/>
      <c r="U626" s="147" t="s">
        <v>703</v>
      </c>
      <c r="V626" s="11"/>
      <c r="W626" s="4"/>
      <c r="X626" s="12"/>
      <c r="Y626" s="14"/>
      <c r="Z626" s="4"/>
      <c r="AA626" s="13"/>
      <c r="AB626" s="11"/>
      <c r="AC626" s="4"/>
      <c r="AD626" s="12"/>
      <c r="AE626" s="13"/>
      <c r="AF626" s="14">
        <v>5.0138999999999996</v>
      </c>
      <c r="AG626" s="133"/>
      <c r="AI626" s="84"/>
      <c r="AL626" s="64">
        <v>4.1722757499999998</v>
      </c>
      <c r="AM626" s="56">
        <v>14.1</v>
      </c>
      <c r="AN626" s="56">
        <v>16.039999999999921</v>
      </c>
      <c r="AO626" s="62">
        <v>22.139999999999919</v>
      </c>
      <c r="AQ626" s="64">
        <v>4.0798170833333316</v>
      </c>
      <c r="AR626" s="56">
        <v>13.700000000000051</v>
      </c>
      <c r="AS626" s="56">
        <v>15.120000000000109</v>
      </c>
      <c r="AT626" s="62">
        <v>19.240000000000101</v>
      </c>
      <c r="AV626" s="64">
        <v>3.7265214666666671</v>
      </c>
      <c r="AW626" s="56">
        <v>13.27999999999996</v>
      </c>
      <c r="AX626" s="56">
        <v>14.700000000000021</v>
      </c>
      <c r="AY626" s="62">
        <v>19.439999999999991</v>
      </c>
      <c r="BA626" s="64">
        <v>3.18285485</v>
      </c>
      <c r="BB626" s="56">
        <v>16.359999999999971</v>
      </c>
      <c r="BC626" s="56">
        <v>18.820000000000011</v>
      </c>
      <c r="BD626" s="62">
        <v>30.879999999999971</v>
      </c>
      <c r="BF626" s="64">
        <v>2.9443288999999999</v>
      </c>
      <c r="BG626" s="56">
        <v>20.600000000000041</v>
      </c>
      <c r="BH626" s="56">
        <v>28.14000000000005</v>
      </c>
      <c r="BI626" s="62">
        <v>58.11999999999999</v>
      </c>
      <c r="BJ626" s="70"/>
      <c r="BK626" s="51"/>
    </row>
    <row r="627" spans="1:63" x14ac:dyDescent="0.4">
      <c r="A627" s="11" t="s">
        <v>704</v>
      </c>
      <c r="B627" s="4"/>
      <c r="C627" s="4"/>
      <c r="D627" s="4"/>
      <c r="E627" s="12"/>
      <c r="G627" s="147" t="s">
        <v>704</v>
      </c>
      <c r="H627" s="159">
        <v>69.965000000000003</v>
      </c>
      <c r="I627" s="153">
        <v>70.400000000000006</v>
      </c>
      <c r="J627" s="153">
        <v>70.28</v>
      </c>
      <c r="K627" s="153">
        <v>70.38</v>
      </c>
      <c r="L627" s="153">
        <v>70.349999999999994</v>
      </c>
      <c r="M627" s="80">
        <f t="shared" si="18"/>
        <v>70.400000000000006</v>
      </c>
      <c r="N627" s="80">
        <f t="shared" si="19"/>
        <v>70.28</v>
      </c>
      <c r="O627" s="153">
        <v>21.2</v>
      </c>
      <c r="P627" s="153">
        <v>21.12</v>
      </c>
      <c r="Q627" s="153">
        <v>21.13</v>
      </c>
      <c r="R627" s="153">
        <v>21.09</v>
      </c>
      <c r="S627" s="4"/>
      <c r="U627" s="147" t="s">
        <v>704</v>
      </c>
      <c r="V627" s="11"/>
      <c r="W627" s="4"/>
      <c r="X627" s="12"/>
      <c r="Y627" s="14"/>
      <c r="Z627" s="4"/>
      <c r="AA627" s="13"/>
      <c r="AB627" s="11"/>
      <c r="AC627" s="4"/>
      <c r="AD627" s="12"/>
      <c r="AE627" s="35"/>
      <c r="AF627" s="14">
        <v>5.0125999999999999</v>
      </c>
      <c r="AG627" s="133"/>
      <c r="AI627" s="84"/>
      <c r="AL627" s="64">
        <v>4.1716525500000001</v>
      </c>
      <c r="AM627" s="56">
        <v>15.09999999999998</v>
      </c>
      <c r="AN627" s="56">
        <v>17.140000000000018</v>
      </c>
      <c r="AO627" s="62">
        <v>23.439999999999909</v>
      </c>
      <c r="AQ627" s="64">
        <v>4.0814563000000001</v>
      </c>
      <c r="AR627" s="56">
        <v>14.74000000000011</v>
      </c>
      <c r="AS627" s="56">
        <v>16.239999999999991</v>
      </c>
      <c r="AT627" s="62">
        <v>20.48000000000005</v>
      </c>
      <c r="AV627" s="64">
        <v>3.7279987000000001</v>
      </c>
      <c r="AW627" s="56">
        <v>14.299999999999979</v>
      </c>
      <c r="AX627" s="56">
        <v>15.80000000000004</v>
      </c>
      <c r="AY627" s="62">
        <v>20.739999999999981</v>
      </c>
      <c r="BA627" s="64">
        <v>3.1848080333333328</v>
      </c>
      <c r="BB627" s="56">
        <v>17.179999999999929</v>
      </c>
      <c r="BC627" s="56">
        <v>19.71999999999996</v>
      </c>
      <c r="BD627" s="62">
        <v>31.959999999999951</v>
      </c>
      <c r="BF627" s="64">
        <v>2.9482211</v>
      </c>
      <c r="BG627" s="56">
        <v>21.439999999999952</v>
      </c>
      <c r="BH627" s="56">
        <v>29.04</v>
      </c>
      <c r="BI627" s="62">
        <v>58.919999999999987</v>
      </c>
      <c r="BJ627" s="70"/>
      <c r="BK627" s="51"/>
    </row>
    <row r="628" spans="1:63" x14ac:dyDescent="0.4">
      <c r="A628" s="11" t="s">
        <v>705</v>
      </c>
      <c r="B628" s="4"/>
      <c r="C628" s="4"/>
      <c r="D628" s="4"/>
      <c r="E628" s="12"/>
      <c r="G628" s="147" t="s">
        <v>705</v>
      </c>
      <c r="H628" s="159">
        <v>69.965999999999994</v>
      </c>
      <c r="I628" s="153">
        <v>70.33</v>
      </c>
      <c r="J628" s="153">
        <v>70.36</v>
      </c>
      <c r="K628" s="153">
        <v>70.33</v>
      </c>
      <c r="L628" s="153">
        <v>70.38</v>
      </c>
      <c r="M628" s="80">
        <f t="shared" si="18"/>
        <v>70.38</v>
      </c>
      <c r="N628" s="80">
        <f t="shared" si="19"/>
        <v>70.33</v>
      </c>
      <c r="O628" s="153">
        <v>21.15</v>
      </c>
      <c r="P628" s="153">
        <v>21.04</v>
      </c>
      <c r="Q628" s="153">
        <v>21.08</v>
      </c>
      <c r="R628" s="153">
        <v>21.07</v>
      </c>
      <c r="S628" s="4"/>
      <c r="U628" s="147" t="s">
        <v>705</v>
      </c>
      <c r="V628" s="11"/>
      <c r="W628" s="4"/>
      <c r="X628" s="12"/>
      <c r="Y628" s="14"/>
      <c r="Z628" s="4"/>
      <c r="AA628" s="13"/>
      <c r="AB628" s="11"/>
      <c r="AC628" s="4"/>
      <c r="AD628" s="12"/>
      <c r="AE628" s="35"/>
      <c r="AF628" s="14">
        <v>5.0145999999999997</v>
      </c>
      <c r="AG628" s="133"/>
      <c r="AI628" s="84"/>
      <c r="AL628" s="64">
        <v>4.1718175833333344</v>
      </c>
      <c r="AM628" s="56">
        <v>15.460000000000029</v>
      </c>
      <c r="AN628" s="56">
        <v>17.500000000000071</v>
      </c>
      <c r="AO628" s="62">
        <v>23.760000000000051</v>
      </c>
      <c r="AQ628" s="64">
        <v>4.0790713166666661</v>
      </c>
      <c r="AR628" s="56">
        <v>14.660000000000119</v>
      </c>
      <c r="AS628" s="56">
        <v>16.160000000000089</v>
      </c>
      <c r="AT628" s="62">
        <v>20.36000000000007</v>
      </c>
      <c r="AV628" s="64">
        <v>3.7252459</v>
      </c>
      <c r="AW628" s="56">
        <v>14.299999999999979</v>
      </c>
      <c r="AX628" s="56">
        <v>15.799999999999949</v>
      </c>
      <c r="AY628" s="62">
        <v>20.739999999999981</v>
      </c>
      <c r="BA628" s="64">
        <v>3.1806393666666661</v>
      </c>
      <c r="BB628" s="56">
        <v>17.25999999999992</v>
      </c>
      <c r="BC628" s="56">
        <v>19.83999999999995</v>
      </c>
      <c r="BD628" s="62">
        <v>32.119999999999933</v>
      </c>
      <c r="BF628" s="64">
        <v>2.9441543000000001</v>
      </c>
      <c r="BG628" s="56">
        <v>21.56000000000002</v>
      </c>
      <c r="BH628" s="56">
        <v>29.320000000000061</v>
      </c>
      <c r="BI628" s="62">
        <v>59.520000000000017</v>
      </c>
      <c r="BJ628" s="70"/>
      <c r="BK628" s="51"/>
    </row>
    <row r="629" spans="1:63" x14ac:dyDescent="0.4">
      <c r="A629" s="11" t="s">
        <v>706</v>
      </c>
      <c r="B629" s="4"/>
      <c r="C629" s="4"/>
      <c r="D629" s="4"/>
      <c r="E629" s="12"/>
      <c r="G629" s="147" t="s">
        <v>706</v>
      </c>
      <c r="H629" s="159">
        <v>70.013000000000005</v>
      </c>
      <c r="I629" s="153">
        <v>70.39</v>
      </c>
      <c r="J629" s="153">
        <v>70.319999999999993</v>
      </c>
      <c r="K629" s="153">
        <v>70.31</v>
      </c>
      <c r="L629" s="153">
        <v>70.349999999999994</v>
      </c>
      <c r="M629" s="80">
        <f t="shared" si="18"/>
        <v>70.39</v>
      </c>
      <c r="N629" s="80">
        <f t="shared" si="19"/>
        <v>70.31</v>
      </c>
      <c r="O629" s="153">
        <v>21.21</v>
      </c>
      <c r="P629" s="153">
        <v>21.13</v>
      </c>
      <c r="Q629" s="153">
        <v>21.13</v>
      </c>
      <c r="R629" s="153">
        <v>21.06</v>
      </c>
      <c r="S629" s="4"/>
      <c r="U629" s="147" t="s">
        <v>706</v>
      </c>
      <c r="V629" s="11"/>
      <c r="W629" s="4"/>
      <c r="X629" s="12"/>
      <c r="Y629" s="14"/>
      <c r="Z629" s="4"/>
      <c r="AA629" s="13"/>
      <c r="AB629" s="11"/>
      <c r="AC629" s="4"/>
      <c r="AD629" s="12"/>
      <c r="AE629" s="13"/>
      <c r="AF629" s="14">
        <v>5.0191999999999997</v>
      </c>
      <c r="AG629" s="133"/>
      <c r="AI629" s="84"/>
      <c r="AL629" s="64">
        <v>4.1715288499999996</v>
      </c>
      <c r="AM629" s="56">
        <v>15.220000000000059</v>
      </c>
      <c r="AN629" s="56">
        <v>17.23999999999997</v>
      </c>
      <c r="AO629" s="62">
        <v>23.520000000000071</v>
      </c>
      <c r="AQ629" s="64">
        <v>4.0807115166666668</v>
      </c>
      <c r="AR629" s="56">
        <v>14.799999999999971</v>
      </c>
      <c r="AS629" s="56">
        <v>16.27999999999998</v>
      </c>
      <c r="AT629" s="62">
        <v>20.54</v>
      </c>
      <c r="AV629" s="64">
        <v>3.7269792666666661</v>
      </c>
      <c r="AW629" s="56">
        <v>14.32000000000002</v>
      </c>
      <c r="AX629" s="56">
        <v>15.81999999999999</v>
      </c>
      <c r="AY629" s="62">
        <v>20.739999999999981</v>
      </c>
      <c r="BA629" s="64">
        <v>3.18189375</v>
      </c>
      <c r="BB629" s="56">
        <v>17.539999999999981</v>
      </c>
      <c r="BC629" s="56">
        <v>20.139999999999961</v>
      </c>
      <c r="BD629" s="62">
        <v>32.580000000000013</v>
      </c>
      <c r="BF629" s="64">
        <v>2.9488800666666668</v>
      </c>
      <c r="BG629" s="56">
        <v>21.78000000000004</v>
      </c>
      <c r="BH629" s="56">
        <v>29.579999999999981</v>
      </c>
      <c r="BI629" s="62">
        <v>59.839999999999982</v>
      </c>
      <c r="BJ629" s="69"/>
      <c r="BK629" s="51"/>
    </row>
    <row r="630" spans="1:63" x14ac:dyDescent="0.4">
      <c r="A630" s="11" t="s">
        <v>707</v>
      </c>
      <c r="B630" s="4"/>
      <c r="C630" s="4"/>
      <c r="D630" s="4"/>
      <c r="E630" s="12"/>
      <c r="G630" s="147" t="s">
        <v>707</v>
      </c>
      <c r="H630" s="159">
        <v>70.037999999999997</v>
      </c>
      <c r="I630" s="153">
        <v>70.39</v>
      </c>
      <c r="J630" s="153">
        <v>70.3</v>
      </c>
      <c r="K630" s="153">
        <v>70.349999999999994</v>
      </c>
      <c r="L630" s="153">
        <v>70.349999999999994</v>
      </c>
      <c r="M630" s="80">
        <f t="shared" si="18"/>
        <v>70.39</v>
      </c>
      <c r="N630" s="80">
        <f t="shared" si="19"/>
        <v>70.3</v>
      </c>
      <c r="O630" s="153">
        <v>21.17</v>
      </c>
      <c r="P630" s="153">
        <v>21.15</v>
      </c>
      <c r="Q630" s="153">
        <v>21.14</v>
      </c>
      <c r="R630" s="153">
        <v>21.11</v>
      </c>
      <c r="S630" s="4"/>
      <c r="U630" s="147" t="s">
        <v>707</v>
      </c>
      <c r="V630" s="11"/>
      <c r="W630" s="4"/>
      <c r="X630" s="12"/>
      <c r="Y630" s="14"/>
      <c r="Z630" s="4"/>
      <c r="AA630" s="13"/>
      <c r="AB630" s="11"/>
      <c r="AC630" s="4"/>
      <c r="AD630" s="12"/>
      <c r="AE630" s="35"/>
      <c r="AF630" s="14">
        <v>5.0457999999999998</v>
      </c>
      <c r="AG630" s="133"/>
      <c r="AI630" s="84"/>
      <c r="AL630" s="64">
        <v>4.1719967833333333</v>
      </c>
      <c r="AM630" s="56">
        <v>14.94</v>
      </c>
      <c r="AN630" s="56">
        <v>16.959999999999908</v>
      </c>
      <c r="AO630" s="62">
        <v>23.219999999999889</v>
      </c>
      <c r="AQ630" s="64">
        <v>4.0818900833333327</v>
      </c>
      <c r="AR630" s="56">
        <v>14.76000000000006</v>
      </c>
      <c r="AS630" s="56">
        <v>16.239999999999991</v>
      </c>
      <c r="AT630" s="62">
        <v>20.48000000000005</v>
      </c>
      <c r="AV630" s="64">
        <v>3.7286984666666672</v>
      </c>
      <c r="AW630" s="56">
        <v>14.28000000000003</v>
      </c>
      <c r="AX630" s="56">
        <v>15.78</v>
      </c>
      <c r="AY630" s="62">
        <v>20.680000000000032</v>
      </c>
      <c r="BA630" s="64">
        <v>3.185736166666667</v>
      </c>
      <c r="BB630" s="56">
        <v>17.10000000000003</v>
      </c>
      <c r="BC630" s="56">
        <v>19.639999999999969</v>
      </c>
      <c r="BD630" s="62">
        <v>31.839999999999961</v>
      </c>
      <c r="BF630" s="64">
        <v>2.9493082666666668</v>
      </c>
      <c r="BG630" s="56">
        <v>21.499999999999989</v>
      </c>
      <c r="BH630" s="56">
        <v>28.979999999999961</v>
      </c>
      <c r="BI630" s="62">
        <v>58.980000000000032</v>
      </c>
      <c r="BJ630" s="70"/>
      <c r="BK630" s="51"/>
    </row>
    <row r="631" spans="1:63" x14ac:dyDescent="0.4">
      <c r="A631" s="11" t="s">
        <v>708</v>
      </c>
      <c r="B631" s="4"/>
      <c r="C631" s="4"/>
      <c r="D631" s="4"/>
      <c r="E631" s="12"/>
      <c r="G631" s="147" t="s">
        <v>708</v>
      </c>
      <c r="H631" s="159">
        <v>70.009</v>
      </c>
      <c r="I631" s="153">
        <v>70.37</v>
      </c>
      <c r="J631" s="153">
        <v>70.290000000000006</v>
      </c>
      <c r="K631" s="153">
        <v>70.36</v>
      </c>
      <c r="L631" s="153">
        <v>70.39</v>
      </c>
      <c r="M631" s="80">
        <f t="shared" si="18"/>
        <v>70.39</v>
      </c>
      <c r="N631" s="80">
        <f t="shared" si="19"/>
        <v>70.290000000000006</v>
      </c>
      <c r="O631" s="153">
        <v>21.18</v>
      </c>
      <c r="P631" s="153">
        <v>21.13</v>
      </c>
      <c r="Q631" s="153">
        <v>21.16</v>
      </c>
      <c r="R631" s="153">
        <v>21.11</v>
      </c>
      <c r="S631" s="4"/>
      <c r="U631" s="147" t="s">
        <v>708</v>
      </c>
      <c r="V631" s="11"/>
      <c r="W631" s="4"/>
      <c r="X631" s="12"/>
      <c r="Y631" s="14"/>
      <c r="Z631" s="4"/>
      <c r="AA631" s="13"/>
      <c r="AB631" s="11"/>
      <c r="AC631" s="4"/>
      <c r="AD631" s="12"/>
      <c r="AE631" s="35"/>
      <c r="AF631" s="14">
        <v>5.0315000000000003</v>
      </c>
      <c r="AG631" s="133"/>
      <c r="AI631" s="84"/>
      <c r="AL631" s="64">
        <v>4.1719638000000003</v>
      </c>
      <c r="AM631" s="56">
        <v>14.179999999999991</v>
      </c>
      <c r="AN631" s="56">
        <v>16.060000000000048</v>
      </c>
      <c r="AO631" s="62">
        <v>22.100000000000009</v>
      </c>
      <c r="AQ631" s="64">
        <v>4.0800288</v>
      </c>
      <c r="AR631" s="56">
        <v>13.480000000000031</v>
      </c>
      <c r="AS631" s="56">
        <v>14.86000000000001</v>
      </c>
      <c r="AT631" s="62">
        <v>18.839999999999971</v>
      </c>
      <c r="AV631" s="64">
        <v>3.7265278166666671</v>
      </c>
      <c r="AW631" s="56">
        <v>13.199999999999971</v>
      </c>
      <c r="AX631" s="56">
        <v>14.57999999999995</v>
      </c>
      <c r="AY631" s="62">
        <v>19.21999999999997</v>
      </c>
      <c r="BA631" s="64">
        <v>3.1889285000000012</v>
      </c>
      <c r="BB631" s="56">
        <v>16.479999999999961</v>
      </c>
      <c r="BC631" s="56">
        <v>18.900000000000009</v>
      </c>
      <c r="BD631" s="62">
        <v>30.719999999999992</v>
      </c>
      <c r="BF631" s="64">
        <v>2.9505568499999999</v>
      </c>
      <c r="BG631" s="56">
        <v>20.719999999999938</v>
      </c>
      <c r="BH631" s="56">
        <v>27.95999999999994</v>
      </c>
      <c r="BI631" s="62">
        <v>57.099999999999973</v>
      </c>
      <c r="BJ631" s="70"/>
      <c r="BK631" s="51"/>
    </row>
    <row r="632" spans="1:63" x14ac:dyDescent="0.4">
      <c r="A632" s="11" t="s">
        <v>709</v>
      </c>
      <c r="B632" s="4"/>
      <c r="C632" s="4"/>
      <c r="D632" s="4"/>
      <c r="E632" s="12"/>
      <c r="G632" s="147" t="s">
        <v>709</v>
      </c>
      <c r="H632" s="159">
        <v>70.016999999999996</v>
      </c>
      <c r="I632" s="153">
        <v>70.290000000000006</v>
      </c>
      <c r="J632" s="153">
        <v>70.3</v>
      </c>
      <c r="K632" s="153">
        <v>70.400000000000006</v>
      </c>
      <c r="L632" s="153">
        <v>70.290000000000006</v>
      </c>
      <c r="M632" s="80">
        <f t="shared" si="18"/>
        <v>70.400000000000006</v>
      </c>
      <c r="N632" s="80">
        <f t="shared" si="19"/>
        <v>70.290000000000006</v>
      </c>
      <c r="O632" s="153">
        <v>21.17</v>
      </c>
      <c r="P632" s="153">
        <v>21.03</v>
      </c>
      <c r="Q632" s="153">
        <v>21.11</v>
      </c>
      <c r="R632" s="153">
        <v>21.1</v>
      </c>
      <c r="S632" s="4"/>
      <c r="U632" s="147" t="s">
        <v>709</v>
      </c>
      <c r="V632" s="11"/>
      <c r="W632" s="4"/>
      <c r="X632" s="12"/>
      <c r="Y632" s="14"/>
      <c r="Z632" s="4"/>
      <c r="AA632" s="13"/>
      <c r="AB632" s="11"/>
      <c r="AC632" s="4"/>
      <c r="AD632" s="12"/>
      <c r="AE632" s="13"/>
      <c r="AF632" s="14">
        <v>5.0293999999999999</v>
      </c>
      <c r="AG632" s="133"/>
      <c r="AI632" s="84"/>
      <c r="AL632" s="64">
        <v>4.1718261333333331</v>
      </c>
      <c r="AM632" s="56">
        <v>13.86000000000003</v>
      </c>
      <c r="AN632" s="56">
        <v>15.760000000000041</v>
      </c>
      <c r="AO632" s="62">
        <v>21.8</v>
      </c>
      <c r="AQ632" s="64">
        <v>4.0828092500000004</v>
      </c>
      <c r="AR632" s="56">
        <v>13.57999999999997</v>
      </c>
      <c r="AS632" s="56">
        <v>14.979999999999899</v>
      </c>
      <c r="AT632" s="62">
        <v>18.98</v>
      </c>
      <c r="AV632" s="64">
        <v>3.7291534833333331</v>
      </c>
      <c r="AW632" s="56">
        <v>13.3</v>
      </c>
      <c r="AX632" s="56">
        <v>14.67999999999998</v>
      </c>
      <c r="AY632" s="62">
        <v>19.36</v>
      </c>
      <c r="BA632" s="64">
        <v>3.188719616666666</v>
      </c>
      <c r="BB632" s="56">
        <v>16.319999999999979</v>
      </c>
      <c r="BC632" s="56">
        <v>18.75999999999998</v>
      </c>
      <c r="BD632" s="62">
        <v>30.660000000000039</v>
      </c>
      <c r="BF632" s="64">
        <v>2.9544696666666672</v>
      </c>
      <c r="BG632" s="56">
        <v>20.359999999999982</v>
      </c>
      <c r="BH632" s="56">
        <v>27.58000000000003</v>
      </c>
      <c r="BI632" s="62">
        <v>56.700000000000017</v>
      </c>
      <c r="BJ632" s="70"/>
      <c r="BK632" s="51"/>
    </row>
    <row r="633" spans="1:63" x14ac:dyDescent="0.4">
      <c r="A633" s="11" t="s">
        <v>710</v>
      </c>
      <c r="B633" s="4"/>
      <c r="C633" s="4"/>
      <c r="D633" s="4"/>
      <c r="E633" s="12"/>
      <c r="G633" s="147" t="s">
        <v>710</v>
      </c>
      <c r="H633" s="159">
        <v>70.066000000000003</v>
      </c>
      <c r="I633" s="153">
        <v>70.38</v>
      </c>
      <c r="J633" s="153">
        <v>70.33</v>
      </c>
      <c r="K633" s="153">
        <v>70.3</v>
      </c>
      <c r="L633" s="153">
        <v>70.38</v>
      </c>
      <c r="M633" s="80">
        <f t="shared" si="18"/>
        <v>70.38</v>
      </c>
      <c r="N633" s="80">
        <f t="shared" si="19"/>
        <v>70.3</v>
      </c>
      <c r="O633" s="153">
        <v>21.14</v>
      </c>
      <c r="P633" s="153">
        <v>21.04</v>
      </c>
      <c r="Q633" s="153">
        <v>21.16</v>
      </c>
      <c r="R633" s="153">
        <v>21.1</v>
      </c>
      <c r="S633" s="4"/>
      <c r="U633" s="147" t="s">
        <v>710</v>
      </c>
      <c r="V633" s="11"/>
      <c r="W633" s="4"/>
      <c r="X633" s="12"/>
      <c r="Y633" s="14"/>
      <c r="Z633" s="4"/>
      <c r="AA633" s="13"/>
      <c r="AB633" s="11"/>
      <c r="AC633" s="4"/>
      <c r="AD633" s="12"/>
      <c r="AE633" s="35"/>
      <c r="AF633" s="14">
        <v>5.0381</v>
      </c>
      <c r="AG633" s="133"/>
      <c r="AI633" s="84"/>
      <c r="AL633" s="64">
        <v>4.1716884666666667</v>
      </c>
      <c r="AM633" s="56">
        <v>13.72</v>
      </c>
      <c r="AN633" s="56">
        <v>15.63999999999997</v>
      </c>
      <c r="AO633" s="62">
        <v>21.699999999999871</v>
      </c>
      <c r="AQ633" s="64">
        <v>4.0831180000000007</v>
      </c>
      <c r="AR633" s="56">
        <v>13.640000000000009</v>
      </c>
      <c r="AS633" s="56">
        <v>15.039999999999941</v>
      </c>
      <c r="AT633" s="62">
        <v>19.079999999999941</v>
      </c>
      <c r="AV633" s="64">
        <v>3.7298141999999999</v>
      </c>
      <c r="AW633" s="56">
        <v>13.36000000000004</v>
      </c>
      <c r="AX633" s="56">
        <v>14.780000000000021</v>
      </c>
      <c r="AY633" s="62">
        <v>19.460000000000029</v>
      </c>
      <c r="BA633" s="64">
        <v>3.1887195333333329</v>
      </c>
      <c r="BB633" s="56">
        <v>16.699999999999982</v>
      </c>
      <c r="BC633" s="56">
        <v>19.179999999999971</v>
      </c>
      <c r="BD633" s="62">
        <v>31.24000000000002</v>
      </c>
      <c r="BF633" s="64">
        <v>2.9556647333333341</v>
      </c>
      <c r="BG633" s="56">
        <v>20.88000000000001</v>
      </c>
      <c r="BH633" s="56">
        <v>28.120000000000012</v>
      </c>
      <c r="BI633" s="62">
        <v>57.440000000000069</v>
      </c>
      <c r="BJ633" s="70"/>
      <c r="BK633" s="51"/>
    </row>
    <row r="634" spans="1:63" x14ac:dyDescent="0.4">
      <c r="A634" s="11" t="s">
        <v>711</v>
      </c>
      <c r="B634" s="4"/>
      <c r="C634" s="4"/>
      <c r="D634" s="4"/>
      <c r="E634" s="12"/>
      <c r="G634" s="147" t="s">
        <v>711</v>
      </c>
      <c r="H634" s="159">
        <v>70.022000000000006</v>
      </c>
      <c r="I634" s="153">
        <v>70.33</v>
      </c>
      <c r="J634" s="153">
        <v>70.34</v>
      </c>
      <c r="K634" s="153">
        <v>70.319999999999993</v>
      </c>
      <c r="L634" s="153">
        <v>70.349999999999994</v>
      </c>
      <c r="M634" s="80">
        <f t="shared" si="18"/>
        <v>70.349999999999994</v>
      </c>
      <c r="N634" s="80">
        <f t="shared" si="19"/>
        <v>70.319999999999993</v>
      </c>
      <c r="O634" s="153">
        <v>21.09</v>
      </c>
      <c r="P634" s="153">
        <v>21.02</v>
      </c>
      <c r="Q634" s="153">
        <v>21.15</v>
      </c>
      <c r="R634" s="153">
        <v>21.05</v>
      </c>
      <c r="S634" s="4"/>
      <c r="U634" s="147" t="s">
        <v>711</v>
      </c>
      <c r="V634" s="11"/>
      <c r="W634" s="4"/>
      <c r="X634" s="12"/>
      <c r="Y634" s="14"/>
      <c r="Z634" s="4"/>
      <c r="AA634" s="13"/>
      <c r="AB634" s="11"/>
      <c r="AC634" s="4"/>
      <c r="AD634" s="12"/>
      <c r="AE634" s="13"/>
      <c r="AF634" s="14">
        <v>5.0286</v>
      </c>
      <c r="AG634" s="133"/>
      <c r="AI634" s="84"/>
      <c r="AL634" s="64">
        <v>4.1718928833333333</v>
      </c>
      <c r="AM634" s="56">
        <v>13.879999999999979</v>
      </c>
      <c r="AN634" s="56">
        <v>15.78</v>
      </c>
      <c r="AO634" s="62">
        <v>21.819999999999951</v>
      </c>
      <c r="AQ634" s="64">
        <v>4.0820135500000001</v>
      </c>
      <c r="AR634" s="56">
        <v>13.51999999999993</v>
      </c>
      <c r="AS634" s="56">
        <v>14.920000000000041</v>
      </c>
      <c r="AT634" s="62">
        <v>18.900000000000009</v>
      </c>
      <c r="AV634" s="64">
        <v>3.7283550499999989</v>
      </c>
      <c r="AW634" s="56">
        <v>13.22000000000001</v>
      </c>
      <c r="AX634" s="56">
        <v>14.599999999999991</v>
      </c>
      <c r="AY634" s="62">
        <v>19.260000000000051</v>
      </c>
      <c r="BA634" s="64">
        <v>3.1887444666666669</v>
      </c>
      <c r="BB634" s="56">
        <v>16.460000000000012</v>
      </c>
      <c r="BC634" s="56">
        <v>18.86000000000001</v>
      </c>
      <c r="BD634" s="62">
        <v>30.820000000000029</v>
      </c>
      <c r="BF634" s="64">
        <v>2.9559934499999989</v>
      </c>
      <c r="BG634" s="56">
        <v>20.500000000000011</v>
      </c>
      <c r="BH634" s="56">
        <v>27.82</v>
      </c>
      <c r="BI634" s="62">
        <v>57.059999999999981</v>
      </c>
      <c r="BJ634" s="70"/>
      <c r="BK634" s="51"/>
    </row>
    <row r="635" spans="1:63" x14ac:dyDescent="0.4">
      <c r="A635" s="11" t="s">
        <v>712</v>
      </c>
      <c r="B635" s="4"/>
      <c r="C635" s="4"/>
      <c r="D635" s="4"/>
      <c r="E635" s="12"/>
      <c r="G635" s="147" t="s">
        <v>712</v>
      </c>
      <c r="H635" s="159">
        <v>70.004999999999995</v>
      </c>
      <c r="I635" s="153">
        <v>70.290000000000006</v>
      </c>
      <c r="J635" s="153">
        <v>70.319999999999993</v>
      </c>
      <c r="K635" s="153">
        <v>70.400000000000006</v>
      </c>
      <c r="L635" s="153">
        <v>70.3</v>
      </c>
      <c r="M635" s="80">
        <f t="shared" si="18"/>
        <v>70.400000000000006</v>
      </c>
      <c r="N635" s="80">
        <f t="shared" si="19"/>
        <v>70.290000000000006</v>
      </c>
      <c r="O635" s="153">
        <v>21.18</v>
      </c>
      <c r="P635" s="153">
        <v>21.08</v>
      </c>
      <c r="Q635" s="153">
        <v>21.1</v>
      </c>
      <c r="R635" s="153">
        <v>21</v>
      </c>
      <c r="S635" s="4"/>
      <c r="U635" s="147" t="s">
        <v>712</v>
      </c>
      <c r="V635" s="11"/>
      <c r="W635" s="4"/>
      <c r="X635" s="12"/>
      <c r="Y635" s="14"/>
      <c r="Z635" s="4"/>
      <c r="AA635" s="13"/>
      <c r="AB635" s="11"/>
      <c r="AC635" s="4"/>
      <c r="AD635" s="12"/>
      <c r="AE635" s="13"/>
      <c r="AF635" s="14">
        <v>5.0198999999999998</v>
      </c>
      <c r="AG635" s="133"/>
      <c r="AI635" s="84"/>
      <c r="AL635" s="64">
        <v>4.1716707</v>
      </c>
      <c r="AM635" s="56">
        <v>14.25999999999998</v>
      </c>
      <c r="AN635" s="56">
        <v>16.17999999999995</v>
      </c>
      <c r="AO635" s="62">
        <v>22.299999999999901</v>
      </c>
      <c r="AQ635" s="64">
        <v>4.0819143666666662</v>
      </c>
      <c r="AR635" s="56">
        <v>13.72</v>
      </c>
      <c r="AS635" s="56">
        <v>15.11999999999993</v>
      </c>
      <c r="AT635" s="62">
        <v>19.139999999999979</v>
      </c>
      <c r="AV635" s="64">
        <v>3.729333716666666</v>
      </c>
      <c r="AW635" s="56">
        <v>13.320000000000039</v>
      </c>
      <c r="AX635" s="56">
        <v>14.67999999999998</v>
      </c>
      <c r="AY635" s="62">
        <v>19.34000000000005</v>
      </c>
      <c r="BA635" s="64">
        <v>3.1883645</v>
      </c>
      <c r="BB635" s="56">
        <v>16.400000000000059</v>
      </c>
      <c r="BC635" s="56">
        <v>18.84000000000006</v>
      </c>
      <c r="BD635" s="62">
        <v>30.839999999999979</v>
      </c>
      <c r="BF635" s="64">
        <v>2.9616381000000001</v>
      </c>
      <c r="BG635" s="56">
        <v>20.58</v>
      </c>
      <c r="BH635" s="56">
        <v>28.24</v>
      </c>
      <c r="BI635" s="62">
        <v>58.260000000000019</v>
      </c>
      <c r="BJ635" s="70"/>
      <c r="BK635" s="51"/>
    </row>
    <row r="636" spans="1:63" x14ac:dyDescent="0.4">
      <c r="A636" s="11" t="s">
        <v>713</v>
      </c>
      <c r="B636" s="4"/>
      <c r="C636" s="4"/>
      <c r="D636" s="4"/>
      <c r="E636" s="12"/>
      <c r="G636" s="147" t="s">
        <v>713</v>
      </c>
      <c r="H636" s="159">
        <v>69.942999999999998</v>
      </c>
      <c r="I636" s="153">
        <v>70.36</v>
      </c>
      <c r="J636" s="153">
        <v>70.31</v>
      </c>
      <c r="K636" s="153">
        <v>70.37</v>
      </c>
      <c r="L636" s="153">
        <v>70.290000000000006</v>
      </c>
      <c r="M636" s="80">
        <f t="shared" si="18"/>
        <v>70.37</v>
      </c>
      <c r="N636" s="80">
        <f t="shared" si="19"/>
        <v>70.290000000000006</v>
      </c>
      <c r="O636" s="153">
        <v>21.16</v>
      </c>
      <c r="P636" s="153">
        <v>21.08</v>
      </c>
      <c r="Q636" s="153">
        <v>21.12</v>
      </c>
      <c r="R636" s="153">
        <v>21.08</v>
      </c>
      <c r="S636" s="4"/>
      <c r="U636" s="147" t="s">
        <v>713</v>
      </c>
      <c r="V636" s="11"/>
      <c r="W636" s="4"/>
      <c r="X636" s="12"/>
      <c r="Y636" s="14"/>
      <c r="Z636" s="4"/>
      <c r="AA636" s="13"/>
      <c r="AB636" s="11"/>
      <c r="AC636" s="4"/>
      <c r="AD636" s="12"/>
      <c r="AE636" s="13"/>
      <c r="AF636" s="14">
        <v>5.0011000000000001</v>
      </c>
      <c r="AG636" s="133"/>
      <c r="AI636" s="84"/>
      <c r="AL636" s="64">
        <v>4.1712872666666669</v>
      </c>
      <c r="AM636" s="56">
        <v>15.059999999999899</v>
      </c>
      <c r="AN636" s="56">
        <v>17.099999999999941</v>
      </c>
      <c r="AO636" s="62">
        <v>23.379999999999871</v>
      </c>
      <c r="AQ636" s="64">
        <v>4.0829076333333347</v>
      </c>
      <c r="AR636" s="56">
        <v>14.86000000000001</v>
      </c>
      <c r="AS636" s="56">
        <v>16.38000000000002</v>
      </c>
      <c r="AT636" s="62">
        <v>20.620000000000079</v>
      </c>
      <c r="AV636" s="64">
        <v>3.7296499999999999</v>
      </c>
      <c r="AW636" s="56">
        <v>14.35999999999993</v>
      </c>
      <c r="AX636" s="56">
        <v>15.859999999999991</v>
      </c>
      <c r="AY636" s="62">
        <v>20.77999999999998</v>
      </c>
      <c r="BA636" s="64">
        <v>3.1872937333333331</v>
      </c>
      <c r="BB636" s="56">
        <v>17.32000000000005</v>
      </c>
      <c r="BC636" s="56">
        <v>19.880000000000031</v>
      </c>
      <c r="BD636" s="62">
        <v>32.160000000000011</v>
      </c>
      <c r="BF636" s="64">
        <v>2.9562336999999999</v>
      </c>
      <c r="BG636" s="56">
        <v>21.579999999999981</v>
      </c>
      <c r="BH636" s="56">
        <v>29.099999999999952</v>
      </c>
      <c r="BI636" s="62">
        <v>58.819999999999958</v>
      </c>
      <c r="BJ636" s="70"/>
      <c r="BK636" s="51"/>
    </row>
    <row r="637" spans="1:63" x14ac:dyDescent="0.4">
      <c r="A637" s="11" t="s">
        <v>714</v>
      </c>
      <c r="B637" s="4"/>
      <c r="C637" s="4"/>
      <c r="D637" s="4"/>
      <c r="E637" s="12"/>
      <c r="G637" s="147" t="s">
        <v>714</v>
      </c>
      <c r="H637" s="159">
        <v>69.977999999999994</v>
      </c>
      <c r="I637" s="153">
        <v>70.400000000000006</v>
      </c>
      <c r="J637" s="153">
        <v>70.33</v>
      </c>
      <c r="K637" s="153">
        <v>70.3</v>
      </c>
      <c r="L637" s="153">
        <v>70.28</v>
      </c>
      <c r="M637" s="80">
        <f t="shared" si="18"/>
        <v>70.400000000000006</v>
      </c>
      <c r="N637" s="80">
        <f t="shared" si="19"/>
        <v>70.28</v>
      </c>
      <c r="O637" s="153">
        <v>21.16</v>
      </c>
      <c r="P637" s="153">
        <v>21.1</v>
      </c>
      <c r="Q637" s="153">
        <v>21.11</v>
      </c>
      <c r="R637" s="153">
        <v>21.06</v>
      </c>
      <c r="S637" s="4"/>
      <c r="U637" s="147" t="s">
        <v>714</v>
      </c>
      <c r="V637" s="11"/>
      <c r="W637" s="4"/>
      <c r="X637" s="12"/>
      <c r="Y637" s="14"/>
      <c r="Z637" s="4"/>
      <c r="AA637" s="13"/>
      <c r="AB637" s="11"/>
      <c r="AC637" s="4"/>
      <c r="AD637" s="12"/>
      <c r="AE637" s="13"/>
      <c r="AF637" s="14">
        <v>5.0057</v>
      </c>
      <c r="AG637" s="133"/>
      <c r="AI637" s="84"/>
      <c r="AL637" s="64">
        <v>4.1712112333333344</v>
      </c>
      <c r="AM637" s="56">
        <v>15.38000000000004</v>
      </c>
      <c r="AN637" s="56">
        <v>17.44000000000003</v>
      </c>
      <c r="AO637" s="62">
        <v>23.71999999999996</v>
      </c>
      <c r="AQ637" s="64">
        <v>4.0808299333333329</v>
      </c>
      <c r="AR637" s="56">
        <v>14.719999999999979</v>
      </c>
      <c r="AS637" s="56">
        <v>16.239999999999991</v>
      </c>
      <c r="AT637" s="62">
        <v>20.479999999999961</v>
      </c>
      <c r="AV637" s="64">
        <v>3.726486233333334</v>
      </c>
      <c r="AW637" s="56">
        <v>14.23999999999994</v>
      </c>
      <c r="AX637" s="56">
        <v>15.74</v>
      </c>
      <c r="AY637" s="62">
        <v>20.679999999999939</v>
      </c>
      <c r="BA637" s="64">
        <v>3.17999235</v>
      </c>
      <c r="BB637" s="56">
        <v>17.439999999999941</v>
      </c>
      <c r="BC637" s="56">
        <v>20.019999999999971</v>
      </c>
      <c r="BD637" s="62">
        <v>32.540000000000013</v>
      </c>
      <c r="BF637" s="64">
        <v>2.9559121500000001</v>
      </c>
      <c r="BG637" s="56">
        <v>21.700000000000049</v>
      </c>
      <c r="BH637" s="56">
        <v>29.260000000000019</v>
      </c>
      <c r="BI637" s="62">
        <v>58.959999999999987</v>
      </c>
      <c r="BJ637" s="70"/>
      <c r="BK637" s="51"/>
    </row>
    <row r="638" spans="1:63" x14ac:dyDescent="0.4">
      <c r="A638" s="11" t="s">
        <v>715</v>
      </c>
      <c r="B638" s="4"/>
      <c r="C638" s="4"/>
      <c r="D638" s="4"/>
      <c r="E638" s="12"/>
      <c r="G638" s="147" t="s">
        <v>715</v>
      </c>
      <c r="H638" s="159">
        <v>70.015000000000001</v>
      </c>
      <c r="I638" s="153">
        <v>70.290000000000006</v>
      </c>
      <c r="J638" s="153">
        <v>70.34</v>
      </c>
      <c r="K638" s="153">
        <v>70.31</v>
      </c>
      <c r="L638" s="153">
        <v>70.38</v>
      </c>
      <c r="M638" s="80">
        <f t="shared" si="18"/>
        <v>70.38</v>
      </c>
      <c r="N638" s="80">
        <f t="shared" si="19"/>
        <v>70.290000000000006</v>
      </c>
      <c r="O638" s="153">
        <v>21.2</v>
      </c>
      <c r="P638" s="153">
        <v>21.13</v>
      </c>
      <c r="Q638" s="153">
        <v>21.13</v>
      </c>
      <c r="R638" s="153">
        <v>21.02</v>
      </c>
      <c r="S638" s="4"/>
      <c r="U638" s="147" t="s">
        <v>715</v>
      </c>
      <c r="V638" s="11"/>
      <c r="W638" s="4"/>
      <c r="X638" s="12"/>
      <c r="Y638" s="14"/>
      <c r="Z638" s="4"/>
      <c r="AA638" s="13"/>
      <c r="AB638" s="11"/>
      <c r="AC638" s="4"/>
      <c r="AD638" s="12"/>
      <c r="AE638" s="13"/>
      <c r="AF638" s="14">
        <v>5.0075000000000003</v>
      </c>
      <c r="AG638" s="133"/>
      <c r="AI638" s="84"/>
      <c r="AL638" s="64">
        <v>4.171129783333333</v>
      </c>
      <c r="AM638" s="56">
        <v>15.32</v>
      </c>
      <c r="AN638" s="56">
        <v>17.340000000000089</v>
      </c>
      <c r="AO638" s="62">
        <v>23.6600000000001</v>
      </c>
      <c r="AQ638" s="64">
        <v>4.0807696333333334</v>
      </c>
      <c r="AR638" s="56">
        <v>14.81999999999992</v>
      </c>
      <c r="AS638" s="56">
        <v>16.340000000000021</v>
      </c>
      <c r="AT638" s="62">
        <v>20.61999999999999</v>
      </c>
      <c r="AV638" s="64">
        <v>3.726848116666666</v>
      </c>
      <c r="AW638" s="56">
        <v>14.34000000000006</v>
      </c>
      <c r="AX638" s="56">
        <v>15.81999999999999</v>
      </c>
      <c r="AY638" s="62">
        <v>20.760000000000019</v>
      </c>
      <c r="BA638" s="64">
        <v>3.1815762666666658</v>
      </c>
      <c r="BB638" s="56">
        <v>17.260000000000009</v>
      </c>
      <c r="BC638" s="56">
        <v>19.81999999999999</v>
      </c>
      <c r="BD638" s="62">
        <v>32.160000000000011</v>
      </c>
      <c r="BF638" s="64">
        <v>2.9508579833333339</v>
      </c>
      <c r="BG638" s="56">
        <v>21.400000000000041</v>
      </c>
      <c r="BH638" s="56">
        <v>29.140000000000029</v>
      </c>
      <c r="BI638" s="62">
        <v>59.140000000000008</v>
      </c>
      <c r="BJ638" s="70"/>
      <c r="BK638" s="51"/>
    </row>
    <row r="639" spans="1:63" x14ac:dyDescent="0.4">
      <c r="A639" s="11" t="s">
        <v>716</v>
      </c>
      <c r="B639" s="4"/>
      <c r="C639" s="4"/>
      <c r="D639" s="4"/>
      <c r="E639" s="12"/>
      <c r="G639" s="147" t="s">
        <v>716</v>
      </c>
      <c r="H639" s="159">
        <v>70.049000000000007</v>
      </c>
      <c r="I639" s="153">
        <v>70.33</v>
      </c>
      <c r="J639" s="153">
        <v>70.3</v>
      </c>
      <c r="K639" s="153">
        <v>70.349999999999994</v>
      </c>
      <c r="L639" s="153">
        <v>70.36</v>
      </c>
      <c r="M639" s="80">
        <f t="shared" si="18"/>
        <v>70.36</v>
      </c>
      <c r="N639" s="80">
        <f t="shared" si="19"/>
        <v>70.3</v>
      </c>
      <c r="O639" s="153">
        <v>21.16</v>
      </c>
      <c r="P639" s="153">
        <v>21.16</v>
      </c>
      <c r="Q639" s="153">
        <v>21.14</v>
      </c>
      <c r="R639" s="153">
        <v>21.07</v>
      </c>
      <c r="S639" s="4"/>
      <c r="U639" s="147" t="s">
        <v>716</v>
      </c>
      <c r="V639" s="11"/>
      <c r="W639" s="4"/>
      <c r="X639" s="12"/>
      <c r="Y639" s="14"/>
      <c r="Z639" s="4"/>
      <c r="AA639" s="13"/>
      <c r="AB639" s="11"/>
      <c r="AC639" s="4"/>
      <c r="AD639" s="12"/>
      <c r="AE639" s="13"/>
      <c r="AF639" s="14">
        <v>5.0087000000000002</v>
      </c>
      <c r="AG639" s="133"/>
      <c r="AI639" s="84"/>
      <c r="AL639" s="64">
        <v>4.1714565166666668</v>
      </c>
      <c r="AM639" s="56">
        <v>15.32</v>
      </c>
      <c r="AN639" s="56">
        <v>17.38</v>
      </c>
      <c r="AO639" s="62">
        <v>23.6600000000001</v>
      </c>
      <c r="AQ639" s="64">
        <v>4.0814823166666656</v>
      </c>
      <c r="AR639" s="56">
        <v>14.799999999999971</v>
      </c>
      <c r="AS639" s="56">
        <v>16.320000000000071</v>
      </c>
      <c r="AT639" s="62">
        <v>20.600000000000041</v>
      </c>
      <c r="AV639" s="64">
        <v>3.7280111666666671</v>
      </c>
      <c r="AW639" s="56">
        <v>14.32000000000002</v>
      </c>
      <c r="AX639" s="56">
        <v>15.81999999999999</v>
      </c>
      <c r="AY639" s="62">
        <v>20.760000000000019</v>
      </c>
      <c r="BA639" s="64">
        <v>3.1837485999999999</v>
      </c>
      <c r="BB639" s="56">
        <v>17.160000000000061</v>
      </c>
      <c r="BC639" s="56">
        <v>19.720000000000049</v>
      </c>
      <c r="BD639" s="62">
        <v>32.000000000000028</v>
      </c>
      <c r="BF639" s="64">
        <v>2.9505377833333331</v>
      </c>
      <c r="BG639" s="56">
        <v>21.300000000000011</v>
      </c>
      <c r="BH639" s="56">
        <v>28.960000000000012</v>
      </c>
      <c r="BI639" s="62">
        <v>58.719999999999928</v>
      </c>
      <c r="BJ639" s="69"/>
      <c r="BK639" s="51"/>
    </row>
    <row r="640" spans="1:63" x14ac:dyDescent="0.4">
      <c r="A640" s="11" t="s">
        <v>717</v>
      </c>
      <c r="B640" s="4"/>
      <c r="C640" s="4"/>
      <c r="D640" s="4"/>
      <c r="E640" s="12"/>
      <c r="G640" s="147" t="s">
        <v>717</v>
      </c>
      <c r="H640" s="159">
        <v>70.08</v>
      </c>
      <c r="I640" s="153">
        <v>70.290000000000006</v>
      </c>
      <c r="J640" s="153">
        <v>70.290000000000006</v>
      </c>
      <c r="K640" s="153">
        <v>70.27</v>
      </c>
      <c r="L640" s="153">
        <v>70.37</v>
      </c>
      <c r="M640" s="80">
        <f t="shared" si="18"/>
        <v>70.37</v>
      </c>
      <c r="N640" s="80">
        <f t="shared" si="19"/>
        <v>70.27</v>
      </c>
      <c r="O640" s="153">
        <v>21.2</v>
      </c>
      <c r="P640" s="153">
        <v>21.13</v>
      </c>
      <c r="Q640" s="153">
        <v>21.17</v>
      </c>
      <c r="R640" s="153">
        <v>21.13</v>
      </c>
      <c r="S640" s="4"/>
      <c r="U640" s="147" t="s">
        <v>717</v>
      </c>
      <c r="V640" s="11"/>
      <c r="W640" s="4"/>
      <c r="X640" s="12"/>
      <c r="Y640" s="14"/>
      <c r="Z640" s="4"/>
      <c r="AA640" s="13"/>
      <c r="AB640" s="11"/>
      <c r="AC640" s="4"/>
      <c r="AD640" s="12"/>
      <c r="AE640" s="35"/>
      <c r="AF640" s="14">
        <v>5.0265000000000004</v>
      </c>
      <c r="AG640" s="134"/>
      <c r="AI640" s="84"/>
      <c r="AL640" s="64">
        <v>4.1714761166666658</v>
      </c>
      <c r="AM640" s="56">
        <v>14.84000000000005</v>
      </c>
      <c r="AN640" s="56">
        <v>16.840000000000011</v>
      </c>
      <c r="AO640" s="62">
        <v>23.119999999999941</v>
      </c>
      <c r="AQ640" s="64">
        <v>4.0819881166666656</v>
      </c>
      <c r="AR640" s="56">
        <v>14.65999999999994</v>
      </c>
      <c r="AS640" s="56">
        <v>16.16</v>
      </c>
      <c r="AT640" s="62">
        <v>20.39999999999997</v>
      </c>
      <c r="AV640" s="64">
        <v>3.7280798000000002</v>
      </c>
      <c r="AW640" s="56">
        <v>14.260000000000071</v>
      </c>
      <c r="AX640" s="56">
        <v>15.760000000000041</v>
      </c>
      <c r="AY640" s="62">
        <v>20.680000000000032</v>
      </c>
      <c r="BA640" s="64">
        <v>3.1834900666666668</v>
      </c>
      <c r="BB640" s="56">
        <v>17.10000000000003</v>
      </c>
      <c r="BC640" s="56">
        <v>19.680000000000049</v>
      </c>
      <c r="BD640" s="62">
        <v>32.000000000000028</v>
      </c>
      <c r="BF640" s="64">
        <v>2.952234633333334</v>
      </c>
      <c r="BG640" s="56">
        <v>21.279999999999969</v>
      </c>
      <c r="BH640" s="56">
        <v>28.939999999999969</v>
      </c>
      <c r="BI640" s="62">
        <v>58.659999999999982</v>
      </c>
      <c r="BJ640" s="69"/>
      <c r="BK640" s="51"/>
    </row>
    <row r="641" spans="1:63" x14ac:dyDescent="0.4">
      <c r="A641" s="11" t="s">
        <v>718</v>
      </c>
      <c r="B641" s="4"/>
      <c r="C641" s="4"/>
      <c r="D641" s="4"/>
      <c r="E641" s="12"/>
      <c r="G641" s="147" t="s">
        <v>718</v>
      </c>
      <c r="H641" s="159">
        <v>70.057000000000002</v>
      </c>
      <c r="I641" s="153">
        <v>70.36</v>
      </c>
      <c r="J641" s="153">
        <v>70.33</v>
      </c>
      <c r="K641" s="153">
        <v>70.38</v>
      </c>
      <c r="L641" s="153">
        <v>70.37</v>
      </c>
      <c r="M641" s="80">
        <f t="shared" si="18"/>
        <v>70.38</v>
      </c>
      <c r="N641" s="80">
        <f t="shared" si="19"/>
        <v>70.33</v>
      </c>
      <c r="O641" s="153">
        <v>21.17</v>
      </c>
      <c r="P641" s="153">
        <v>21</v>
      </c>
      <c r="Q641" s="153">
        <v>21.14</v>
      </c>
      <c r="R641" s="153">
        <v>21.05</v>
      </c>
      <c r="S641" s="4"/>
      <c r="U641" s="147" t="s">
        <v>718</v>
      </c>
      <c r="V641" s="11"/>
      <c r="W641" s="4"/>
      <c r="X641" s="12"/>
      <c r="Y641" s="14"/>
      <c r="Z641" s="4"/>
      <c r="AA641" s="13"/>
      <c r="AB641" s="11"/>
      <c r="AC641" s="4"/>
      <c r="AD641" s="12"/>
      <c r="AE641" s="35"/>
      <c r="AF641" s="14">
        <v>5.0340999999999996</v>
      </c>
      <c r="AG641" s="133"/>
      <c r="AI641" s="84"/>
      <c r="AL641" s="64">
        <v>4.1717006333333329</v>
      </c>
      <c r="AM641" s="56">
        <v>13.999999999999879</v>
      </c>
      <c r="AN641" s="56">
        <v>15.87999999999994</v>
      </c>
      <c r="AO641" s="62">
        <v>21.95999999999998</v>
      </c>
      <c r="AQ641" s="64">
        <v>4.081597433333334</v>
      </c>
      <c r="AR641" s="56">
        <v>13.57999999999997</v>
      </c>
      <c r="AS641" s="56">
        <v>14.94</v>
      </c>
      <c r="AT641" s="62">
        <v>18.940000000000001</v>
      </c>
      <c r="AV641" s="64">
        <v>3.7281780333333341</v>
      </c>
      <c r="AW641" s="56">
        <v>13.22000000000001</v>
      </c>
      <c r="AX641" s="56">
        <v>14.599999999999991</v>
      </c>
      <c r="AY641" s="62">
        <v>19.25999999999997</v>
      </c>
      <c r="BA641" s="64">
        <v>3.1882636500000001</v>
      </c>
      <c r="BB641" s="56">
        <v>16.05999999999996</v>
      </c>
      <c r="BC641" s="56">
        <v>18.499999999999961</v>
      </c>
      <c r="BD641" s="62">
        <v>30.379999999999981</v>
      </c>
      <c r="BF641" s="64">
        <v>2.9571776833333332</v>
      </c>
      <c r="BG641" s="56">
        <v>20.14000000000005</v>
      </c>
      <c r="BH641" s="56">
        <v>27.260000000000058</v>
      </c>
      <c r="BI641" s="62">
        <v>56.080000000000041</v>
      </c>
      <c r="BJ641" s="70"/>
      <c r="BK641" s="51"/>
    </row>
    <row r="642" spans="1:63" x14ac:dyDescent="0.4">
      <c r="A642" s="11" t="s">
        <v>719</v>
      </c>
      <c r="B642" s="4"/>
      <c r="C642" s="4"/>
      <c r="D642" s="4"/>
      <c r="E642" s="12"/>
      <c r="G642" s="147" t="s">
        <v>719</v>
      </c>
      <c r="H642" s="159">
        <v>70.379000000000005</v>
      </c>
      <c r="I642" s="153">
        <v>70.349999999999994</v>
      </c>
      <c r="J642" s="153">
        <v>70.38</v>
      </c>
      <c r="K642" s="153">
        <v>70.3</v>
      </c>
      <c r="L642" s="153">
        <v>70.28</v>
      </c>
      <c r="M642" s="80">
        <f t="shared" si="18"/>
        <v>70.38</v>
      </c>
      <c r="N642" s="80">
        <f t="shared" si="19"/>
        <v>70.28</v>
      </c>
      <c r="O642" s="153">
        <v>21.17</v>
      </c>
      <c r="P642" s="153">
        <v>21.14</v>
      </c>
      <c r="Q642" s="153">
        <v>21.12</v>
      </c>
      <c r="R642" s="153">
        <v>21.06</v>
      </c>
      <c r="S642" s="4"/>
      <c r="U642" s="147" t="s">
        <v>719</v>
      </c>
      <c r="V642" s="11"/>
      <c r="W642" s="4"/>
      <c r="X642" s="12"/>
      <c r="Y642" s="14"/>
      <c r="Z642" s="4"/>
      <c r="AA642" s="13"/>
      <c r="AB642" s="11"/>
      <c r="AC642" s="4"/>
      <c r="AD642" s="12"/>
      <c r="AE642" s="13"/>
      <c r="AF642" s="14">
        <v>5.0808</v>
      </c>
      <c r="AG642" s="133"/>
      <c r="AI642" s="84"/>
      <c r="AL642" s="64">
        <v>4.1717789999999999</v>
      </c>
      <c r="AM642" s="56">
        <v>14.03999999999996</v>
      </c>
      <c r="AN642" s="56">
        <v>15.939999999999969</v>
      </c>
      <c r="AO642" s="62">
        <v>22.020000000000021</v>
      </c>
      <c r="AQ642" s="64">
        <v>4.0814951333333322</v>
      </c>
      <c r="AR642" s="56">
        <v>13.52000000000011</v>
      </c>
      <c r="AS642" s="56">
        <v>14.920000000000041</v>
      </c>
      <c r="AT642" s="62">
        <v>18.940000000000001</v>
      </c>
      <c r="AV642" s="64">
        <v>3.7282258499999998</v>
      </c>
      <c r="AW642" s="56">
        <v>13.18000000000001</v>
      </c>
      <c r="AX642" s="56">
        <v>14.57999999999995</v>
      </c>
      <c r="AY642" s="62">
        <v>19.25999999999997</v>
      </c>
      <c r="BA642" s="64">
        <v>3.1889639166666659</v>
      </c>
      <c r="BB642" s="56">
        <v>16.26000000000003</v>
      </c>
      <c r="BC642" s="56">
        <v>18.719999999999981</v>
      </c>
      <c r="BD642" s="62">
        <v>30.579999999999959</v>
      </c>
      <c r="BF642" s="64">
        <v>2.955375483333333</v>
      </c>
      <c r="BG642" s="56">
        <v>20.300000000000029</v>
      </c>
      <c r="BH642" s="56">
        <v>27.24000000000002</v>
      </c>
      <c r="BI642" s="62">
        <v>55.920000000000059</v>
      </c>
      <c r="BJ642" s="70"/>
      <c r="BK642" s="51"/>
    </row>
    <row r="643" spans="1:63" x14ac:dyDescent="0.4">
      <c r="A643" s="11" t="s">
        <v>720</v>
      </c>
      <c r="B643" s="4"/>
      <c r="C643" s="4"/>
      <c r="D643" s="4"/>
      <c r="E643" s="12"/>
      <c r="G643" s="147" t="s">
        <v>720</v>
      </c>
      <c r="H643" s="159">
        <v>69.944000000000003</v>
      </c>
      <c r="I643" s="153">
        <v>70.31</v>
      </c>
      <c r="J643" s="153">
        <v>70.28</v>
      </c>
      <c r="K643" s="153">
        <v>70.34</v>
      </c>
      <c r="L643" s="153">
        <v>70.39</v>
      </c>
      <c r="M643" s="80">
        <f t="shared" si="18"/>
        <v>70.39</v>
      </c>
      <c r="N643" s="80">
        <f t="shared" si="19"/>
        <v>70.28</v>
      </c>
      <c r="O643" s="153">
        <v>21.15</v>
      </c>
      <c r="P643" s="153">
        <v>21.16</v>
      </c>
      <c r="Q643" s="153">
        <v>21.16</v>
      </c>
      <c r="R643" s="153">
        <v>21.04</v>
      </c>
      <c r="S643" s="4"/>
      <c r="U643" s="147" t="s">
        <v>720</v>
      </c>
      <c r="V643" s="11"/>
      <c r="W643" s="4"/>
      <c r="X643" s="12"/>
      <c r="Y643" s="14"/>
      <c r="Z643" s="4"/>
      <c r="AA643" s="13"/>
      <c r="AB643" s="11"/>
      <c r="AC643" s="4"/>
      <c r="AD643" s="12"/>
      <c r="AE643" s="13"/>
      <c r="AF643" s="14">
        <v>5.0248999999999997</v>
      </c>
      <c r="AG643" s="133"/>
      <c r="AI643" s="84"/>
      <c r="AL643" s="64">
        <v>4.1724259166666666</v>
      </c>
      <c r="AM643" s="56">
        <v>14.24000000000003</v>
      </c>
      <c r="AN643" s="56">
        <v>16.119999999999909</v>
      </c>
      <c r="AO643" s="62">
        <v>22.21999999999991</v>
      </c>
      <c r="AQ643" s="64">
        <v>4.080599033333332</v>
      </c>
      <c r="AR643" s="56">
        <v>13.659999999999959</v>
      </c>
      <c r="AS643" s="56">
        <v>15.019999999999991</v>
      </c>
      <c r="AT643" s="62">
        <v>18.979999999999912</v>
      </c>
      <c r="AV643" s="64">
        <v>3.7290911000000002</v>
      </c>
      <c r="AW643" s="56">
        <v>13.280000000000051</v>
      </c>
      <c r="AX643" s="56">
        <v>14.66000000000003</v>
      </c>
      <c r="AY643" s="62">
        <v>19.32</v>
      </c>
      <c r="BA643" s="64">
        <v>3.2026848833333328</v>
      </c>
      <c r="BB643" s="56">
        <v>15.899999999999981</v>
      </c>
      <c r="BC643" s="56">
        <v>18.14</v>
      </c>
      <c r="BD643" s="62">
        <v>29.22000000000002</v>
      </c>
      <c r="BF643" s="64">
        <v>2.9511404833333339</v>
      </c>
      <c r="BG643" s="56">
        <v>20.080000000000009</v>
      </c>
      <c r="BH643" s="56">
        <v>26.940000000000008</v>
      </c>
      <c r="BI643" s="62">
        <v>55.339999999999989</v>
      </c>
      <c r="BJ643" s="70"/>
      <c r="BK643" s="51"/>
    </row>
    <row r="644" spans="1:63" x14ac:dyDescent="0.4">
      <c r="A644" s="11" t="s">
        <v>721</v>
      </c>
      <c r="B644" s="4"/>
      <c r="C644" s="4"/>
      <c r="D644" s="4"/>
      <c r="E644" s="12"/>
      <c r="G644" s="147" t="s">
        <v>721</v>
      </c>
      <c r="H644" s="159">
        <v>70.024000000000001</v>
      </c>
      <c r="I644" s="153">
        <v>70.28</v>
      </c>
      <c r="J644" s="153">
        <v>70.290000000000006</v>
      </c>
      <c r="K644" s="153">
        <v>70.33</v>
      </c>
      <c r="L644" s="153">
        <v>70.39</v>
      </c>
      <c r="M644" s="80">
        <f t="shared" si="18"/>
        <v>70.39</v>
      </c>
      <c r="N644" s="80">
        <f t="shared" si="19"/>
        <v>70.28</v>
      </c>
      <c r="O644" s="153">
        <v>21.21</v>
      </c>
      <c r="P644" s="153">
        <v>21.02</v>
      </c>
      <c r="Q644" s="153">
        <v>21.15</v>
      </c>
      <c r="R644" s="153">
        <v>21.09</v>
      </c>
      <c r="S644" s="4"/>
      <c r="U644" s="147" t="s">
        <v>721</v>
      </c>
      <c r="V644" s="11"/>
      <c r="W644" s="4"/>
      <c r="X644" s="12"/>
      <c r="Y644" s="14"/>
      <c r="Z644" s="4"/>
      <c r="AA644" s="13"/>
      <c r="AB644" s="11"/>
      <c r="AC644" s="4"/>
      <c r="AD644" s="12"/>
      <c r="AE644" s="35"/>
      <c r="AF644" s="14">
        <v>5.0217000000000001</v>
      </c>
      <c r="AG644" s="133"/>
      <c r="AI644" s="84"/>
      <c r="AL644" s="64">
        <v>4.1717264333333333</v>
      </c>
      <c r="AM644" s="56">
        <v>14.03999999999996</v>
      </c>
      <c r="AN644" s="56">
        <v>15.95999999999993</v>
      </c>
      <c r="AO644" s="62">
        <v>22.039999999999971</v>
      </c>
      <c r="AQ644" s="64">
        <v>4.082910683333334</v>
      </c>
      <c r="AR644" s="56">
        <v>13.72</v>
      </c>
      <c r="AS644" s="56">
        <v>15.140000000000059</v>
      </c>
      <c r="AT644" s="62">
        <v>19.200000000000109</v>
      </c>
      <c r="AV644" s="64">
        <v>3.7291730999999988</v>
      </c>
      <c r="AW644" s="56">
        <v>13.45999999999998</v>
      </c>
      <c r="AX644" s="56">
        <v>14.87999999999996</v>
      </c>
      <c r="AY644" s="62">
        <v>19.579999999999931</v>
      </c>
      <c r="BA644" s="64">
        <v>3.1876288499999998</v>
      </c>
      <c r="BB644" s="56">
        <v>16.54</v>
      </c>
      <c r="BC644" s="56">
        <v>19.019999999999989</v>
      </c>
      <c r="BD644" s="62">
        <v>31.099999999999991</v>
      </c>
      <c r="BF644" s="64">
        <v>2.9584003499999998</v>
      </c>
      <c r="BG644" s="56">
        <v>20.659999999999989</v>
      </c>
      <c r="BH644" s="56">
        <v>27.82</v>
      </c>
      <c r="BI644" s="62">
        <v>56.839999999999961</v>
      </c>
      <c r="BJ644" s="70"/>
      <c r="BK644" s="51"/>
    </row>
    <row r="645" spans="1:63" x14ac:dyDescent="0.4">
      <c r="A645" s="11" t="s">
        <v>722</v>
      </c>
      <c r="B645" s="4"/>
      <c r="C645" s="4"/>
      <c r="D645" s="4"/>
      <c r="E645" s="12"/>
      <c r="G645" s="147" t="s">
        <v>722</v>
      </c>
      <c r="H645" s="159">
        <v>70.057000000000002</v>
      </c>
      <c r="I645" s="153">
        <v>70.31</v>
      </c>
      <c r="J645" s="153">
        <v>70.34</v>
      </c>
      <c r="K645" s="153">
        <v>70.28</v>
      </c>
      <c r="L645" s="153">
        <v>70.290000000000006</v>
      </c>
      <c r="M645" s="80">
        <f t="shared" si="18"/>
        <v>70.34</v>
      </c>
      <c r="N645" s="80">
        <f t="shared" si="19"/>
        <v>70.28</v>
      </c>
      <c r="O645" s="153">
        <v>21.19</v>
      </c>
      <c r="P645" s="153">
        <v>21.13</v>
      </c>
      <c r="Q645" s="153">
        <v>21.11</v>
      </c>
      <c r="R645" s="153">
        <v>21.05</v>
      </c>
      <c r="S645" s="4"/>
      <c r="U645" s="147" t="s">
        <v>722</v>
      </c>
      <c r="V645" s="11"/>
      <c r="W645" s="4"/>
      <c r="X645" s="12"/>
      <c r="Y645" s="14"/>
      <c r="Z645" s="4"/>
      <c r="AA645" s="13"/>
      <c r="AB645" s="11"/>
      <c r="AC645" s="4"/>
      <c r="AD645" s="12"/>
      <c r="AE645" s="13"/>
      <c r="AF645" s="14">
        <v>5.0071000000000003</v>
      </c>
      <c r="AG645" s="133"/>
      <c r="AI645" s="84"/>
      <c r="AL645" s="64">
        <v>4.1716770500000004</v>
      </c>
      <c r="AM645" s="56">
        <v>14.219999999999899</v>
      </c>
      <c r="AN645" s="56">
        <v>16.119999999999909</v>
      </c>
      <c r="AO645" s="62">
        <v>22.259999999999991</v>
      </c>
      <c r="AQ645" s="64">
        <v>4.0820350333333328</v>
      </c>
      <c r="AR645" s="56">
        <v>13.81999999999994</v>
      </c>
      <c r="AS645" s="56">
        <v>15.199999999999919</v>
      </c>
      <c r="AT645" s="62">
        <v>19.23999999999992</v>
      </c>
      <c r="AV645" s="64">
        <v>3.7291101000000011</v>
      </c>
      <c r="AW645" s="56">
        <v>13.400000000000031</v>
      </c>
      <c r="AX645" s="56">
        <v>14.75999999999997</v>
      </c>
      <c r="AY645" s="62">
        <v>19.420000000000041</v>
      </c>
      <c r="BA645" s="64">
        <v>3.1868279166666671</v>
      </c>
      <c r="BB645" s="56">
        <v>16.5</v>
      </c>
      <c r="BC645" s="56">
        <v>18.940000000000001</v>
      </c>
      <c r="BD645" s="62">
        <v>30.940000000000008</v>
      </c>
      <c r="BF645" s="64">
        <v>2.9595696166666672</v>
      </c>
      <c r="BG645" s="56">
        <v>20.780000000000069</v>
      </c>
      <c r="BH645" s="56">
        <v>28.380000000000031</v>
      </c>
      <c r="BI645" s="62">
        <v>58.620000000000083</v>
      </c>
      <c r="BJ645" s="70"/>
      <c r="BK645" s="51"/>
    </row>
    <row r="646" spans="1:63" x14ac:dyDescent="0.4">
      <c r="A646" s="11" t="s">
        <v>723</v>
      </c>
      <c r="B646" s="4"/>
      <c r="C646" s="4"/>
      <c r="D646" s="4"/>
      <c r="E646" s="12"/>
      <c r="G646" s="147" t="s">
        <v>723</v>
      </c>
      <c r="H646" s="159">
        <v>69.924999999999997</v>
      </c>
      <c r="I646" s="153">
        <v>70.400000000000006</v>
      </c>
      <c r="J646" s="153">
        <v>70.400000000000006</v>
      </c>
      <c r="K646" s="153">
        <v>70.27</v>
      </c>
      <c r="L646" s="153">
        <v>70.39</v>
      </c>
      <c r="M646" s="80">
        <f t="shared" ref="M646:M709" si="20">MAX(I646:L646)</f>
        <v>70.400000000000006</v>
      </c>
      <c r="N646" s="80">
        <f t="shared" ref="N646:N709" si="21">MIN(I646:L646)</f>
        <v>70.27</v>
      </c>
      <c r="O646" s="153">
        <v>21.17</v>
      </c>
      <c r="P646" s="153">
        <v>21.13</v>
      </c>
      <c r="Q646" s="153">
        <v>21.16</v>
      </c>
      <c r="R646" s="153">
        <v>21.04</v>
      </c>
      <c r="S646" s="4"/>
      <c r="U646" s="147" t="s">
        <v>723</v>
      </c>
      <c r="V646" s="11"/>
      <c r="W646" s="4"/>
      <c r="X646" s="12"/>
      <c r="Y646" s="14"/>
      <c r="Z646" s="4"/>
      <c r="AA646" s="13"/>
      <c r="AB646" s="11"/>
      <c r="AC646" s="4"/>
      <c r="AD646" s="12"/>
      <c r="AE646" s="35"/>
      <c r="AF646" s="14">
        <v>5.0157999999999996</v>
      </c>
      <c r="AG646" s="133"/>
      <c r="AI646" s="84"/>
      <c r="AL646" s="64">
        <v>4.1717817833333326</v>
      </c>
      <c r="AM646" s="56">
        <v>14.460000000000051</v>
      </c>
      <c r="AN646" s="56">
        <v>16.39999999999997</v>
      </c>
      <c r="AO646" s="62">
        <v>22.460000000000061</v>
      </c>
      <c r="AQ646" s="64">
        <v>4.0824856333333317</v>
      </c>
      <c r="AR646" s="56">
        <v>14.279999999999941</v>
      </c>
      <c r="AS646" s="56">
        <v>15.73999999999991</v>
      </c>
      <c r="AT646" s="62">
        <v>19.97999999999989</v>
      </c>
      <c r="AV646" s="64">
        <v>3.728276633333333</v>
      </c>
      <c r="AW646" s="56">
        <v>13.759999999999989</v>
      </c>
      <c r="AX646" s="56">
        <v>15.20000000000001</v>
      </c>
      <c r="AY646" s="62">
        <v>20.04000000000001</v>
      </c>
      <c r="BA646" s="64">
        <v>3.1835052666666672</v>
      </c>
      <c r="BB646" s="56">
        <v>16.740000000000069</v>
      </c>
      <c r="BC646" s="56">
        <v>19.30000000000005</v>
      </c>
      <c r="BD646" s="62">
        <v>31.56000000000007</v>
      </c>
      <c r="BF646" s="64">
        <v>2.9562658166666669</v>
      </c>
      <c r="BG646" s="56">
        <v>20.77999999999998</v>
      </c>
      <c r="BH646" s="56">
        <v>28.419999999999931</v>
      </c>
      <c r="BI646" s="62">
        <v>57.920000000000023</v>
      </c>
      <c r="BJ646" s="70"/>
      <c r="BK646" s="51"/>
    </row>
    <row r="647" spans="1:63" x14ac:dyDescent="0.4">
      <c r="A647" s="11" t="s">
        <v>724</v>
      </c>
      <c r="B647" s="4"/>
      <c r="C647" s="4"/>
      <c r="D647" s="4"/>
      <c r="E647" s="12"/>
      <c r="G647" s="147" t="s">
        <v>724</v>
      </c>
      <c r="H647" s="159">
        <v>69.941999999999993</v>
      </c>
      <c r="I647" s="153">
        <v>70.349999999999994</v>
      </c>
      <c r="J647" s="153">
        <v>70.38</v>
      </c>
      <c r="K647" s="153">
        <v>70.33</v>
      </c>
      <c r="L647" s="153">
        <v>70.34</v>
      </c>
      <c r="M647" s="80">
        <f t="shared" si="20"/>
        <v>70.38</v>
      </c>
      <c r="N647" s="80">
        <f t="shared" si="21"/>
        <v>70.33</v>
      </c>
      <c r="O647" s="153">
        <v>21.2</v>
      </c>
      <c r="P647" s="153">
        <v>21.05</v>
      </c>
      <c r="Q647" s="153">
        <v>21.16</v>
      </c>
      <c r="R647" s="153">
        <v>21.09</v>
      </c>
      <c r="S647" s="4"/>
      <c r="U647" s="147" t="s">
        <v>724</v>
      </c>
      <c r="V647" s="11"/>
      <c r="W647" s="4"/>
      <c r="X647" s="12"/>
      <c r="Y647" s="14"/>
      <c r="Z647" s="4"/>
      <c r="AA647" s="13"/>
      <c r="AB647" s="11"/>
      <c r="AC647" s="4"/>
      <c r="AD647" s="12"/>
      <c r="AE647" s="13"/>
      <c r="AF647" s="14">
        <v>5.0109000000000004</v>
      </c>
      <c r="AG647" s="133"/>
      <c r="AI647" s="84"/>
      <c r="AL647" s="64">
        <v>4.1716982166666661</v>
      </c>
      <c r="AM647" s="56">
        <v>14.35999999999993</v>
      </c>
      <c r="AN647" s="56">
        <v>16.279999999999891</v>
      </c>
      <c r="AO647" s="62">
        <v>22.499999999999961</v>
      </c>
      <c r="AQ647" s="64">
        <v>4.0811955333333341</v>
      </c>
      <c r="AR647" s="56">
        <v>13.759999999999909</v>
      </c>
      <c r="AS647" s="56">
        <v>15.17999999999997</v>
      </c>
      <c r="AT647" s="62">
        <v>19.21999999999997</v>
      </c>
      <c r="AV647" s="64">
        <v>3.727145933333333</v>
      </c>
      <c r="AW647" s="56">
        <v>13.27999999999996</v>
      </c>
      <c r="AX647" s="56">
        <v>14.699999999999941</v>
      </c>
      <c r="AY647" s="62">
        <v>19.439999999999991</v>
      </c>
      <c r="BA647" s="64">
        <v>3.184959366666666</v>
      </c>
      <c r="BB647" s="56">
        <v>16.220000000000031</v>
      </c>
      <c r="BC647" s="56">
        <v>18.700000000000031</v>
      </c>
      <c r="BD647" s="62">
        <v>30.74000000000003</v>
      </c>
      <c r="BF647" s="64">
        <v>2.9393019333333341</v>
      </c>
      <c r="BG647" s="56">
        <v>20.26000000000003</v>
      </c>
      <c r="BH647" s="56">
        <v>27.4</v>
      </c>
      <c r="BI647" s="62">
        <v>57.440000000000069</v>
      </c>
      <c r="BJ647" s="70"/>
      <c r="BK647" s="51"/>
    </row>
    <row r="648" spans="1:63" x14ac:dyDescent="0.4">
      <c r="A648" s="11" t="s">
        <v>725</v>
      </c>
      <c r="B648" s="4"/>
      <c r="C648" s="4"/>
      <c r="D648" s="4"/>
      <c r="E648" s="12"/>
      <c r="G648" s="147" t="s">
        <v>725</v>
      </c>
      <c r="H648" s="159">
        <v>70.022000000000006</v>
      </c>
      <c r="I648" s="153">
        <v>70.33</v>
      </c>
      <c r="J648" s="153">
        <v>70.36</v>
      </c>
      <c r="K648" s="153">
        <v>70.290000000000006</v>
      </c>
      <c r="L648" s="153">
        <v>70.27</v>
      </c>
      <c r="M648" s="80">
        <f t="shared" si="20"/>
        <v>70.36</v>
      </c>
      <c r="N648" s="80">
        <f t="shared" si="21"/>
        <v>70.27</v>
      </c>
      <c r="O648" s="153">
        <v>21.21</v>
      </c>
      <c r="P648" s="153">
        <v>21.18</v>
      </c>
      <c r="Q648" s="153">
        <v>21.16</v>
      </c>
      <c r="R648" s="153">
        <v>21.1</v>
      </c>
      <c r="S648" s="4"/>
      <c r="U648" s="147" t="s">
        <v>725</v>
      </c>
      <c r="V648" s="11"/>
      <c r="W648" s="4"/>
      <c r="X648" s="12"/>
      <c r="Y648" s="14"/>
      <c r="Z648" s="4"/>
      <c r="AA648" s="13"/>
      <c r="AB648" s="11"/>
      <c r="AC648" s="4"/>
      <c r="AD648" s="12"/>
      <c r="AE648" s="13"/>
      <c r="AF648" s="14">
        <v>5.0064000000000002</v>
      </c>
      <c r="AG648" s="133"/>
      <c r="AI648" s="84"/>
      <c r="AL648" s="64">
        <v>4.1714702999999993</v>
      </c>
      <c r="AM648" s="56">
        <v>15.50000000000011</v>
      </c>
      <c r="AN648" s="56">
        <v>17.520000000000021</v>
      </c>
      <c r="AO648" s="62">
        <v>23.88000000000012</v>
      </c>
      <c r="AQ648" s="64">
        <v>4.080879116666666</v>
      </c>
      <c r="AR648" s="56">
        <v>14.94</v>
      </c>
      <c r="AS648" s="56">
        <v>16.459999999999919</v>
      </c>
      <c r="AT648" s="62">
        <v>20.759999999999931</v>
      </c>
      <c r="AV648" s="64">
        <v>3.7273657833333331</v>
      </c>
      <c r="AW648" s="56">
        <v>14.48</v>
      </c>
      <c r="AX648" s="56">
        <v>15.97999999999997</v>
      </c>
      <c r="AY648" s="62">
        <v>20.96</v>
      </c>
      <c r="BA648" s="64">
        <v>3.1834761500000002</v>
      </c>
      <c r="BB648" s="56">
        <v>17.460000000000079</v>
      </c>
      <c r="BC648" s="56">
        <v>20.000000000000021</v>
      </c>
      <c r="BD648" s="62">
        <v>32.340000000000032</v>
      </c>
      <c r="BF648" s="64">
        <v>2.9472003500000001</v>
      </c>
      <c r="BG648" s="56">
        <v>21.600000000000019</v>
      </c>
      <c r="BH648" s="56">
        <v>29.22000000000002</v>
      </c>
      <c r="BI648" s="62">
        <v>59.26</v>
      </c>
      <c r="BJ648" s="70"/>
      <c r="BK648" s="51"/>
    </row>
    <row r="649" spans="1:63" x14ac:dyDescent="0.4">
      <c r="A649" s="11" t="s">
        <v>726</v>
      </c>
      <c r="B649" s="4"/>
      <c r="C649" s="4"/>
      <c r="D649" s="4"/>
      <c r="E649" s="12"/>
      <c r="G649" s="147" t="s">
        <v>726</v>
      </c>
      <c r="H649" s="159">
        <v>69.986000000000004</v>
      </c>
      <c r="I649" s="153">
        <v>70.31</v>
      </c>
      <c r="J649" s="153">
        <v>70.36</v>
      </c>
      <c r="K649" s="153">
        <v>70.3</v>
      </c>
      <c r="L649" s="153">
        <v>70.36</v>
      </c>
      <c r="M649" s="80">
        <f t="shared" si="20"/>
        <v>70.36</v>
      </c>
      <c r="N649" s="80">
        <f t="shared" si="21"/>
        <v>70.3</v>
      </c>
      <c r="O649" s="153">
        <v>21.21</v>
      </c>
      <c r="P649" s="153">
        <v>21.1</v>
      </c>
      <c r="Q649" s="153">
        <v>21.15</v>
      </c>
      <c r="R649" s="153">
        <v>21.11</v>
      </c>
      <c r="S649" s="4"/>
      <c r="U649" s="147" t="s">
        <v>726</v>
      </c>
      <c r="V649" s="11"/>
      <c r="W649" s="4"/>
      <c r="X649" s="12"/>
      <c r="Y649" s="14"/>
      <c r="Z649" s="4"/>
      <c r="AA649" s="13"/>
      <c r="AB649" s="11"/>
      <c r="AC649" s="4"/>
      <c r="AD649" s="12"/>
      <c r="AE649" s="13"/>
      <c r="AF649" s="14">
        <v>5.0148999999999999</v>
      </c>
      <c r="AG649" s="133"/>
      <c r="AI649" s="84"/>
      <c r="AL649" s="64">
        <v>4.1717560499999999</v>
      </c>
      <c r="AM649" s="56">
        <v>15.09999999999998</v>
      </c>
      <c r="AN649" s="56">
        <v>17.060000000000031</v>
      </c>
      <c r="AO649" s="62">
        <v>23.320000000000011</v>
      </c>
      <c r="AQ649" s="64">
        <v>4.0809319333333329</v>
      </c>
      <c r="AR649" s="56">
        <v>14.380000000000059</v>
      </c>
      <c r="AS649" s="56">
        <v>15.82000000000008</v>
      </c>
      <c r="AT649" s="62">
        <v>20.02000000000006</v>
      </c>
      <c r="AV649" s="64">
        <v>3.727174349999999</v>
      </c>
      <c r="AW649" s="56">
        <v>14.02000000000001</v>
      </c>
      <c r="AX649" s="56">
        <v>15.479999999999981</v>
      </c>
      <c r="AY649" s="62">
        <v>20.359999999999982</v>
      </c>
      <c r="BA649" s="64">
        <v>3.1822420999999999</v>
      </c>
      <c r="BB649" s="56">
        <v>17.10000000000003</v>
      </c>
      <c r="BC649" s="56">
        <v>19.680000000000049</v>
      </c>
      <c r="BD649" s="62">
        <v>32.000000000000028</v>
      </c>
      <c r="BF649" s="64">
        <v>2.9500584999999999</v>
      </c>
      <c r="BG649" s="56">
        <v>21.260000000000009</v>
      </c>
      <c r="BH649" s="56">
        <v>28.86000000000006</v>
      </c>
      <c r="BI649" s="62">
        <v>58.680000000000021</v>
      </c>
      <c r="BJ649" s="70"/>
      <c r="BK649" s="51"/>
    </row>
    <row r="650" spans="1:63" x14ac:dyDescent="0.4">
      <c r="A650" s="11" t="s">
        <v>727</v>
      </c>
      <c r="B650" s="4"/>
      <c r="C650" s="4"/>
      <c r="D650" s="4"/>
      <c r="E650" s="12"/>
      <c r="G650" s="147" t="s">
        <v>727</v>
      </c>
      <c r="H650" s="159">
        <v>69.992999999999995</v>
      </c>
      <c r="I650" s="153">
        <v>70.400000000000006</v>
      </c>
      <c r="J650" s="153">
        <v>70.28</v>
      </c>
      <c r="K650" s="153">
        <v>70.36</v>
      </c>
      <c r="L650" s="153">
        <v>70.33</v>
      </c>
      <c r="M650" s="80">
        <f t="shared" si="20"/>
        <v>70.400000000000006</v>
      </c>
      <c r="N650" s="80">
        <f t="shared" si="21"/>
        <v>70.28</v>
      </c>
      <c r="O650" s="153">
        <v>21.12</v>
      </c>
      <c r="P650" s="153">
        <v>21.09</v>
      </c>
      <c r="Q650" s="153">
        <v>21.17</v>
      </c>
      <c r="R650" s="153">
        <v>21.07</v>
      </c>
      <c r="S650" s="4"/>
      <c r="U650" s="147" t="s">
        <v>727</v>
      </c>
      <c r="V650" s="11"/>
      <c r="W650" s="4"/>
      <c r="X650" s="12"/>
      <c r="Y650" s="14"/>
      <c r="Z650" s="4"/>
      <c r="AA650" s="13"/>
      <c r="AB650" s="11"/>
      <c r="AC650" s="4"/>
      <c r="AD650" s="12"/>
      <c r="AE650" s="13"/>
      <c r="AF650" s="14">
        <v>5.0297000000000001</v>
      </c>
      <c r="AG650" s="133"/>
      <c r="AI650" s="84"/>
      <c r="AL650" s="64">
        <v>4.1717288166666666</v>
      </c>
      <c r="AM650" s="56">
        <v>15.33999999999995</v>
      </c>
      <c r="AN650" s="56">
        <v>17.38</v>
      </c>
      <c r="AO650" s="62">
        <v>23.71999999999996</v>
      </c>
      <c r="AQ650" s="64">
        <v>4.081282616666666</v>
      </c>
      <c r="AR650" s="56">
        <v>14.759999999999881</v>
      </c>
      <c r="AS650" s="56">
        <v>16.239999999999991</v>
      </c>
      <c r="AT650" s="62">
        <v>20.51999999999996</v>
      </c>
      <c r="AV650" s="64">
        <v>3.727677299999999</v>
      </c>
      <c r="AW650" s="56">
        <v>14.099999999999911</v>
      </c>
      <c r="AX650" s="56">
        <v>15.55999999999997</v>
      </c>
      <c r="AY650" s="62">
        <v>20.499999999999918</v>
      </c>
      <c r="BA650" s="64">
        <v>3.183281833333333</v>
      </c>
      <c r="BB650" s="56">
        <v>16.88000000000001</v>
      </c>
      <c r="BC650" s="56">
        <v>19.399999999999999</v>
      </c>
      <c r="BD650" s="62">
        <v>31.58000000000003</v>
      </c>
      <c r="BF650" s="64">
        <v>2.9454253499999998</v>
      </c>
      <c r="BG650" s="56">
        <v>21.01999999999995</v>
      </c>
      <c r="BH650" s="56">
        <v>28.599999999999959</v>
      </c>
      <c r="BI650" s="62">
        <v>58.619999999999983</v>
      </c>
      <c r="BJ650" s="69"/>
      <c r="BK650" s="51"/>
    </row>
    <row r="651" spans="1:63" x14ac:dyDescent="0.4">
      <c r="A651" s="11" t="s">
        <v>728</v>
      </c>
      <c r="B651" s="4"/>
      <c r="C651" s="4"/>
      <c r="D651" s="4"/>
      <c r="E651" s="12"/>
      <c r="G651" s="147" t="s">
        <v>728</v>
      </c>
      <c r="H651" s="159">
        <v>70.010000000000005</v>
      </c>
      <c r="I651" s="153">
        <v>70.38</v>
      </c>
      <c r="J651" s="153">
        <v>70.290000000000006</v>
      </c>
      <c r="K651" s="153">
        <v>70.36</v>
      </c>
      <c r="L651" s="153">
        <v>70.38</v>
      </c>
      <c r="M651" s="80">
        <f t="shared" si="20"/>
        <v>70.38</v>
      </c>
      <c r="N651" s="80">
        <f t="shared" si="21"/>
        <v>70.290000000000006</v>
      </c>
      <c r="O651" s="153">
        <v>21.22</v>
      </c>
      <c r="P651" s="153">
        <v>21.15</v>
      </c>
      <c r="Q651" s="153">
        <v>21.12</v>
      </c>
      <c r="R651" s="153">
        <v>21.05</v>
      </c>
      <c r="S651" s="4"/>
      <c r="U651" s="147" t="s">
        <v>728</v>
      </c>
      <c r="V651" s="11"/>
      <c r="W651" s="4"/>
      <c r="X651" s="12"/>
      <c r="Y651" s="14"/>
      <c r="Z651" s="4"/>
      <c r="AA651" s="13"/>
      <c r="AB651" s="11"/>
      <c r="AC651" s="4"/>
      <c r="AD651" s="12"/>
      <c r="AE651" s="35"/>
      <c r="AF651" s="14">
        <v>5.0286999999999997</v>
      </c>
      <c r="AG651" s="133"/>
      <c r="AI651" s="84"/>
      <c r="AL651" s="64">
        <v>4.172213816666666</v>
      </c>
      <c r="AM651" s="56">
        <v>13.9800000000001</v>
      </c>
      <c r="AN651" s="56">
        <v>15.859999999999991</v>
      </c>
      <c r="AO651" s="62">
        <v>21.980000000000111</v>
      </c>
      <c r="AQ651" s="64">
        <v>4.0820787666666654</v>
      </c>
      <c r="AR651" s="56">
        <v>13.559999999999841</v>
      </c>
      <c r="AS651" s="56">
        <v>14.959999999999949</v>
      </c>
      <c r="AT651" s="62">
        <v>18.979999999999912</v>
      </c>
      <c r="AV651" s="64">
        <v>3.7284294</v>
      </c>
      <c r="AW651" s="56">
        <v>13.15999999999997</v>
      </c>
      <c r="AX651" s="56">
        <v>14.56</v>
      </c>
      <c r="AY651" s="62">
        <v>19.240000000000009</v>
      </c>
      <c r="BA651" s="64">
        <v>3.1882818666666659</v>
      </c>
      <c r="BB651" s="56">
        <v>16.219999999999949</v>
      </c>
      <c r="BC651" s="56">
        <v>18.63999999999999</v>
      </c>
      <c r="BD651" s="62">
        <v>30.560000000000009</v>
      </c>
      <c r="BF651" s="64">
        <v>2.9530915333333341</v>
      </c>
      <c r="BG651" s="56">
        <v>20.259999999999941</v>
      </c>
      <c r="BH651" s="56">
        <v>27.459999999999951</v>
      </c>
      <c r="BI651" s="62">
        <v>56.579999999999941</v>
      </c>
      <c r="BJ651" s="70"/>
      <c r="BK651" s="51"/>
    </row>
    <row r="652" spans="1:63" x14ac:dyDescent="0.4">
      <c r="A652" s="11" t="s">
        <v>729</v>
      </c>
      <c r="B652" s="4"/>
      <c r="C652" s="4"/>
      <c r="D652" s="4"/>
      <c r="E652" s="12"/>
      <c r="G652" s="147" t="s">
        <v>729</v>
      </c>
      <c r="H652" s="159">
        <v>69.906000000000006</v>
      </c>
      <c r="I652" s="153">
        <v>70.39</v>
      </c>
      <c r="J652" s="153">
        <v>70.36</v>
      </c>
      <c r="K652" s="153">
        <v>70.33</v>
      </c>
      <c r="L652" s="153">
        <v>70.349999999999994</v>
      </c>
      <c r="M652" s="80">
        <f t="shared" si="20"/>
        <v>70.39</v>
      </c>
      <c r="N652" s="80">
        <f t="shared" si="21"/>
        <v>70.33</v>
      </c>
      <c r="O652" s="153">
        <v>21.16</v>
      </c>
      <c r="P652" s="153">
        <v>21.11</v>
      </c>
      <c r="Q652" s="153">
        <v>21.12</v>
      </c>
      <c r="R652" s="153">
        <v>21.03</v>
      </c>
      <c r="S652" s="4"/>
      <c r="U652" s="147" t="s">
        <v>729</v>
      </c>
      <c r="V652" s="11"/>
      <c r="W652" s="4"/>
      <c r="X652" s="12"/>
      <c r="Y652" s="14"/>
      <c r="Z652" s="4"/>
      <c r="AA652" s="13"/>
      <c r="AB652" s="11"/>
      <c r="AC652" s="4"/>
      <c r="AD652" s="12"/>
      <c r="AE652" s="13"/>
      <c r="AF652" s="14">
        <v>5.0193000000000003</v>
      </c>
      <c r="AG652" s="133"/>
      <c r="AI652" s="84"/>
      <c r="AL652" s="64">
        <v>4.1720655166666658</v>
      </c>
      <c r="AM652" s="56">
        <v>14.41999999999997</v>
      </c>
      <c r="AN652" s="56">
        <v>16.319999999999979</v>
      </c>
      <c r="AO652" s="62">
        <v>22.45999999999988</v>
      </c>
      <c r="AQ652" s="64">
        <v>4.0809435333333326</v>
      </c>
      <c r="AR652" s="56">
        <v>13.840000000000069</v>
      </c>
      <c r="AS652" s="56">
        <v>15.240000000000011</v>
      </c>
      <c r="AT652" s="62">
        <v>19.280000000000101</v>
      </c>
      <c r="AV652" s="64">
        <v>3.726989066666667</v>
      </c>
      <c r="AW652" s="56">
        <v>13.49999999999998</v>
      </c>
      <c r="AX652" s="56">
        <v>14.920000000000041</v>
      </c>
      <c r="AY652" s="62">
        <v>19.640000000000061</v>
      </c>
      <c r="BA652" s="64">
        <v>3.1869347833333328</v>
      </c>
      <c r="BB652" s="56">
        <v>16.759999999999931</v>
      </c>
      <c r="BC652" s="56">
        <v>19.23999999999992</v>
      </c>
      <c r="BD652" s="62">
        <v>31.27999999999993</v>
      </c>
      <c r="BF652" s="64">
        <v>2.9532588500000001</v>
      </c>
      <c r="BG652" s="56">
        <v>20.780000000000069</v>
      </c>
      <c r="BH652" s="56">
        <v>28.04000000000002</v>
      </c>
      <c r="BI652" s="62">
        <v>57.220000000000049</v>
      </c>
      <c r="BJ652" s="70"/>
      <c r="BK652" s="51"/>
    </row>
    <row r="653" spans="1:63" ht="17.25" customHeight="1" thickBot="1" x14ac:dyDescent="0.45">
      <c r="A653" s="16" t="s">
        <v>730</v>
      </c>
      <c r="B653" s="17"/>
      <c r="C653" s="17"/>
      <c r="D653" s="17"/>
      <c r="E653" s="18"/>
      <c r="G653" s="147" t="s">
        <v>730</v>
      </c>
      <c r="H653" s="159">
        <v>69.983999999999995</v>
      </c>
      <c r="I653" s="153">
        <v>70.38</v>
      </c>
      <c r="J653" s="153">
        <v>70.34</v>
      </c>
      <c r="K653" s="153">
        <v>70.27</v>
      </c>
      <c r="L653" s="153">
        <v>70.39</v>
      </c>
      <c r="M653" s="80">
        <f t="shared" si="20"/>
        <v>70.39</v>
      </c>
      <c r="N653" s="80">
        <f t="shared" si="21"/>
        <v>70.27</v>
      </c>
      <c r="O653" s="153">
        <v>21.17</v>
      </c>
      <c r="P653" s="153">
        <v>21.02</v>
      </c>
      <c r="Q653" s="153">
        <v>21.11</v>
      </c>
      <c r="R653" s="153">
        <v>21.06</v>
      </c>
      <c r="S653" s="4"/>
      <c r="U653" s="147" t="s">
        <v>730</v>
      </c>
      <c r="V653" s="16"/>
      <c r="W653" s="17"/>
      <c r="X653" s="18"/>
      <c r="Y653" s="29"/>
      <c r="Z653" s="17"/>
      <c r="AA653" s="30"/>
      <c r="AB653" s="16"/>
      <c r="AC653" s="17"/>
      <c r="AD653" s="18"/>
      <c r="AE653" s="139"/>
      <c r="AF653" s="14">
        <v>5.0308000000000002</v>
      </c>
      <c r="AG653" s="133"/>
      <c r="AI653" s="84"/>
      <c r="AL653" s="64">
        <v>4.1718488166666674</v>
      </c>
      <c r="AM653" s="56">
        <v>14.499999999999959</v>
      </c>
      <c r="AN653" s="56">
        <v>16.440000000000051</v>
      </c>
      <c r="AO653" s="62">
        <v>22.579999999999959</v>
      </c>
      <c r="AQ653" s="64">
        <v>4.082104199999999</v>
      </c>
      <c r="AR653" s="56">
        <v>14.1</v>
      </c>
      <c r="AS653" s="56">
        <v>15.519999999999889</v>
      </c>
      <c r="AT653" s="62">
        <v>19.61999999999993</v>
      </c>
      <c r="AV653" s="64">
        <v>3.7285635333333329</v>
      </c>
      <c r="AW653" s="56">
        <v>13.759999999999989</v>
      </c>
      <c r="AX653" s="56">
        <v>15.18000000000006</v>
      </c>
      <c r="AY653" s="62">
        <v>19.940000000000069</v>
      </c>
      <c r="BA653" s="64">
        <v>3.18597755</v>
      </c>
      <c r="BB653" s="56">
        <v>16.96</v>
      </c>
      <c r="BC653" s="56">
        <v>19.379999999999949</v>
      </c>
      <c r="BD653" s="62">
        <v>31.559999999999992</v>
      </c>
      <c r="BF653" s="64">
        <v>2.952938099999999</v>
      </c>
      <c r="BG653" s="56">
        <v>21</v>
      </c>
      <c r="BH653" s="56">
        <v>28.340000000000028</v>
      </c>
      <c r="BI653" s="62">
        <v>57.800000000000033</v>
      </c>
      <c r="BJ653" s="70"/>
      <c r="BK653" s="51"/>
    </row>
    <row r="654" spans="1:63" x14ac:dyDescent="0.4">
      <c r="A654" s="19" t="s">
        <v>731</v>
      </c>
      <c r="B654" s="4"/>
      <c r="C654" s="4"/>
      <c r="D654" s="4"/>
      <c r="E654" s="12"/>
      <c r="G654" s="147" t="s">
        <v>731</v>
      </c>
      <c r="H654" s="159">
        <v>70.028999999999996</v>
      </c>
      <c r="I654" s="153">
        <v>70.36</v>
      </c>
      <c r="J654" s="153">
        <v>70.36</v>
      </c>
      <c r="K654" s="153">
        <v>70.3</v>
      </c>
      <c r="L654" s="153">
        <v>70.36</v>
      </c>
      <c r="M654" s="80">
        <f t="shared" si="20"/>
        <v>70.36</v>
      </c>
      <c r="N654" s="80">
        <f t="shared" si="21"/>
        <v>70.3</v>
      </c>
      <c r="O654" s="153">
        <v>21.12</v>
      </c>
      <c r="P654" s="153">
        <v>21.08</v>
      </c>
      <c r="Q654" s="153">
        <v>21.15</v>
      </c>
      <c r="R654" s="153">
        <v>21.1</v>
      </c>
      <c r="S654" s="4"/>
      <c r="U654" s="147" t="s">
        <v>731</v>
      </c>
      <c r="V654" s="19"/>
      <c r="W654" s="20"/>
      <c r="X654" s="22"/>
      <c r="Y654" s="31"/>
      <c r="Z654" s="20"/>
      <c r="AA654" s="21"/>
      <c r="AB654" s="11"/>
      <c r="AC654" s="4"/>
      <c r="AD654" s="12"/>
      <c r="AE654" s="13"/>
      <c r="AF654" s="14">
        <v>5.0296000000000003</v>
      </c>
      <c r="AG654" s="133"/>
      <c r="AI654" s="84"/>
      <c r="AL654" s="64">
        <v>4.172194133333333</v>
      </c>
      <c r="AM654" s="56">
        <v>13.959999999999971</v>
      </c>
      <c r="AN654" s="56">
        <v>15.90000000000007</v>
      </c>
      <c r="AO654" s="62">
        <v>22.039999999999971</v>
      </c>
      <c r="AQ654" s="64">
        <v>4.0818692666666667</v>
      </c>
      <c r="AR654" s="56">
        <v>13.620000000000051</v>
      </c>
      <c r="AS654" s="56">
        <v>15.019999999999991</v>
      </c>
      <c r="AT654" s="62">
        <v>19.059999999999992</v>
      </c>
      <c r="AV654" s="64">
        <v>3.7287844666666672</v>
      </c>
      <c r="AW654" s="56">
        <v>13.22000000000001</v>
      </c>
      <c r="AX654" s="56">
        <v>14.63999999999999</v>
      </c>
      <c r="AY654" s="62">
        <v>19.30000000000005</v>
      </c>
      <c r="BA654" s="64">
        <v>3.1894944833333332</v>
      </c>
      <c r="BB654" s="56">
        <v>16.14000000000004</v>
      </c>
      <c r="BC654" s="56">
        <v>18.580000000000041</v>
      </c>
      <c r="BD654" s="62">
        <v>30.400000000000031</v>
      </c>
      <c r="BF654" s="64">
        <v>2.9452059999999989</v>
      </c>
      <c r="BG654" s="56">
        <v>20.099999999999959</v>
      </c>
      <c r="BH654" s="56">
        <v>26.999999999999961</v>
      </c>
      <c r="BI654" s="62">
        <v>56.179999999999993</v>
      </c>
      <c r="BJ654" s="70"/>
      <c r="BK654" s="51"/>
    </row>
    <row r="655" spans="1:63" x14ac:dyDescent="0.4">
      <c r="A655" s="11" t="s">
        <v>732</v>
      </c>
      <c r="B655" s="4"/>
      <c r="C655" s="4"/>
      <c r="D655" s="4"/>
      <c r="E655" s="12"/>
      <c r="G655" s="147" t="s">
        <v>732</v>
      </c>
      <c r="H655" s="159">
        <v>70.105999999999995</v>
      </c>
      <c r="I655" s="153">
        <v>70.319999999999993</v>
      </c>
      <c r="J655" s="153">
        <v>70.349999999999994</v>
      </c>
      <c r="K655" s="153">
        <v>70.28</v>
      </c>
      <c r="L655" s="153">
        <v>70.36</v>
      </c>
      <c r="M655" s="80">
        <f t="shared" si="20"/>
        <v>70.36</v>
      </c>
      <c r="N655" s="80">
        <f t="shared" si="21"/>
        <v>70.28</v>
      </c>
      <c r="O655" s="153">
        <v>21.1</v>
      </c>
      <c r="P655" s="153">
        <v>21.12</v>
      </c>
      <c r="Q655" s="153">
        <v>21.13</v>
      </c>
      <c r="R655" s="153">
        <v>21.09</v>
      </c>
      <c r="S655" s="4"/>
      <c r="U655" s="147" t="s">
        <v>732</v>
      </c>
      <c r="V655" s="11"/>
      <c r="W655" s="4"/>
      <c r="X655" s="12"/>
      <c r="Y655" s="14"/>
      <c r="Z655" s="4"/>
      <c r="AA655" s="13"/>
      <c r="AB655" s="11"/>
      <c r="AC655" s="4"/>
      <c r="AD655" s="12"/>
      <c r="AE655" s="13"/>
      <c r="AF655" s="14">
        <v>5.0030999999999999</v>
      </c>
      <c r="AG655" s="133"/>
      <c r="AI655" s="84"/>
      <c r="AL655" s="64">
        <v>4.1715641166666666</v>
      </c>
      <c r="AM655" s="56">
        <v>13.8399999999999</v>
      </c>
      <c r="AN655" s="56">
        <v>15.73999999999991</v>
      </c>
      <c r="AO655" s="62">
        <v>21.899999999999942</v>
      </c>
      <c r="AQ655" s="64">
        <v>4.0833081833333331</v>
      </c>
      <c r="AR655" s="56">
        <v>13.700000000000051</v>
      </c>
      <c r="AS655" s="56">
        <v>15.08000000000003</v>
      </c>
      <c r="AT655" s="62">
        <v>19.100000000000069</v>
      </c>
      <c r="AV655" s="64">
        <v>3.7309624166666659</v>
      </c>
      <c r="AW655" s="56">
        <v>13.22000000000001</v>
      </c>
      <c r="AX655" s="56">
        <v>14.580000000000039</v>
      </c>
      <c r="AY655" s="62">
        <v>19.240000000000009</v>
      </c>
      <c r="BA655" s="64">
        <v>3.1908811333333338</v>
      </c>
      <c r="BB655" s="56">
        <v>16.100000000000051</v>
      </c>
      <c r="BC655" s="56">
        <v>18.52</v>
      </c>
      <c r="BD655" s="62">
        <v>30.379999999999981</v>
      </c>
      <c r="BF655" s="64">
        <v>2.9575463333333341</v>
      </c>
      <c r="BG655" s="56">
        <v>20.2</v>
      </c>
      <c r="BH655" s="56">
        <v>27.880000000000042</v>
      </c>
      <c r="BI655" s="62">
        <v>58.140000000000043</v>
      </c>
      <c r="BJ655" s="70"/>
      <c r="BK655" s="51"/>
    </row>
    <row r="656" spans="1:63" x14ac:dyDescent="0.4">
      <c r="A656" s="11" t="s">
        <v>733</v>
      </c>
      <c r="B656" s="4"/>
      <c r="C656" s="4"/>
      <c r="D656" s="4"/>
      <c r="E656" s="12"/>
      <c r="G656" s="147" t="s">
        <v>733</v>
      </c>
      <c r="H656" s="159">
        <v>70.039000000000001</v>
      </c>
      <c r="I656" s="153">
        <v>70.400000000000006</v>
      </c>
      <c r="J656" s="153">
        <v>70.28</v>
      </c>
      <c r="K656" s="153">
        <v>70.400000000000006</v>
      </c>
      <c r="L656" s="153">
        <v>70.319999999999993</v>
      </c>
      <c r="M656" s="80">
        <f t="shared" si="20"/>
        <v>70.400000000000006</v>
      </c>
      <c r="N656" s="80">
        <f t="shared" si="21"/>
        <v>70.28</v>
      </c>
      <c r="O656" s="153">
        <v>21.17</v>
      </c>
      <c r="P656" s="153">
        <v>21.02</v>
      </c>
      <c r="Q656" s="153">
        <v>21.11</v>
      </c>
      <c r="R656" s="153">
        <v>21.1</v>
      </c>
      <c r="S656" s="4"/>
      <c r="U656" s="147" t="s">
        <v>733</v>
      </c>
      <c r="V656" s="11"/>
      <c r="W656" s="4"/>
      <c r="X656" s="12"/>
      <c r="Y656" s="14"/>
      <c r="Z656" s="4"/>
      <c r="AA656" s="13"/>
      <c r="AB656" s="11"/>
      <c r="AC656" s="4"/>
      <c r="AD656" s="12"/>
      <c r="AE656" s="13"/>
      <c r="AF656" s="14">
        <v>5.0061999999999998</v>
      </c>
      <c r="AG656" s="133"/>
      <c r="AI656" s="84"/>
      <c r="AL656" s="64">
        <v>4.1714990166666661</v>
      </c>
      <c r="AM656" s="56">
        <v>15.06000000000007</v>
      </c>
      <c r="AN656" s="56">
        <v>17.060000000000031</v>
      </c>
      <c r="AO656" s="62">
        <v>23.220000000000059</v>
      </c>
      <c r="AQ656" s="64">
        <v>4.0806355666666656</v>
      </c>
      <c r="AR656" s="56">
        <v>14.33999999999997</v>
      </c>
      <c r="AS656" s="56">
        <v>15.80000000000013</v>
      </c>
      <c r="AT656" s="62">
        <v>20.060000000000059</v>
      </c>
      <c r="AV656" s="64">
        <v>3.7277772833333329</v>
      </c>
      <c r="AW656" s="56">
        <v>13.77999999999995</v>
      </c>
      <c r="AX656" s="56">
        <v>15.23999999999992</v>
      </c>
      <c r="AY656" s="62">
        <v>20.07999999999992</v>
      </c>
      <c r="BA656" s="64">
        <v>3.1835051666666661</v>
      </c>
      <c r="BB656" s="56">
        <v>16.26000000000003</v>
      </c>
      <c r="BC656" s="56">
        <v>18.780000000000019</v>
      </c>
      <c r="BD656" s="62">
        <v>30.940000000000008</v>
      </c>
      <c r="BF656" s="64">
        <v>2.9513368166666671</v>
      </c>
      <c r="BG656" s="56">
        <v>20.319999999999979</v>
      </c>
      <c r="BH656" s="56">
        <v>27.58000000000003</v>
      </c>
      <c r="BI656" s="62">
        <v>57.28</v>
      </c>
      <c r="BJ656" s="70"/>
      <c r="BK656" s="51"/>
    </row>
    <row r="657" spans="1:63" x14ac:dyDescent="0.4">
      <c r="A657" s="11" t="s">
        <v>734</v>
      </c>
      <c r="B657" s="4"/>
      <c r="C657" s="4"/>
      <c r="D657" s="4"/>
      <c r="E657" s="12"/>
      <c r="G657" s="147" t="s">
        <v>734</v>
      </c>
      <c r="H657" s="159">
        <v>69.918999999999997</v>
      </c>
      <c r="I657" s="153">
        <v>70.38</v>
      </c>
      <c r="J657" s="153">
        <v>70.37</v>
      </c>
      <c r="K657" s="153">
        <v>70.34</v>
      </c>
      <c r="L657" s="153">
        <v>70.37</v>
      </c>
      <c r="M657" s="80">
        <f t="shared" si="20"/>
        <v>70.38</v>
      </c>
      <c r="N657" s="80">
        <f t="shared" si="21"/>
        <v>70.34</v>
      </c>
      <c r="O657" s="153">
        <v>21.11</v>
      </c>
      <c r="P657" s="153">
        <v>21.09</v>
      </c>
      <c r="Q657" s="153">
        <v>21.15</v>
      </c>
      <c r="R657" s="153">
        <v>21.03</v>
      </c>
      <c r="S657" s="4"/>
      <c r="U657" s="147" t="s">
        <v>734</v>
      </c>
      <c r="V657" s="11"/>
      <c r="W657" s="4"/>
      <c r="X657" s="12"/>
      <c r="Y657" s="14"/>
      <c r="Z657" s="4"/>
      <c r="AA657" s="13"/>
      <c r="AB657" s="11"/>
      <c r="AC657" s="4"/>
      <c r="AD657" s="12"/>
      <c r="AE657" s="35"/>
      <c r="AF657" s="14">
        <v>5.0091999999999999</v>
      </c>
      <c r="AG657" s="133"/>
      <c r="AI657" s="84"/>
      <c r="AL657" s="64">
        <v>4.1712655999999999</v>
      </c>
      <c r="AM657" s="56">
        <v>14.25999999999998</v>
      </c>
      <c r="AN657" s="56">
        <v>16.17999999999995</v>
      </c>
      <c r="AO657" s="62">
        <v>22.279999999999941</v>
      </c>
      <c r="AQ657" s="64">
        <v>4.0804678499999998</v>
      </c>
      <c r="AR657" s="56">
        <v>13.57999999999997</v>
      </c>
      <c r="AS657" s="56">
        <v>14.979999999999899</v>
      </c>
      <c r="AT657" s="62">
        <v>19.039999999999949</v>
      </c>
      <c r="AV657" s="64">
        <v>3.7264593000000001</v>
      </c>
      <c r="AW657" s="56">
        <v>13.12000000000006</v>
      </c>
      <c r="AX657" s="56">
        <v>14.52</v>
      </c>
      <c r="AY657" s="62">
        <v>19.200000000000021</v>
      </c>
      <c r="BA657" s="64">
        <v>3.1810360333333332</v>
      </c>
      <c r="BB657" s="56">
        <v>16.24000000000008</v>
      </c>
      <c r="BC657" s="56">
        <v>18.74000000000002</v>
      </c>
      <c r="BD657" s="62">
        <v>30.980000000000011</v>
      </c>
      <c r="BF657" s="64">
        <v>2.9529298499999999</v>
      </c>
      <c r="BG657" s="56">
        <v>20.300000000000029</v>
      </c>
      <c r="BH657" s="56">
        <v>27.71999999999997</v>
      </c>
      <c r="BI657" s="62">
        <v>57.359999999999992</v>
      </c>
      <c r="BJ657" s="70"/>
      <c r="BK657" s="51"/>
    </row>
    <row r="658" spans="1:63" x14ac:dyDescent="0.4">
      <c r="A658" s="11" t="s">
        <v>735</v>
      </c>
      <c r="B658" s="4"/>
      <c r="C658" s="4"/>
      <c r="D658" s="4"/>
      <c r="E658" s="12"/>
      <c r="G658" s="147" t="s">
        <v>735</v>
      </c>
      <c r="H658" s="159">
        <v>70.034999999999997</v>
      </c>
      <c r="I658" s="153">
        <v>70.38</v>
      </c>
      <c r="J658" s="153">
        <v>70.319999999999993</v>
      </c>
      <c r="K658" s="153">
        <v>70.31</v>
      </c>
      <c r="L658" s="153">
        <v>70.36</v>
      </c>
      <c r="M658" s="80">
        <f t="shared" si="20"/>
        <v>70.38</v>
      </c>
      <c r="N658" s="80">
        <f t="shared" si="21"/>
        <v>70.31</v>
      </c>
      <c r="O658" s="153">
        <v>21.2</v>
      </c>
      <c r="P658" s="153">
        <v>21.11</v>
      </c>
      <c r="Q658" s="153">
        <v>21.14</v>
      </c>
      <c r="R658" s="153">
        <v>21.06</v>
      </c>
      <c r="S658" s="4"/>
      <c r="U658" s="147" t="s">
        <v>735</v>
      </c>
      <c r="V658" s="11"/>
      <c r="W658" s="4"/>
      <c r="X658" s="12"/>
      <c r="Y658" s="14"/>
      <c r="Z658" s="4"/>
      <c r="AA658" s="13"/>
      <c r="AB658" s="11"/>
      <c r="AC658" s="4"/>
      <c r="AD658" s="12"/>
      <c r="AE658" s="13"/>
      <c r="AF658" s="14">
        <v>5.0039999999999996</v>
      </c>
      <c r="AG658" s="133"/>
      <c r="AI658" s="84"/>
      <c r="AL658" s="64">
        <v>4.1719160333333338</v>
      </c>
      <c r="AM658" s="56">
        <v>14.700000000000021</v>
      </c>
      <c r="AN658" s="56">
        <v>16.63999999999994</v>
      </c>
      <c r="AO658" s="62">
        <v>22.84000000000006</v>
      </c>
      <c r="AQ658" s="64">
        <v>4.0805559166666674</v>
      </c>
      <c r="AR658" s="56">
        <v>14.019999999999831</v>
      </c>
      <c r="AS658" s="56">
        <v>15.45999999999985</v>
      </c>
      <c r="AT658" s="62">
        <v>19.559999999999889</v>
      </c>
      <c r="AV658" s="64">
        <v>3.726123616666666</v>
      </c>
      <c r="AW658" s="56">
        <v>13.68</v>
      </c>
      <c r="AX658" s="56">
        <v>15.09999999999998</v>
      </c>
      <c r="AY658" s="62">
        <v>19.859999999999989</v>
      </c>
      <c r="BA658" s="64">
        <v>3.1823303333333328</v>
      </c>
      <c r="BB658" s="56">
        <v>16.979999999999951</v>
      </c>
      <c r="BC658" s="56">
        <v>19.539999999999939</v>
      </c>
      <c r="BD658" s="62">
        <v>31.86</v>
      </c>
      <c r="BF658" s="64">
        <v>2.9567995833333329</v>
      </c>
      <c r="BG658" s="56">
        <v>20.979999999999951</v>
      </c>
      <c r="BH658" s="56">
        <v>28.519999999999971</v>
      </c>
      <c r="BI658" s="62">
        <v>57.919999999999931</v>
      </c>
      <c r="BJ658" s="70"/>
      <c r="BK658" s="51"/>
    </row>
    <row r="659" spans="1:63" x14ac:dyDescent="0.4">
      <c r="A659" s="11" t="s">
        <v>736</v>
      </c>
      <c r="B659" s="4"/>
      <c r="C659" s="4"/>
      <c r="D659" s="4"/>
      <c r="E659" s="12"/>
      <c r="G659" s="147" t="s">
        <v>736</v>
      </c>
      <c r="H659" s="159">
        <v>70.022000000000006</v>
      </c>
      <c r="I659" s="153">
        <v>70.38</v>
      </c>
      <c r="J659" s="153">
        <v>70.37</v>
      </c>
      <c r="K659" s="153">
        <v>70.37</v>
      </c>
      <c r="L659" s="153">
        <v>70.33</v>
      </c>
      <c r="M659" s="80">
        <f t="shared" si="20"/>
        <v>70.38</v>
      </c>
      <c r="N659" s="80">
        <f t="shared" si="21"/>
        <v>70.33</v>
      </c>
      <c r="O659" s="153">
        <v>21.15</v>
      </c>
      <c r="P659" s="153">
        <v>21.09</v>
      </c>
      <c r="Q659" s="153">
        <v>21.13</v>
      </c>
      <c r="R659" s="153">
        <v>21.04</v>
      </c>
      <c r="S659" s="4"/>
      <c r="U659" s="147" t="s">
        <v>736</v>
      </c>
      <c r="V659" s="11"/>
      <c r="W659" s="4"/>
      <c r="X659" s="12"/>
      <c r="Y659" s="14"/>
      <c r="Z659" s="4"/>
      <c r="AA659" s="13"/>
      <c r="AB659" s="11"/>
      <c r="AC659" s="4"/>
      <c r="AD659" s="12"/>
      <c r="AE659" s="35"/>
      <c r="AF659" s="14">
        <v>5.0305999999999997</v>
      </c>
      <c r="AG659" s="133"/>
      <c r="AI659" s="84"/>
      <c r="AL659" s="64">
        <v>4.1713131333333333</v>
      </c>
      <c r="AM659" s="56">
        <v>14.119999999999949</v>
      </c>
      <c r="AN659" s="56">
        <v>16.039999999999921</v>
      </c>
      <c r="AO659" s="62">
        <v>22.119999999999958</v>
      </c>
      <c r="AQ659" s="64">
        <v>4.0812705666666664</v>
      </c>
      <c r="AR659" s="56">
        <v>13.56000000000002</v>
      </c>
      <c r="AS659" s="56">
        <v>14.959999999999949</v>
      </c>
      <c r="AT659" s="62">
        <v>19.0199999999999</v>
      </c>
      <c r="AV659" s="64">
        <v>3.7273966500000011</v>
      </c>
      <c r="AW659" s="56">
        <v>13.14000000000002</v>
      </c>
      <c r="AX659" s="56">
        <v>14.52</v>
      </c>
      <c r="AY659" s="62">
        <v>19.200000000000021</v>
      </c>
      <c r="BA659" s="64">
        <v>3.1816941333333331</v>
      </c>
      <c r="BB659" s="56">
        <v>16.219999999999949</v>
      </c>
      <c r="BC659" s="56">
        <v>18.700000000000031</v>
      </c>
      <c r="BD659" s="62">
        <v>30.91999999999997</v>
      </c>
      <c r="BF659" s="64">
        <v>2.9523199999999998</v>
      </c>
      <c r="BG659" s="56">
        <v>20.27999999999999</v>
      </c>
      <c r="BH659" s="56">
        <v>27.71999999999997</v>
      </c>
      <c r="BI659" s="62">
        <v>57.419999999999938</v>
      </c>
      <c r="BJ659" s="70"/>
      <c r="BK659" s="51"/>
    </row>
    <row r="660" spans="1:63" x14ac:dyDescent="0.4">
      <c r="A660" s="11" t="s">
        <v>737</v>
      </c>
      <c r="B660" s="4"/>
      <c r="C660" s="4"/>
      <c r="D660" s="4"/>
      <c r="E660" s="12"/>
      <c r="G660" s="147" t="s">
        <v>737</v>
      </c>
      <c r="H660" s="159">
        <v>70.046000000000006</v>
      </c>
      <c r="I660" s="153">
        <v>70.38</v>
      </c>
      <c r="J660" s="153">
        <v>70.290000000000006</v>
      </c>
      <c r="K660" s="153">
        <v>70.34</v>
      </c>
      <c r="L660" s="153">
        <v>70.27</v>
      </c>
      <c r="M660" s="80">
        <f t="shared" si="20"/>
        <v>70.38</v>
      </c>
      <c r="N660" s="80">
        <f t="shared" si="21"/>
        <v>70.27</v>
      </c>
      <c r="O660" s="153">
        <v>21.18</v>
      </c>
      <c r="P660" s="153">
        <v>21.08</v>
      </c>
      <c r="Q660" s="153">
        <v>21.09</v>
      </c>
      <c r="R660" s="153">
        <v>21.07</v>
      </c>
      <c r="S660" s="4"/>
      <c r="U660" s="147" t="s">
        <v>737</v>
      </c>
      <c r="V660" s="11"/>
      <c r="W660" s="4"/>
      <c r="X660" s="12"/>
      <c r="Y660" s="14"/>
      <c r="Z660" s="4"/>
      <c r="AA660" s="13"/>
      <c r="AB660" s="11"/>
      <c r="AC660" s="4"/>
      <c r="AD660" s="12"/>
      <c r="AE660" s="35"/>
      <c r="AF660" s="14">
        <v>5.0208000000000004</v>
      </c>
      <c r="AG660" s="133"/>
      <c r="AI660" s="84"/>
      <c r="AL660" s="64">
        <v>4.1722701999999998</v>
      </c>
      <c r="AM660" s="56">
        <v>13.959999999999971</v>
      </c>
      <c r="AN660" s="56">
        <v>15.859999999999991</v>
      </c>
      <c r="AO660" s="62">
        <v>22.00000000000006</v>
      </c>
      <c r="AQ660" s="64">
        <v>4.082259716666667</v>
      </c>
      <c r="AR660" s="56">
        <v>13.79999999999999</v>
      </c>
      <c r="AS660" s="56">
        <v>15.199999999999919</v>
      </c>
      <c r="AT660" s="62">
        <v>19.25999999999997</v>
      </c>
      <c r="AV660" s="64">
        <v>3.7301302166666659</v>
      </c>
      <c r="AW660" s="56">
        <v>13.27999999999996</v>
      </c>
      <c r="AX660" s="56">
        <v>14.67999999999998</v>
      </c>
      <c r="AY660" s="62">
        <v>19.36</v>
      </c>
      <c r="BA660" s="64">
        <v>3.1921237166666661</v>
      </c>
      <c r="BB660" s="56">
        <v>16.060000000000048</v>
      </c>
      <c r="BC660" s="56">
        <v>18.440000000000008</v>
      </c>
      <c r="BD660" s="62">
        <v>30.140000000000011</v>
      </c>
      <c r="BF660" s="64">
        <v>2.9461604166666668</v>
      </c>
      <c r="BG660" s="56">
        <v>20.2</v>
      </c>
      <c r="BH660" s="56">
        <v>27.36000000000001</v>
      </c>
      <c r="BI660" s="62">
        <v>56.999999999999943</v>
      </c>
      <c r="BJ660" s="70"/>
      <c r="BK660" s="51"/>
    </row>
    <row r="661" spans="1:63" x14ac:dyDescent="0.4">
      <c r="A661" s="11" t="s">
        <v>738</v>
      </c>
      <c r="B661" s="4"/>
      <c r="C661" s="4"/>
      <c r="D661" s="4"/>
      <c r="E661" s="12"/>
      <c r="G661" s="147" t="s">
        <v>738</v>
      </c>
      <c r="H661" s="159">
        <v>70.070999999999998</v>
      </c>
      <c r="I661" s="153">
        <v>70.31</v>
      </c>
      <c r="J661" s="153">
        <v>70.319999999999993</v>
      </c>
      <c r="K661" s="153">
        <v>70.319999999999993</v>
      </c>
      <c r="L661" s="153">
        <v>70.36</v>
      </c>
      <c r="M661" s="80">
        <f t="shared" si="20"/>
        <v>70.36</v>
      </c>
      <c r="N661" s="80">
        <f t="shared" si="21"/>
        <v>70.31</v>
      </c>
      <c r="O661" s="153">
        <v>21.11</v>
      </c>
      <c r="P661" s="153">
        <v>21.05</v>
      </c>
      <c r="Q661" s="153">
        <v>21.14</v>
      </c>
      <c r="R661" s="153">
        <v>21.09</v>
      </c>
      <c r="S661" s="4"/>
      <c r="U661" s="147" t="s">
        <v>738</v>
      </c>
      <c r="V661" s="11"/>
      <c r="W661" s="4"/>
      <c r="X661" s="12"/>
      <c r="Y661" s="14"/>
      <c r="Z661" s="4"/>
      <c r="AA661" s="13"/>
      <c r="AB661" s="11"/>
      <c r="AC661" s="4"/>
      <c r="AD661" s="12"/>
      <c r="AE661" s="13"/>
      <c r="AF661" s="14">
        <v>5.0033000000000003</v>
      </c>
      <c r="AG661" s="133"/>
      <c r="AI661" s="84"/>
      <c r="AL661" s="64">
        <v>4.17231095</v>
      </c>
      <c r="AM661" s="56">
        <v>14.400000000000009</v>
      </c>
      <c r="AN661" s="56">
        <v>16.36000000000006</v>
      </c>
      <c r="AO661" s="62">
        <v>22.56</v>
      </c>
      <c r="AQ661" s="64">
        <v>4.0819173666666657</v>
      </c>
      <c r="AR661" s="56">
        <v>14.179999999999991</v>
      </c>
      <c r="AS661" s="56">
        <v>15.60000000000006</v>
      </c>
      <c r="AT661" s="62">
        <v>19.739999999999998</v>
      </c>
      <c r="AV661" s="64">
        <v>3.7281556999999999</v>
      </c>
      <c r="AW661" s="56">
        <v>13.840000000000069</v>
      </c>
      <c r="AX661" s="56">
        <v>15.28</v>
      </c>
      <c r="AY661" s="62">
        <v>20.060000000000059</v>
      </c>
      <c r="BA661" s="64">
        <v>3.1852774166666671</v>
      </c>
      <c r="BB661" s="56">
        <v>16.96</v>
      </c>
      <c r="BC661" s="56">
        <v>19.460000000000029</v>
      </c>
      <c r="BD661" s="62">
        <v>31.56000000000007</v>
      </c>
      <c r="BF661" s="64">
        <v>2.9402146833333331</v>
      </c>
      <c r="BG661" s="56">
        <v>21.10000000000003</v>
      </c>
      <c r="BH661" s="56">
        <v>28.500000000000011</v>
      </c>
      <c r="BI661" s="62">
        <v>58.8</v>
      </c>
      <c r="BJ661" s="70"/>
      <c r="BK661" s="51"/>
    </row>
    <row r="662" spans="1:63" x14ac:dyDescent="0.4">
      <c r="A662" s="11" t="s">
        <v>739</v>
      </c>
      <c r="B662" s="4"/>
      <c r="C662" s="4"/>
      <c r="D662" s="4"/>
      <c r="E662" s="12"/>
      <c r="G662" s="147" t="s">
        <v>739</v>
      </c>
      <c r="H662" s="159">
        <v>69.998999999999995</v>
      </c>
      <c r="I662" s="153">
        <v>70.319999999999993</v>
      </c>
      <c r="J662" s="153">
        <v>70.33</v>
      </c>
      <c r="K662" s="153">
        <v>70.3</v>
      </c>
      <c r="L662" s="153">
        <v>70.319999999999993</v>
      </c>
      <c r="M662" s="80">
        <f t="shared" si="20"/>
        <v>70.33</v>
      </c>
      <c r="N662" s="80">
        <f t="shared" si="21"/>
        <v>70.3</v>
      </c>
      <c r="O662" s="153">
        <v>21.11</v>
      </c>
      <c r="P662" s="153">
        <v>21.01</v>
      </c>
      <c r="Q662" s="153">
        <v>21.11</v>
      </c>
      <c r="R662" s="153">
        <v>21.06</v>
      </c>
      <c r="S662" s="4"/>
      <c r="U662" s="147" t="s">
        <v>739</v>
      </c>
      <c r="V662" s="11"/>
      <c r="W662" s="4"/>
      <c r="X662" s="12"/>
      <c r="Y662" s="14"/>
      <c r="Z662" s="4"/>
      <c r="AA662" s="13"/>
      <c r="AB662" s="11"/>
      <c r="AC662" s="4"/>
      <c r="AD662" s="12"/>
      <c r="AE662" s="13"/>
      <c r="AF662" s="14">
        <v>5.0255000000000001</v>
      </c>
      <c r="AG662" s="133"/>
      <c r="AI662" s="84"/>
      <c r="AL662" s="64">
        <v>4.1715165000000001</v>
      </c>
      <c r="AM662" s="56">
        <v>15.41999999999994</v>
      </c>
      <c r="AN662" s="56">
        <v>17.45999999999999</v>
      </c>
      <c r="AO662" s="62">
        <v>23.68000000000006</v>
      </c>
      <c r="AQ662" s="64">
        <v>4.0808384666666662</v>
      </c>
      <c r="AR662" s="56">
        <v>14.87999999999996</v>
      </c>
      <c r="AS662" s="56">
        <v>16.39999999999997</v>
      </c>
      <c r="AT662" s="62">
        <v>20.719999999999938</v>
      </c>
      <c r="AV662" s="64">
        <v>3.72745595</v>
      </c>
      <c r="AW662" s="56">
        <v>14.41999999999997</v>
      </c>
      <c r="AX662" s="56">
        <v>15.920000000000019</v>
      </c>
      <c r="AY662" s="62">
        <v>20.88000000000001</v>
      </c>
      <c r="BA662" s="64">
        <v>3.18187335</v>
      </c>
      <c r="BB662" s="56">
        <v>17.399999999999949</v>
      </c>
      <c r="BC662" s="56">
        <v>19.979999999999979</v>
      </c>
      <c r="BD662" s="62">
        <v>32.439999999999984</v>
      </c>
      <c r="BF662" s="64">
        <v>2.9452628500000002</v>
      </c>
      <c r="BG662" s="56">
        <v>21.539999999999981</v>
      </c>
      <c r="BH662" s="56">
        <v>29.11999999999999</v>
      </c>
      <c r="BI662" s="62">
        <v>59.539999999999971</v>
      </c>
      <c r="BJ662" s="69"/>
      <c r="BK662" s="51"/>
    </row>
    <row r="663" spans="1:63" x14ac:dyDescent="0.4">
      <c r="A663" s="11" t="s">
        <v>740</v>
      </c>
      <c r="B663" s="4"/>
      <c r="C663" s="4"/>
      <c r="D663" s="4"/>
      <c r="E663" s="12"/>
      <c r="G663" s="147" t="s">
        <v>740</v>
      </c>
      <c r="H663" s="159">
        <v>70.054000000000002</v>
      </c>
      <c r="I663" s="153">
        <v>70.3</v>
      </c>
      <c r="J663" s="153">
        <v>70.28</v>
      </c>
      <c r="K663" s="153">
        <v>70.349999999999994</v>
      </c>
      <c r="L663" s="153">
        <v>70.36</v>
      </c>
      <c r="M663" s="80">
        <f t="shared" si="20"/>
        <v>70.36</v>
      </c>
      <c r="N663" s="80">
        <f t="shared" si="21"/>
        <v>70.28</v>
      </c>
      <c r="O663" s="153">
        <v>21.1</v>
      </c>
      <c r="P663" s="153">
        <v>21.12</v>
      </c>
      <c r="Q663" s="153">
        <v>21.09</v>
      </c>
      <c r="R663" s="153">
        <v>21.05</v>
      </c>
      <c r="S663" s="4"/>
      <c r="U663" s="147" t="s">
        <v>740</v>
      </c>
      <c r="V663" s="11"/>
      <c r="W663" s="4"/>
      <c r="X663" s="12"/>
      <c r="Y663" s="14"/>
      <c r="Z663" s="4"/>
      <c r="AA663" s="13"/>
      <c r="AB663" s="11"/>
      <c r="AC663" s="4"/>
      <c r="AD663" s="12"/>
      <c r="AE663" s="13"/>
      <c r="AF663" s="14">
        <v>5.0252999999999997</v>
      </c>
      <c r="AG663" s="133"/>
      <c r="AI663" s="84"/>
      <c r="AL663" s="64">
        <v>4.1726082166666663</v>
      </c>
      <c r="AM663" s="56">
        <v>14.160000000000039</v>
      </c>
      <c r="AN663" s="56">
        <v>16.060000000000048</v>
      </c>
      <c r="AO663" s="62">
        <v>22.18</v>
      </c>
      <c r="AQ663" s="64">
        <v>4.0811912333333336</v>
      </c>
      <c r="AR663" s="56">
        <v>13.51999999999993</v>
      </c>
      <c r="AS663" s="56">
        <v>14.89999999999991</v>
      </c>
      <c r="AT663" s="62">
        <v>18.900000000000009</v>
      </c>
      <c r="AV663" s="64">
        <v>3.727933549999999</v>
      </c>
      <c r="AW663" s="56">
        <v>13.02000000000003</v>
      </c>
      <c r="AX663" s="56">
        <v>14.42000000000005</v>
      </c>
      <c r="AY663" s="62">
        <v>19.06000000000008</v>
      </c>
      <c r="BA663" s="64">
        <v>3.18673165</v>
      </c>
      <c r="BB663" s="56">
        <v>15.81999999999999</v>
      </c>
      <c r="BC663" s="56">
        <v>18.239999999999949</v>
      </c>
      <c r="BD663" s="62">
        <v>30.019999999999939</v>
      </c>
      <c r="BF663" s="64">
        <v>2.9436553166666668</v>
      </c>
      <c r="BG663" s="56">
        <v>19.799999999999951</v>
      </c>
      <c r="BH663" s="56">
        <v>27.06</v>
      </c>
      <c r="BI663" s="62">
        <v>56.780000000000008</v>
      </c>
      <c r="BJ663" s="69"/>
      <c r="BK663" s="51"/>
    </row>
    <row r="664" spans="1:63" x14ac:dyDescent="0.4">
      <c r="A664" s="11" t="s">
        <v>741</v>
      </c>
      <c r="B664" s="4"/>
      <c r="C664" s="4"/>
      <c r="D664" s="4"/>
      <c r="E664" s="12"/>
      <c r="G664" s="147" t="s">
        <v>741</v>
      </c>
      <c r="H664" s="159">
        <v>69.954999999999998</v>
      </c>
      <c r="I664" s="153">
        <v>70.349999999999994</v>
      </c>
      <c r="J664" s="153">
        <v>70.33</v>
      </c>
      <c r="K664" s="153">
        <v>70.319999999999993</v>
      </c>
      <c r="L664" s="153">
        <v>70.38</v>
      </c>
      <c r="M664" s="80">
        <f t="shared" si="20"/>
        <v>70.38</v>
      </c>
      <c r="N664" s="80">
        <f t="shared" si="21"/>
        <v>70.319999999999993</v>
      </c>
      <c r="O664" s="153">
        <v>21.15</v>
      </c>
      <c r="P664" s="153">
        <v>21.1</v>
      </c>
      <c r="Q664" s="153">
        <v>21.14</v>
      </c>
      <c r="R664" s="153">
        <v>21.1</v>
      </c>
      <c r="S664" s="4"/>
      <c r="U664" s="147" t="s">
        <v>741</v>
      </c>
      <c r="V664" s="11"/>
      <c r="W664" s="4"/>
      <c r="X664" s="12"/>
      <c r="Y664" s="14"/>
      <c r="Z664" s="4"/>
      <c r="AA664" s="13"/>
      <c r="AB664" s="11"/>
      <c r="AC664" s="4"/>
      <c r="AD664" s="12"/>
      <c r="AE664" s="35"/>
      <c r="AF664" s="14">
        <v>5.0225</v>
      </c>
      <c r="AG664" s="133"/>
      <c r="AI664" s="84"/>
      <c r="AL664" s="64">
        <v>4.1726523833333333</v>
      </c>
      <c r="AM664" s="56">
        <v>14.19999999999995</v>
      </c>
      <c r="AN664" s="56">
        <v>16.099999999999959</v>
      </c>
      <c r="AO664" s="62">
        <v>22.259999999999991</v>
      </c>
      <c r="AQ664" s="64">
        <v>4.0814301333333338</v>
      </c>
      <c r="AR664" s="56">
        <v>13.56000000000002</v>
      </c>
      <c r="AS664" s="56">
        <v>14.94</v>
      </c>
      <c r="AT664" s="62">
        <v>18.96000000000004</v>
      </c>
      <c r="AV664" s="64">
        <v>3.728172966666667</v>
      </c>
      <c r="AW664" s="56">
        <v>13.079999999999981</v>
      </c>
      <c r="AX664" s="56">
        <v>14.48</v>
      </c>
      <c r="AY664" s="62">
        <v>19.139999999999979</v>
      </c>
      <c r="BA664" s="64">
        <v>3.18645735</v>
      </c>
      <c r="BB664" s="56">
        <v>15.939999999999969</v>
      </c>
      <c r="BC664" s="56">
        <v>18.379999999999971</v>
      </c>
      <c r="BD664" s="62">
        <v>30.18000000000001</v>
      </c>
      <c r="BF664" s="64">
        <v>2.9419179166666671</v>
      </c>
      <c r="BG664" s="56">
        <v>19.840000000000039</v>
      </c>
      <c r="BH664" s="56">
        <v>27.24000000000002</v>
      </c>
      <c r="BI664" s="62">
        <v>57.160000000000011</v>
      </c>
      <c r="BJ664" s="70"/>
      <c r="BK664" s="51"/>
    </row>
    <row r="665" spans="1:63" x14ac:dyDescent="0.4">
      <c r="A665" s="11" t="s">
        <v>742</v>
      </c>
      <c r="B665" s="4"/>
      <c r="C665" s="4"/>
      <c r="D665" s="4"/>
      <c r="E665" s="12"/>
      <c r="G665" s="147" t="s">
        <v>742</v>
      </c>
      <c r="H665" s="159">
        <v>69.951999999999998</v>
      </c>
      <c r="I665" s="153">
        <v>70.34</v>
      </c>
      <c r="J665" s="153">
        <v>70.33</v>
      </c>
      <c r="K665" s="153">
        <v>70.27</v>
      </c>
      <c r="L665" s="153">
        <v>70.31</v>
      </c>
      <c r="M665" s="80">
        <f t="shared" si="20"/>
        <v>70.34</v>
      </c>
      <c r="N665" s="80">
        <f t="shared" si="21"/>
        <v>70.27</v>
      </c>
      <c r="O665" s="153">
        <v>21.16</v>
      </c>
      <c r="P665" s="153">
        <v>21.11</v>
      </c>
      <c r="Q665" s="153">
        <v>21.15</v>
      </c>
      <c r="R665" s="153">
        <v>21.09</v>
      </c>
      <c r="S665" s="4"/>
      <c r="U665" s="147" t="s">
        <v>742</v>
      </c>
      <c r="V665" s="11"/>
      <c r="W665" s="4"/>
      <c r="X665" s="12"/>
      <c r="Y665" s="14"/>
      <c r="Z665" s="4"/>
      <c r="AA665" s="13"/>
      <c r="AB665" s="11"/>
      <c r="AC665" s="4"/>
      <c r="AD665" s="12"/>
      <c r="AE665" s="35"/>
      <c r="AF665" s="14">
        <v>5.0151000000000003</v>
      </c>
      <c r="AG665" s="133"/>
      <c r="AI665" s="84"/>
      <c r="AL665" s="64">
        <v>4.172593916666667</v>
      </c>
      <c r="AM665" s="56">
        <v>14.220000000000081</v>
      </c>
      <c r="AN665" s="56">
        <v>16.14000000000004</v>
      </c>
      <c r="AO665" s="62">
        <v>22.320000000000029</v>
      </c>
      <c r="AQ665" s="64">
        <v>4.0817029166666652</v>
      </c>
      <c r="AR665" s="56">
        <v>13.72</v>
      </c>
      <c r="AS665" s="56">
        <v>15.11999999999993</v>
      </c>
      <c r="AT665" s="62">
        <v>19.179999999999971</v>
      </c>
      <c r="AV665" s="64">
        <v>3.7278689499999991</v>
      </c>
      <c r="AW665" s="56">
        <v>13.320000000000039</v>
      </c>
      <c r="AX665" s="56">
        <v>14.72000000000007</v>
      </c>
      <c r="AY665" s="62">
        <v>19.40000000000008</v>
      </c>
      <c r="BA665" s="64">
        <v>3.1857862166666679</v>
      </c>
      <c r="BB665" s="56">
        <v>16.38000000000002</v>
      </c>
      <c r="BC665" s="56">
        <v>18.839999999999971</v>
      </c>
      <c r="BD665" s="62">
        <v>30.779999999999941</v>
      </c>
      <c r="BF665" s="64">
        <v>2.9412695499999999</v>
      </c>
      <c r="BG665" s="56">
        <v>20.460000000000012</v>
      </c>
      <c r="BH665" s="56">
        <v>27.86</v>
      </c>
      <c r="BI665" s="62">
        <v>57.920000000000023</v>
      </c>
      <c r="BJ665" s="70"/>
      <c r="BK665" s="51"/>
    </row>
    <row r="666" spans="1:63" x14ac:dyDescent="0.4">
      <c r="A666" s="11" t="s">
        <v>743</v>
      </c>
      <c r="B666" s="4"/>
      <c r="C666" s="4"/>
      <c r="D666" s="4"/>
      <c r="E666" s="12"/>
      <c r="G666" s="147" t="s">
        <v>743</v>
      </c>
      <c r="H666" s="159">
        <v>70.004999999999995</v>
      </c>
      <c r="I666" s="153">
        <v>70.319999999999993</v>
      </c>
      <c r="J666" s="153">
        <v>70.319999999999993</v>
      </c>
      <c r="K666" s="153">
        <v>70.349999999999994</v>
      </c>
      <c r="L666" s="153">
        <v>70.34</v>
      </c>
      <c r="M666" s="80">
        <f t="shared" si="20"/>
        <v>70.349999999999994</v>
      </c>
      <c r="N666" s="80">
        <f t="shared" si="21"/>
        <v>70.319999999999993</v>
      </c>
      <c r="O666" s="153">
        <v>21.18</v>
      </c>
      <c r="P666" s="153">
        <v>21.03</v>
      </c>
      <c r="Q666" s="153">
        <v>21.13</v>
      </c>
      <c r="R666" s="153">
        <v>21.09</v>
      </c>
      <c r="S666" s="4"/>
      <c r="U666" s="147" t="s">
        <v>743</v>
      </c>
      <c r="V666" s="11"/>
      <c r="W666" s="4"/>
      <c r="X666" s="12"/>
      <c r="Y666" s="14"/>
      <c r="Z666" s="4"/>
      <c r="AA666" s="13"/>
      <c r="AB666" s="11"/>
      <c r="AC666" s="4"/>
      <c r="AD666" s="12"/>
      <c r="AE666" s="13"/>
      <c r="AF666" s="14">
        <v>4.9985999999999997</v>
      </c>
      <c r="AG666" s="133"/>
      <c r="AI666" s="84"/>
      <c r="AL666" s="64">
        <v>4.1724291833333327</v>
      </c>
      <c r="AM666" s="56">
        <v>14.48</v>
      </c>
      <c r="AN666" s="56">
        <v>16.41999999999992</v>
      </c>
      <c r="AO666" s="62">
        <v>22.599999999999909</v>
      </c>
      <c r="AQ666" s="64">
        <v>4.0824110500000002</v>
      </c>
      <c r="AR666" s="56">
        <v>13.999999999999879</v>
      </c>
      <c r="AS666" s="56">
        <v>15.41999999999994</v>
      </c>
      <c r="AT666" s="62">
        <v>19.539999999999939</v>
      </c>
      <c r="AV666" s="64">
        <v>3.7286070666666662</v>
      </c>
      <c r="AW666" s="56">
        <v>13.619999999999971</v>
      </c>
      <c r="AX666" s="56">
        <v>15.039999999999941</v>
      </c>
      <c r="AY666" s="62">
        <v>19.799999999999951</v>
      </c>
      <c r="BA666" s="64">
        <v>3.1871762499999998</v>
      </c>
      <c r="BB666" s="56">
        <v>16.98000000000004</v>
      </c>
      <c r="BC666" s="56">
        <v>19.519999999999978</v>
      </c>
      <c r="BD666" s="62">
        <v>31.780000000000008</v>
      </c>
      <c r="BF666" s="64">
        <v>2.9605434333333331</v>
      </c>
      <c r="BG666" s="56">
        <v>20.79999999999993</v>
      </c>
      <c r="BH666" s="56">
        <v>27.99999999999994</v>
      </c>
      <c r="BI666" s="62">
        <v>56.739999999999917</v>
      </c>
      <c r="BJ666" s="70"/>
      <c r="BK666" s="51"/>
    </row>
    <row r="667" spans="1:63" x14ac:dyDescent="0.4">
      <c r="A667" s="11" t="s">
        <v>744</v>
      </c>
      <c r="B667" s="4"/>
      <c r="C667" s="4"/>
      <c r="D667" s="4"/>
      <c r="E667" s="12"/>
      <c r="G667" s="147" t="s">
        <v>744</v>
      </c>
      <c r="H667" s="159">
        <v>69.956000000000003</v>
      </c>
      <c r="I667" s="153">
        <v>70.349999999999994</v>
      </c>
      <c r="J667" s="153">
        <v>70.37</v>
      </c>
      <c r="K667" s="153">
        <v>70.38</v>
      </c>
      <c r="L667" s="153">
        <v>70.36</v>
      </c>
      <c r="M667" s="80">
        <f t="shared" si="20"/>
        <v>70.38</v>
      </c>
      <c r="N667" s="80">
        <f t="shared" si="21"/>
        <v>70.349999999999994</v>
      </c>
      <c r="O667" s="153">
        <v>21.06</v>
      </c>
      <c r="P667" s="153">
        <v>21.13</v>
      </c>
      <c r="Q667" s="153">
        <v>21.14</v>
      </c>
      <c r="R667" s="153">
        <v>21.11</v>
      </c>
      <c r="S667" s="4"/>
      <c r="U667" s="147" t="s">
        <v>744</v>
      </c>
      <c r="V667" s="11"/>
      <c r="W667" s="4"/>
      <c r="X667" s="12"/>
      <c r="Y667" s="14"/>
      <c r="Z667" s="4"/>
      <c r="AA667" s="13"/>
      <c r="AB667" s="11"/>
      <c r="AC667" s="4"/>
      <c r="AD667" s="12"/>
      <c r="AE667" s="13"/>
      <c r="AF667" s="14">
        <v>5.0076000000000001</v>
      </c>
      <c r="AG667" s="133"/>
      <c r="AI667" s="84"/>
      <c r="AL667" s="64">
        <v>4.1717654333333334</v>
      </c>
      <c r="AM667" s="56">
        <v>14.19999999999995</v>
      </c>
      <c r="AN667" s="56">
        <v>16.139999999999869</v>
      </c>
      <c r="AO667" s="62">
        <v>22.23999999999986</v>
      </c>
      <c r="AQ667" s="64">
        <v>4.0809180999999999</v>
      </c>
      <c r="AR667" s="56">
        <v>13.580000000000149</v>
      </c>
      <c r="AS667" s="56">
        <v>14.98000000000008</v>
      </c>
      <c r="AT667" s="62">
        <v>19.04000000000012</v>
      </c>
      <c r="AV667" s="64">
        <v>3.7274253000000002</v>
      </c>
      <c r="AW667" s="56">
        <v>13.15999999999997</v>
      </c>
      <c r="AX667" s="56">
        <v>14.54000000000004</v>
      </c>
      <c r="AY667" s="62">
        <v>19.240000000000009</v>
      </c>
      <c r="BA667" s="64">
        <v>3.181009683333333</v>
      </c>
      <c r="BB667" s="56">
        <v>16.280000000000069</v>
      </c>
      <c r="BC667" s="56">
        <v>18.780000000000019</v>
      </c>
      <c r="BD667" s="62">
        <v>31.040000000000049</v>
      </c>
      <c r="BF667" s="64">
        <v>2.9529055500000001</v>
      </c>
      <c r="BG667" s="56">
        <v>20.300000000000029</v>
      </c>
      <c r="BH667" s="56">
        <v>27.660000000000021</v>
      </c>
      <c r="BI667" s="62">
        <v>57.139999999999972</v>
      </c>
      <c r="BJ667" s="70"/>
      <c r="BK667" s="51"/>
    </row>
    <row r="668" spans="1:63" x14ac:dyDescent="0.4">
      <c r="A668" s="11" t="s">
        <v>745</v>
      </c>
      <c r="B668" s="4"/>
      <c r="C668" s="4"/>
      <c r="D668" s="4"/>
      <c r="E668" s="12"/>
      <c r="G668" s="147" t="s">
        <v>745</v>
      </c>
      <c r="H668" s="159">
        <v>70.043999999999997</v>
      </c>
      <c r="I668" s="153">
        <v>70.39</v>
      </c>
      <c r="J668" s="153">
        <v>70.27</v>
      </c>
      <c r="K668" s="153">
        <v>70.3</v>
      </c>
      <c r="L668" s="153">
        <v>70.27</v>
      </c>
      <c r="M668" s="80">
        <f t="shared" si="20"/>
        <v>70.39</v>
      </c>
      <c r="N668" s="80">
        <f t="shared" si="21"/>
        <v>70.27</v>
      </c>
      <c r="O668" s="153">
        <v>21.19</v>
      </c>
      <c r="P668" s="153">
        <v>21.15</v>
      </c>
      <c r="Q668" s="153">
        <v>21.08</v>
      </c>
      <c r="R668" s="153">
        <v>21.06</v>
      </c>
      <c r="S668" s="4"/>
      <c r="U668" s="147" t="s">
        <v>745</v>
      </c>
      <c r="V668" s="11"/>
      <c r="W668" s="4"/>
      <c r="X668" s="12"/>
      <c r="Y668" s="14"/>
      <c r="Z668" s="4"/>
      <c r="AA668" s="13"/>
      <c r="AB668" s="11"/>
      <c r="AC668" s="4"/>
      <c r="AD668" s="12"/>
      <c r="AE668" s="13"/>
      <c r="AF668" s="14">
        <v>5.0000999999999998</v>
      </c>
      <c r="AG668" s="133"/>
      <c r="AI668" s="84"/>
      <c r="AL668" s="64">
        <v>4.1723689166666666</v>
      </c>
      <c r="AM668" s="56">
        <v>14.299999999999891</v>
      </c>
      <c r="AN668" s="56">
        <v>16.1999999999999</v>
      </c>
      <c r="AO668" s="62">
        <v>22.359999999999939</v>
      </c>
      <c r="AQ668" s="64">
        <v>4.0811051666666671</v>
      </c>
      <c r="AR668" s="56">
        <v>13.72</v>
      </c>
      <c r="AS668" s="56">
        <v>15.120000000000109</v>
      </c>
      <c r="AT668" s="62">
        <v>19.200000000000021</v>
      </c>
      <c r="AV668" s="64">
        <v>3.7268610666666668</v>
      </c>
      <c r="AW668" s="56">
        <v>13.320000000000039</v>
      </c>
      <c r="AX668" s="56">
        <v>14.74000000000002</v>
      </c>
      <c r="AY668" s="62">
        <v>19.439999999999991</v>
      </c>
      <c r="BA668" s="64">
        <v>3.1835186666666671</v>
      </c>
      <c r="BB668" s="56">
        <v>16.640000000000029</v>
      </c>
      <c r="BC668" s="56">
        <v>19.160000000000021</v>
      </c>
      <c r="BD668" s="62">
        <v>31.44</v>
      </c>
      <c r="BF668" s="64">
        <v>2.9598429166666671</v>
      </c>
      <c r="BG668" s="56">
        <v>20.58</v>
      </c>
      <c r="BH668" s="56">
        <v>27.95999999999994</v>
      </c>
      <c r="BI668" s="62">
        <v>56.97999999999999</v>
      </c>
      <c r="BJ668" s="70"/>
      <c r="BK668" s="51"/>
    </row>
    <row r="669" spans="1:63" x14ac:dyDescent="0.4">
      <c r="A669" s="11" t="s">
        <v>746</v>
      </c>
      <c r="B669" s="4"/>
      <c r="C669" s="4"/>
      <c r="D669" s="4"/>
      <c r="E669" s="12"/>
      <c r="G669" s="147" t="s">
        <v>746</v>
      </c>
      <c r="H669" s="159">
        <v>70.052999999999997</v>
      </c>
      <c r="I669" s="153">
        <v>70.349999999999994</v>
      </c>
      <c r="J669" s="153">
        <v>70.39</v>
      </c>
      <c r="K669" s="153">
        <v>70.3</v>
      </c>
      <c r="L669" s="153">
        <v>70.39</v>
      </c>
      <c r="M669" s="80">
        <f t="shared" si="20"/>
        <v>70.39</v>
      </c>
      <c r="N669" s="80">
        <f t="shared" si="21"/>
        <v>70.3</v>
      </c>
      <c r="O669" s="153">
        <v>21.17</v>
      </c>
      <c r="P669" s="153">
        <v>21.07</v>
      </c>
      <c r="Q669" s="153">
        <v>21.11</v>
      </c>
      <c r="R669" s="153">
        <v>21.07</v>
      </c>
      <c r="S669" s="4"/>
      <c r="U669" s="147" t="s">
        <v>746</v>
      </c>
      <c r="V669" s="11"/>
      <c r="W669" s="4"/>
      <c r="X669" s="12"/>
      <c r="Y669" s="14"/>
      <c r="Z669" s="4"/>
      <c r="AA669" s="13"/>
      <c r="AB669" s="11"/>
      <c r="AC669" s="4"/>
      <c r="AD669" s="12"/>
      <c r="AE669" s="13"/>
      <c r="AF669" s="14">
        <v>5.0403000000000002</v>
      </c>
      <c r="AG669" s="133"/>
      <c r="AI669" s="84"/>
      <c r="AL669" s="64">
        <v>4.1716850000000001</v>
      </c>
      <c r="AM669" s="56">
        <v>14.119999999999949</v>
      </c>
      <c r="AN669" s="56">
        <v>16.039999999999921</v>
      </c>
      <c r="AO669" s="62">
        <v>22.119999999999958</v>
      </c>
      <c r="AQ669" s="64">
        <v>4.0826062166666661</v>
      </c>
      <c r="AR669" s="56">
        <v>13.72</v>
      </c>
      <c r="AS669" s="56">
        <v>15.140000000000059</v>
      </c>
      <c r="AT669" s="62">
        <v>19.200000000000021</v>
      </c>
      <c r="AV669" s="64">
        <v>3.728593266666667</v>
      </c>
      <c r="AW669" s="56">
        <v>13.3</v>
      </c>
      <c r="AX669" s="56">
        <v>14.700000000000021</v>
      </c>
      <c r="AY669" s="62">
        <v>19.399999999999999</v>
      </c>
      <c r="BA669" s="64">
        <v>3.181972083333334</v>
      </c>
      <c r="BB669" s="56">
        <v>16.440000000000051</v>
      </c>
      <c r="BC669" s="56">
        <v>19.019999999999989</v>
      </c>
      <c r="BD669" s="62">
        <v>31.380000000000049</v>
      </c>
      <c r="BF669" s="64">
        <v>2.9536283166666659</v>
      </c>
      <c r="BG669" s="56">
        <v>20.340000000000021</v>
      </c>
      <c r="BH669" s="56">
        <v>27.940000000000079</v>
      </c>
      <c r="BI669" s="62">
        <v>57.840000000000018</v>
      </c>
      <c r="BJ669" s="69"/>
      <c r="BK669" s="51"/>
    </row>
    <row r="670" spans="1:63" x14ac:dyDescent="0.4">
      <c r="A670" s="11" t="s">
        <v>747</v>
      </c>
      <c r="B670" s="4"/>
      <c r="C670" s="4"/>
      <c r="D670" s="4"/>
      <c r="E670" s="12"/>
      <c r="G670" s="147" t="s">
        <v>747</v>
      </c>
      <c r="H670" s="159">
        <v>69.938999999999993</v>
      </c>
      <c r="I670" s="153">
        <v>70.28</v>
      </c>
      <c r="J670" s="153">
        <v>70.39</v>
      </c>
      <c r="K670" s="153">
        <v>70.319999999999993</v>
      </c>
      <c r="L670" s="153">
        <v>70.28</v>
      </c>
      <c r="M670" s="80">
        <f t="shared" si="20"/>
        <v>70.39</v>
      </c>
      <c r="N670" s="80">
        <f t="shared" si="21"/>
        <v>70.28</v>
      </c>
      <c r="O670" s="153">
        <v>21.08</v>
      </c>
      <c r="P670" s="153">
        <v>21.16</v>
      </c>
      <c r="Q670" s="153">
        <v>21.12</v>
      </c>
      <c r="R670" s="153">
        <v>21.06</v>
      </c>
      <c r="S670" s="4"/>
      <c r="U670" s="147" t="s">
        <v>747</v>
      </c>
      <c r="V670" s="11"/>
      <c r="W670" s="4"/>
      <c r="X670" s="12"/>
      <c r="Y670" s="14"/>
      <c r="Z670" s="4"/>
      <c r="AA670" s="13"/>
      <c r="AB670" s="11"/>
      <c r="AC670" s="4"/>
      <c r="AD670" s="12"/>
      <c r="AE670" s="13"/>
      <c r="AF670" s="14">
        <v>5.0113000000000003</v>
      </c>
      <c r="AG670" s="133"/>
      <c r="AI670" s="84"/>
      <c r="AL670" s="64">
        <v>4.1717752333333333</v>
      </c>
      <c r="AM670" s="56">
        <v>14.00000000000006</v>
      </c>
      <c r="AN670" s="56">
        <v>15.90000000000007</v>
      </c>
      <c r="AO670" s="62">
        <v>22.119999999999958</v>
      </c>
      <c r="AQ670" s="64">
        <v>4.0820056166666667</v>
      </c>
      <c r="AR670" s="56">
        <v>13.73999999999995</v>
      </c>
      <c r="AS670" s="56">
        <v>15.11999999999993</v>
      </c>
      <c r="AT670" s="62">
        <v>19.199999999999928</v>
      </c>
      <c r="AV670" s="64">
        <v>3.7287392499999998</v>
      </c>
      <c r="AW670" s="56">
        <v>13.36000000000004</v>
      </c>
      <c r="AX670" s="56">
        <v>14.76000000000006</v>
      </c>
      <c r="AY670" s="62">
        <v>19.500000000000028</v>
      </c>
      <c r="BA670" s="64">
        <v>3.191979733333334</v>
      </c>
      <c r="BB670" s="56">
        <v>16.54</v>
      </c>
      <c r="BC670" s="56">
        <v>18.959999999999951</v>
      </c>
      <c r="BD670" s="62">
        <v>30.69999999999995</v>
      </c>
      <c r="BF670" s="64">
        <v>2.9414834000000001</v>
      </c>
      <c r="BG670" s="56">
        <v>20.55999999999996</v>
      </c>
      <c r="BH670" s="56">
        <v>27.939999999999991</v>
      </c>
      <c r="BI670" s="62">
        <v>58.000000000000007</v>
      </c>
      <c r="BJ670" s="69"/>
      <c r="BK670" s="51"/>
    </row>
    <row r="671" spans="1:63" x14ac:dyDescent="0.4">
      <c r="A671" s="11" t="s">
        <v>748</v>
      </c>
      <c r="B671" s="4"/>
      <c r="C671" s="4"/>
      <c r="D671" s="4"/>
      <c r="E671" s="12"/>
      <c r="G671" s="147" t="s">
        <v>748</v>
      </c>
      <c r="H671" s="159">
        <v>70.05</v>
      </c>
      <c r="I671" s="153">
        <v>70.33</v>
      </c>
      <c r="J671" s="153">
        <v>70.3</v>
      </c>
      <c r="K671" s="153">
        <v>70.31</v>
      </c>
      <c r="L671" s="153">
        <v>70.31</v>
      </c>
      <c r="M671" s="80">
        <f t="shared" si="20"/>
        <v>70.33</v>
      </c>
      <c r="N671" s="80">
        <f t="shared" si="21"/>
        <v>70.3</v>
      </c>
      <c r="O671" s="153">
        <v>21.21</v>
      </c>
      <c r="P671" s="153">
        <v>21.07</v>
      </c>
      <c r="Q671" s="153">
        <v>21.16</v>
      </c>
      <c r="R671" s="153">
        <v>21.1</v>
      </c>
      <c r="S671" s="4"/>
      <c r="U671" s="147" t="s">
        <v>748</v>
      </c>
      <c r="V671" s="11"/>
      <c r="W671" s="4"/>
      <c r="X671" s="12"/>
      <c r="Y671" s="14"/>
      <c r="Z671" s="4"/>
      <c r="AA671" s="13"/>
      <c r="AB671" s="11"/>
      <c r="AC671" s="4"/>
      <c r="AD671" s="12"/>
      <c r="AE671" s="13"/>
      <c r="AF671" s="14">
        <v>4.9980000000000002</v>
      </c>
      <c r="AG671" s="133"/>
      <c r="AI671" s="84"/>
      <c r="AL671" s="64">
        <v>4.1722434499999999</v>
      </c>
      <c r="AM671" s="56">
        <v>14.30000000000007</v>
      </c>
      <c r="AN671" s="56">
        <v>16.220000000000031</v>
      </c>
      <c r="AO671" s="62">
        <v>22.36000000000011</v>
      </c>
      <c r="AQ671" s="64">
        <v>4.0820070666666668</v>
      </c>
      <c r="AR671" s="56">
        <v>13.86000000000003</v>
      </c>
      <c r="AS671" s="56">
        <v>15.279999999999919</v>
      </c>
      <c r="AT671" s="62">
        <v>19.379999999999949</v>
      </c>
      <c r="AV671" s="64">
        <v>3.7278251166666658</v>
      </c>
      <c r="AW671" s="56">
        <v>13.520000000000019</v>
      </c>
      <c r="AX671" s="56">
        <v>14.94</v>
      </c>
      <c r="AY671" s="62">
        <v>19.679999999999961</v>
      </c>
      <c r="BA671" s="64">
        <v>3.183400166666666</v>
      </c>
      <c r="BB671" s="56">
        <v>16.72000000000002</v>
      </c>
      <c r="BC671" s="56">
        <v>19.21999999999997</v>
      </c>
      <c r="BD671" s="62">
        <v>31.37999999999996</v>
      </c>
      <c r="BF671" s="64">
        <v>2.946181783333333</v>
      </c>
      <c r="BG671" s="56">
        <v>20.639999999999951</v>
      </c>
      <c r="BH671" s="56">
        <v>27.740000000000009</v>
      </c>
      <c r="BI671" s="62">
        <v>56.999999999999943</v>
      </c>
      <c r="BJ671" s="70"/>
      <c r="BK671" s="51"/>
    </row>
    <row r="672" spans="1:63" x14ac:dyDescent="0.4">
      <c r="A672" s="11" t="s">
        <v>749</v>
      </c>
      <c r="B672" s="4"/>
      <c r="C672" s="4"/>
      <c r="D672" s="4"/>
      <c r="E672" s="12"/>
      <c r="G672" s="147" t="s">
        <v>749</v>
      </c>
      <c r="H672" s="159">
        <v>69.953999999999994</v>
      </c>
      <c r="I672" s="153">
        <v>70.37</v>
      </c>
      <c r="J672" s="153">
        <v>70.34</v>
      </c>
      <c r="K672" s="153">
        <v>70.31</v>
      </c>
      <c r="L672" s="153">
        <v>70.349999999999994</v>
      </c>
      <c r="M672" s="80">
        <f t="shared" si="20"/>
        <v>70.37</v>
      </c>
      <c r="N672" s="80">
        <f t="shared" si="21"/>
        <v>70.31</v>
      </c>
      <c r="O672" s="153">
        <v>21.13</v>
      </c>
      <c r="P672" s="153">
        <v>21.06</v>
      </c>
      <c r="Q672" s="153">
        <v>21.09</v>
      </c>
      <c r="R672" s="153">
        <v>21.08</v>
      </c>
      <c r="S672" s="4"/>
      <c r="U672" s="147" t="s">
        <v>749</v>
      </c>
      <c r="V672" s="11"/>
      <c r="W672" s="4"/>
      <c r="X672" s="12"/>
      <c r="Y672" s="14"/>
      <c r="Z672" s="4"/>
      <c r="AA672" s="13"/>
      <c r="AB672" s="11"/>
      <c r="AC672" s="4"/>
      <c r="AD672" s="12"/>
      <c r="AE672" s="13"/>
      <c r="AF672" s="14">
        <v>5.0246000000000004</v>
      </c>
      <c r="AG672" s="133"/>
      <c r="AI672" s="84"/>
      <c r="AL672" s="64">
        <v>4.1716365</v>
      </c>
      <c r="AM672" s="56">
        <v>15.359999999999911</v>
      </c>
      <c r="AN672" s="56">
        <v>17.38</v>
      </c>
      <c r="AO672" s="62">
        <v>23.73999999999992</v>
      </c>
      <c r="AQ672" s="64">
        <v>4.0827986333333328</v>
      </c>
      <c r="AR672" s="56">
        <v>14.979999999999899</v>
      </c>
      <c r="AS672" s="56">
        <v>16.479999999999961</v>
      </c>
      <c r="AT672" s="62">
        <v>20.79999999999993</v>
      </c>
      <c r="AV672" s="64">
        <v>3.7297008833333329</v>
      </c>
      <c r="AW672" s="56">
        <v>14.66000000000003</v>
      </c>
      <c r="AX672" s="56">
        <v>16.14000000000004</v>
      </c>
      <c r="AY672" s="62">
        <v>21.11999999999998</v>
      </c>
      <c r="BA672" s="64">
        <v>3.184627266666666</v>
      </c>
      <c r="BB672" s="56">
        <v>17.820000000000039</v>
      </c>
      <c r="BC672" s="56">
        <v>20.439999999999969</v>
      </c>
      <c r="BD672" s="62">
        <v>33.04</v>
      </c>
      <c r="BF672" s="64">
        <v>2.9511721166666671</v>
      </c>
      <c r="BG672" s="56">
        <v>21.739999999999959</v>
      </c>
      <c r="BH672" s="56">
        <v>29.140000000000029</v>
      </c>
      <c r="BI672" s="62">
        <v>58.940000000000033</v>
      </c>
      <c r="BJ672" s="69"/>
      <c r="BK672" s="51"/>
    </row>
    <row r="673" spans="1:63" x14ac:dyDescent="0.4">
      <c r="A673" s="11" t="s">
        <v>750</v>
      </c>
      <c r="B673" s="4"/>
      <c r="C673" s="4"/>
      <c r="D673" s="4"/>
      <c r="E673" s="12"/>
      <c r="G673" s="147" t="s">
        <v>750</v>
      </c>
      <c r="H673" s="159">
        <v>69.989999999999995</v>
      </c>
      <c r="I673" s="153">
        <v>70.36</v>
      </c>
      <c r="J673" s="153">
        <v>70.31</v>
      </c>
      <c r="K673" s="153">
        <v>70.319999999999993</v>
      </c>
      <c r="L673" s="153">
        <v>70.290000000000006</v>
      </c>
      <c r="M673" s="80">
        <f t="shared" si="20"/>
        <v>70.36</v>
      </c>
      <c r="N673" s="80">
        <f t="shared" si="21"/>
        <v>70.290000000000006</v>
      </c>
      <c r="O673" s="153">
        <v>21.19</v>
      </c>
      <c r="P673" s="153">
        <v>21.04</v>
      </c>
      <c r="Q673" s="153">
        <v>21.11</v>
      </c>
      <c r="R673" s="153">
        <v>21.08</v>
      </c>
      <c r="S673" s="4"/>
      <c r="U673" s="147" t="s">
        <v>750</v>
      </c>
      <c r="V673" s="11"/>
      <c r="W673" s="4"/>
      <c r="X673" s="12"/>
      <c r="Y673" s="14"/>
      <c r="Z673" s="4"/>
      <c r="AA673" s="13"/>
      <c r="AB673" s="11"/>
      <c r="AC673" s="4"/>
      <c r="AD673" s="12"/>
      <c r="AE673" s="13"/>
      <c r="AF673" s="14">
        <v>5.0240999999999998</v>
      </c>
      <c r="AG673" s="133"/>
      <c r="AI673" s="84"/>
      <c r="AL673" s="64">
        <v>4.1719899833333329</v>
      </c>
      <c r="AM673" s="56">
        <v>14.32000000000002</v>
      </c>
      <c r="AN673" s="56">
        <v>16.259999999999941</v>
      </c>
      <c r="AO673" s="62">
        <v>22.45999999999988</v>
      </c>
      <c r="AQ673" s="64">
        <v>4.0834464833333328</v>
      </c>
      <c r="AR673" s="56">
        <v>14.13999999999991</v>
      </c>
      <c r="AS673" s="56">
        <v>15.55999999999997</v>
      </c>
      <c r="AT673" s="62">
        <v>19.70000000000001</v>
      </c>
      <c r="AV673" s="64">
        <v>3.7306585499999998</v>
      </c>
      <c r="AW673" s="56">
        <v>13.78000000000004</v>
      </c>
      <c r="AX673" s="56">
        <v>15.220000000000059</v>
      </c>
      <c r="AY673" s="62">
        <v>20.000000000000021</v>
      </c>
      <c r="BA673" s="64">
        <v>3.1893030166666669</v>
      </c>
      <c r="BB673" s="56">
        <v>16.779999999999969</v>
      </c>
      <c r="BC673" s="56">
        <v>19.299999999999962</v>
      </c>
      <c r="BD673" s="62">
        <v>31.339999999999961</v>
      </c>
      <c r="BF673" s="64">
        <v>2.9456446833333332</v>
      </c>
      <c r="BG673" s="56">
        <v>20.740000000000069</v>
      </c>
      <c r="BH673" s="56">
        <v>28.14000000000005</v>
      </c>
      <c r="BI673" s="62">
        <v>57.940000000000062</v>
      </c>
      <c r="BJ673" s="69"/>
      <c r="BK673" s="51"/>
    </row>
    <row r="674" spans="1:63" x14ac:dyDescent="0.4">
      <c r="A674" s="11" t="s">
        <v>751</v>
      </c>
      <c r="B674" s="4"/>
      <c r="C674" s="4"/>
      <c r="D674" s="4"/>
      <c r="E674" s="12"/>
      <c r="G674" s="147" t="s">
        <v>751</v>
      </c>
      <c r="H674" s="159">
        <v>69.995000000000005</v>
      </c>
      <c r="I674" s="153">
        <v>70.290000000000006</v>
      </c>
      <c r="J674" s="153">
        <v>70.36</v>
      </c>
      <c r="K674" s="153">
        <v>70.290000000000006</v>
      </c>
      <c r="L674" s="153">
        <v>70.34</v>
      </c>
      <c r="M674" s="80">
        <f t="shared" si="20"/>
        <v>70.36</v>
      </c>
      <c r="N674" s="80">
        <f t="shared" si="21"/>
        <v>70.290000000000006</v>
      </c>
      <c r="O674" s="153">
        <v>21.11</v>
      </c>
      <c r="P674" s="153">
        <v>21.02</v>
      </c>
      <c r="Q674" s="153">
        <v>21.17</v>
      </c>
      <c r="R674" s="153">
        <v>21.08</v>
      </c>
      <c r="S674" s="4"/>
      <c r="U674" s="147" t="s">
        <v>751</v>
      </c>
      <c r="V674" s="11"/>
      <c r="W674" s="4"/>
      <c r="X674" s="12"/>
      <c r="Y674" s="14"/>
      <c r="Z674" s="4"/>
      <c r="AA674" s="13"/>
      <c r="AB674" s="11"/>
      <c r="AC674" s="4"/>
      <c r="AD674" s="12"/>
      <c r="AE674" s="13"/>
      <c r="AF674" s="14">
        <v>5.0160999999999998</v>
      </c>
      <c r="AG674" s="133"/>
      <c r="AI674" s="84"/>
      <c r="AL674" s="64">
        <v>4.1722542000000002</v>
      </c>
      <c r="AM674" s="56">
        <v>13.78000000000004</v>
      </c>
      <c r="AN674" s="56">
        <v>15.680000000000049</v>
      </c>
      <c r="AO674" s="62">
        <v>21.8</v>
      </c>
      <c r="AQ674" s="64">
        <v>4.0828938333333351</v>
      </c>
      <c r="AR674" s="56">
        <v>13.480000000000031</v>
      </c>
      <c r="AS674" s="56">
        <v>14.86000000000001</v>
      </c>
      <c r="AT674" s="62">
        <v>18.880000000000049</v>
      </c>
      <c r="AV674" s="64">
        <v>3.729937516666666</v>
      </c>
      <c r="AW674" s="56">
        <v>13.02000000000003</v>
      </c>
      <c r="AX674" s="56">
        <v>14.400000000000009</v>
      </c>
      <c r="AY674" s="62">
        <v>19.059999999999992</v>
      </c>
      <c r="BA674" s="64">
        <v>3.189681666666667</v>
      </c>
      <c r="BB674" s="56">
        <v>15.74</v>
      </c>
      <c r="BC674" s="56">
        <v>18.14</v>
      </c>
      <c r="BD674" s="62">
        <v>29.88</v>
      </c>
      <c r="BF674" s="64">
        <v>2.9471796499999998</v>
      </c>
      <c r="BG674" s="56">
        <v>19.600000000000058</v>
      </c>
      <c r="BH674" s="56">
        <v>26.800000000000072</v>
      </c>
      <c r="BI674" s="62">
        <v>56.260000000000069</v>
      </c>
      <c r="BJ674" s="69"/>
      <c r="BK674" s="51"/>
    </row>
    <row r="675" spans="1:63" x14ac:dyDescent="0.4">
      <c r="A675" s="11" t="s">
        <v>752</v>
      </c>
      <c r="B675" s="4"/>
      <c r="C675" s="4"/>
      <c r="D675" s="4"/>
      <c r="E675" s="12"/>
      <c r="G675" s="147" t="s">
        <v>752</v>
      </c>
      <c r="H675" s="159">
        <v>69.971000000000004</v>
      </c>
      <c r="I675" s="153">
        <v>70.36</v>
      </c>
      <c r="J675" s="153">
        <v>70.28</v>
      </c>
      <c r="K675" s="153">
        <v>70.34</v>
      </c>
      <c r="L675" s="153">
        <v>70.3</v>
      </c>
      <c r="M675" s="80">
        <f t="shared" si="20"/>
        <v>70.36</v>
      </c>
      <c r="N675" s="80">
        <f t="shared" si="21"/>
        <v>70.28</v>
      </c>
      <c r="O675" s="153">
        <v>21.17</v>
      </c>
      <c r="P675" s="153">
        <v>21.1</v>
      </c>
      <c r="Q675" s="153">
        <v>21.15</v>
      </c>
      <c r="R675" s="153">
        <v>21.09</v>
      </c>
      <c r="S675" s="4"/>
      <c r="U675" s="147" t="s">
        <v>752</v>
      </c>
      <c r="V675" s="11"/>
      <c r="W675" s="4"/>
      <c r="X675" s="12"/>
      <c r="Y675" s="14"/>
      <c r="Z675" s="4"/>
      <c r="AA675" s="13"/>
      <c r="AB675" s="11"/>
      <c r="AC675" s="4"/>
      <c r="AD675" s="12"/>
      <c r="AE675" s="13"/>
      <c r="AF675" s="14">
        <v>5.0075000000000003</v>
      </c>
      <c r="AG675" s="133"/>
      <c r="AI675" s="84"/>
      <c r="AL675" s="64">
        <v>4.1718990833333338</v>
      </c>
      <c r="AM675" s="56">
        <v>14.380000000000059</v>
      </c>
      <c r="AN675" s="56">
        <v>16.300000000000029</v>
      </c>
      <c r="AO675" s="62">
        <v>22.460000000000061</v>
      </c>
      <c r="AQ675" s="64">
        <v>4.0809383500000003</v>
      </c>
      <c r="AR675" s="56">
        <v>13.68000000000009</v>
      </c>
      <c r="AS675" s="56">
        <v>15.08000000000003</v>
      </c>
      <c r="AT675" s="62">
        <v>19.120000000000111</v>
      </c>
      <c r="AV675" s="64">
        <v>3.726529433333333</v>
      </c>
      <c r="AW675" s="56">
        <v>13.18000000000001</v>
      </c>
      <c r="AX675" s="56">
        <v>14.57999999999995</v>
      </c>
      <c r="AY675" s="62">
        <v>19.280000000000008</v>
      </c>
      <c r="BA675" s="64">
        <v>3.1822819166666672</v>
      </c>
      <c r="BB675" s="56">
        <v>16.080000000000009</v>
      </c>
      <c r="BC675" s="56">
        <v>18.559999999999999</v>
      </c>
      <c r="BD675" s="62">
        <v>30.620000000000051</v>
      </c>
      <c r="BF675" s="64">
        <v>2.944203533333333</v>
      </c>
      <c r="BG675" s="56">
        <v>20.060000000000059</v>
      </c>
      <c r="BH675" s="56">
        <v>27.300000000000061</v>
      </c>
      <c r="BI675" s="62">
        <v>57.04000000000002</v>
      </c>
      <c r="BJ675" s="69"/>
      <c r="BK675" s="51"/>
    </row>
    <row r="676" spans="1:63" x14ac:dyDescent="0.4">
      <c r="A676" s="11" t="s">
        <v>753</v>
      </c>
      <c r="B676" s="4"/>
      <c r="C676" s="4"/>
      <c r="D676" s="4"/>
      <c r="E676" s="12"/>
      <c r="G676" s="147" t="s">
        <v>753</v>
      </c>
      <c r="H676" s="159">
        <v>70.033000000000001</v>
      </c>
      <c r="I676" s="153">
        <v>70.400000000000006</v>
      </c>
      <c r="J676" s="153">
        <v>70.33</v>
      </c>
      <c r="K676" s="153">
        <v>70.37</v>
      </c>
      <c r="L676" s="153">
        <v>70.34</v>
      </c>
      <c r="M676" s="80">
        <f t="shared" si="20"/>
        <v>70.400000000000006</v>
      </c>
      <c r="N676" s="80">
        <f t="shared" si="21"/>
        <v>70.33</v>
      </c>
      <c r="O676" s="153">
        <v>21.15</v>
      </c>
      <c r="P676" s="153">
        <v>21.03</v>
      </c>
      <c r="Q676" s="153">
        <v>21.12</v>
      </c>
      <c r="R676" s="153">
        <v>21.03</v>
      </c>
      <c r="S676" s="4"/>
      <c r="U676" s="147" t="s">
        <v>753</v>
      </c>
      <c r="V676" s="11"/>
      <c r="W676" s="4"/>
      <c r="X676" s="12"/>
      <c r="Y676" s="14"/>
      <c r="Z676" s="4"/>
      <c r="AA676" s="13"/>
      <c r="AB676" s="11"/>
      <c r="AC676" s="4"/>
      <c r="AD676" s="12"/>
      <c r="AE676" s="13"/>
      <c r="AF676" s="14">
        <v>5.0031999999999996</v>
      </c>
      <c r="AG676" s="133"/>
      <c r="AI676" s="84"/>
      <c r="AL676" s="64">
        <v>4.1721089833333327</v>
      </c>
      <c r="AM676" s="56">
        <v>14.220000000000081</v>
      </c>
      <c r="AN676" s="56">
        <v>16.14000000000004</v>
      </c>
      <c r="AO676" s="62">
        <v>22.300000000000079</v>
      </c>
      <c r="AQ676" s="64">
        <v>4.0815143499999991</v>
      </c>
      <c r="AR676" s="56">
        <v>13.72</v>
      </c>
      <c r="AS676" s="56">
        <v>15.09999999999998</v>
      </c>
      <c r="AT676" s="62">
        <v>19.160000000000021</v>
      </c>
      <c r="AV676" s="64">
        <v>3.7272126166666659</v>
      </c>
      <c r="AW676" s="56">
        <v>13.280000000000051</v>
      </c>
      <c r="AX676" s="56">
        <v>14.67999999999998</v>
      </c>
      <c r="AY676" s="62">
        <v>19.36</v>
      </c>
      <c r="BA676" s="64">
        <v>3.1837745000000002</v>
      </c>
      <c r="BB676" s="56">
        <v>16.319999999999979</v>
      </c>
      <c r="BC676" s="56">
        <v>18.820000000000011</v>
      </c>
      <c r="BD676" s="62">
        <v>30.999999999999961</v>
      </c>
      <c r="BF676" s="64">
        <v>2.9573194666666671</v>
      </c>
      <c r="BG676" s="56">
        <v>20.17999999999995</v>
      </c>
      <c r="BH676" s="56">
        <v>27.58000000000003</v>
      </c>
      <c r="BI676" s="62">
        <v>56.71999999999997</v>
      </c>
      <c r="BJ676" s="69"/>
      <c r="BK676" s="51"/>
    </row>
    <row r="677" spans="1:63" x14ac:dyDescent="0.4">
      <c r="A677" s="11" t="s">
        <v>754</v>
      </c>
      <c r="B677" s="4"/>
      <c r="C677" s="4"/>
      <c r="D677" s="4"/>
      <c r="E677" s="12"/>
      <c r="G677" s="147" t="s">
        <v>754</v>
      </c>
      <c r="H677" s="159">
        <v>69.866</v>
      </c>
      <c r="I677" s="153">
        <v>70.28</v>
      </c>
      <c r="J677" s="153">
        <v>70.349999999999994</v>
      </c>
      <c r="K677" s="153">
        <v>70.39</v>
      </c>
      <c r="L677" s="153">
        <v>70.349999999999994</v>
      </c>
      <c r="M677" s="80">
        <f t="shared" si="20"/>
        <v>70.39</v>
      </c>
      <c r="N677" s="80">
        <f t="shared" si="21"/>
        <v>70.28</v>
      </c>
      <c r="O677" s="153">
        <v>21.12</v>
      </c>
      <c r="P677" s="153">
        <v>21.14</v>
      </c>
      <c r="Q677" s="153">
        <v>21.13</v>
      </c>
      <c r="R677" s="153">
        <v>21.08</v>
      </c>
      <c r="S677" s="4"/>
      <c r="U677" s="147" t="s">
        <v>754</v>
      </c>
      <c r="V677" s="11"/>
      <c r="W677" s="4"/>
      <c r="X677" s="12"/>
      <c r="Y677" s="14"/>
      <c r="Z677" s="4"/>
      <c r="AA677" s="13"/>
      <c r="AB677" s="11"/>
      <c r="AC677" s="4"/>
      <c r="AD677" s="12"/>
      <c r="AE677" s="13"/>
      <c r="AF677" s="14">
        <v>5.0042999999999997</v>
      </c>
      <c r="AG677" s="133"/>
      <c r="AI677" s="84"/>
      <c r="AL677" s="64">
        <v>4.1715286333333337</v>
      </c>
      <c r="AM677" s="56">
        <v>14.41999999999997</v>
      </c>
      <c r="AN677" s="56">
        <v>16.36000000000006</v>
      </c>
      <c r="AO677" s="62">
        <v>22.43999999999993</v>
      </c>
      <c r="AQ677" s="64">
        <v>4.0803988333333328</v>
      </c>
      <c r="AR677" s="56">
        <v>13.640000000000009</v>
      </c>
      <c r="AS677" s="56">
        <v>15.039999999999941</v>
      </c>
      <c r="AT677" s="62">
        <v>19.09999999999998</v>
      </c>
      <c r="AV677" s="64">
        <v>3.726747266666667</v>
      </c>
      <c r="AW677" s="56">
        <v>13.199999999999971</v>
      </c>
      <c r="AX677" s="56">
        <v>14.57999999999995</v>
      </c>
      <c r="AY677" s="62">
        <v>19.280000000000008</v>
      </c>
      <c r="BA677" s="64">
        <v>3.181045666666666</v>
      </c>
      <c r="BB677" s="56">
        <v>16.26000000000003</v>
      </c>
      <c r="BC677" s="56">
        <v>18.760000000000069</v>
      </c>
      <c r="BD677" s="62">
        <v>30.960000000000051</v>
      </c>
      <c r="BF677" s="64">
        <v>2.950968233333334</v>
      </c>
      <c r="BG677" s="56">
        <v>20.26000000000003</v>
      </c>
      <c r="BH677" s="56">
        <v>27.559999999999981</v>
      </c>
      <c r="BI677" s="62">
        <v>56.97999999999999</v>
      </c>
      <c r="BJ677" s="70"/>
      <c r="BK677" s="51"/>
    </row>
    <row r="678" spans="1:63" x14ac:dyDescent="0.4">
      <c r="A678" s="11" t="s">
        <v>755</v>
      </c>
      <c r="B678" s="4"/>
      <c r="C678" s="4"/>
      <c r="D678" s="4"/>
      <c r="E678" s="12"/>
      <c r="G678" s="147" t="s">
        <v>755</v>
      </c>
      <c r="H678" s="159">
        <v>70.022999999999996</v>
      </c>
      <c r="I678" s="153">
        <v>70.38</v>
      </c>
      <c r="J678" s="153">
        <v>70.38</v>
      </c>
      <c r="K678" s="153">
        <v>70.3</v>
      </c>
      <c r="L678" s="153">
        <v>70.3</v>
      </c>
      <c r="M678" s="80">
        <f t="shared" si="20"/>
        <v>70.38</v>
      </c>
      <c r="N678" s="80">
        <f t="shared" si="21"/>
        <v>70.3</v>
      </c>
      <c r="O678" s="153">
        <v>21.18</v>
      </c>
      <c r="P678" s="153">
        <v>21.12</v>
      </c>
      <c r="Q678" s="153">
        <v>21.14</v>
      </c>
      <c r="R678" s="153">
        <v>21.08</v>
      </c>
      <c r="S678" s="4"/>
      <c r="U678" s="147" t="s">
        <v>755</v>
      </c>
      <c r="V678" s="11"/>
      <c r="W678" s="4"/>
      <c r="X678" s="12"/>
      <c r="Y678" s="14"/>
      <c r="Z678" s="4"/>
      <c r="AA678" s="13"/>
      <c r="AB678" s="11"/>
      <c r="AC678" s="4"/>
      <c r="AD678" s="12"/>
      <c r="AE678" s="13"/>
      <c r="AF678" s="14">
        <v>4.9988999999999999</v>
      </c>
      <c r="AG678" s="133"/>
      <c r="AI678" s="84"/>
      <c r="AL678" s="64">
        <v>4.171868916666666</v>
      </c>
      <c r="AM678" s="56">
        <v>14.52000000000009</v>
      </c>
      <c r="AN678" s="56">
        <v>16.479999999999961</v>
      </c>
      <c r="AO678" s="62">
        <v>22.660000000000121</v>
      </c>
      <c r="AQ678" s="64">
        <v>4.0818707333333331</v>
      </c>
      <c r="AR678" s="56">
        <v>14.03999999999996</v>
      </c>
      <c r="AS678" s="56">
        <v>15.460000000000029</v>
      </c>
      <c r="AT678" s="62">
        <v>19.58000000000002</v>
      </c>
      <c r="AV678" s="64">
        <v>3.7272693499999998</v>
      </c>
      <c r="AW678" s="56">
        <v>13.66000000000005</v>
      </c>
      <c r="AX678" s="56">
        <v>15.08000000000003</v>
      </c>
      <c r="AY678" s="62">
        <v>19.81999999999999</v>
      </c>
      <c r="BA678" s="64">
        <v>3.1838687166666659</v>
      </c>
      <c r="BB678" s="56">
        <v>17.22000000000001</v>
      </c>
      <c r="BC678" s="56">
        <v>19.80000000000004</v>
      </c>
      <c r="BD678" s="62">
        <v>32.200000000000003</v>
      </c>
      <c r="BF678" s="64">
        <v>2.9599199</v>
      </c>
      <c r="BG678" s="56">
        <v>21.280000000000051</v>
      </c>
      <c r="BH678" s="56">
        <v>28.699999999999989</v>
      </c>
      <c r="BI678" s="62">
        <v>57.920000000000023</v>
      </c>
      <c r="BJ678" s="70"/>
      <c r="BK678" s="51"/>
    </row>
    <row r="679" spans="1:63" x14ac:dyDescent="0.4">
      <c r="A679" s="11" t="s">
        <v>756</v>
      </c>
      <c r="B679" s="4"/>
      <c r="C679" s="4"/>
      <c r="D679" s="4"/>
      <c r="E679" s="12"/>
      <c r="G679" s="147" t="s">
        <v>756</v>
      </c>
      <c r="H679" s="159">
        <v>70.006</v>
      </c>
      <c r="I679" s="153">
        <v>70.349999999999994</v>
      </c>
      <c r="J679" s="153">
        <v>70.319999999999993</v>
      </c>
      <c r="K679" s="153">
        <v>70.38</v>
      </c>
      <c r="L679" s="153">
        <v>70.39</v>
      </c>
      <c r="M679" s="80">
        <f t="shared" si="20"/>
        <v>70.39</v>
      </c>
      <c r="N679" s="80">
        <f t="shared" si="21"/>
        <v>70.319999999999993</v>
      </c>
      <c r="O679" s="153">
        <v>21.2</v>
      </c>
      <c r="P679" s="153">
        <v>21.06</v>
      </c>
      <c r="Q679" s="153">
        <v>21.11</v>
      </c>
      <c r="R679" s="153">
        <v>21.1</v>
      </c>
      <c r="S679" s="4"/>
      <c r="U679" s="147" t="s">
        <v>756</v>
      </c>
      <c r="V679" s="11"/>
      <c r="W679" s="4"/>
      <c r="X679" s="12"/>
      <c r="Y679" s="14"/>
      <c r="Z679" s="4"/>
      <c r="AA679" s="13"/>
      <c r="AB679" s="11"/>
      <c r="AC679" s="4"/>
      <c r="AD679" s="12"/>
      <c r="AE679" s="13"/>
      <c r="AF679" s="14">
        <v>5.0342000000000002</v>
      </c>
      <c r="AG679" s="133"/>
      <c r="AI679" s="84"/>
      <c r="AL679" s="64">
        <v>4.1722399499999998</v>
      </c>
      <c r="AM679" s="56">
        <v>14.33999999999997</v>
      </c>
      <c r="AN679" s="56">
        <v>16.260000000000119</v>
      </c>
      <c r="AO679" s="62">
        <v>22.41999999999997</v>
      </c>
      <c r="AQ679" s="64">
        <v>4.0808245166666657</v>
      </c>
      <c r="AR679" s="56">
        <v>13.69999999999987</v>
      </c>
      <c r="AS679" s="56">
        <v>15.08000000000003</v>
      </c>
      <c r="AT679" s="62">
        <v>19.159999999999929</v>
      </c>
      <c r="AV679" s="64">
        <v>3.7269993833333328</v>
      </c>
      <c r="AW679" s="56">
        <v>13.199999999999971</v>
      </c>
      <c r="AX679" s="56">
        <v>14.599999999999991</v>
      </c>
      <c r="AY679" s="62">
        <v>19.280000000000008</v>
      </c>
      <c r="BA679" s="64">
        <v>3.1811483833333338</v>
      </c>
      <c r="BB679" s="56">
        <v>16.400000000000059</v>
      </c>
      <c r="BC679" s="56">
        <v>18.920000000000051</v>
      </c>
      <c r="BD679" s="62">
        <v>31.180000000000071</v>
      </c>
      <c r="BF679" s="64">
        <v>2.954458499999999</v>
      </c>
      <c r="BG679" s="56">
        <v>20.239999999999991</v>
      </c>
      <c r="BH679" s="56">
        <v>27.539999999999939</v>
      </c>
      <c r="BI679" s="62">
        <v>56.739999999999917</v>
      </c>
      <c r="BJ679" s="70"/>
      <c r="BK679" s="51"/>
    </row>
    <row r="680" spans="1:63" x14ac:dyDescent="0.4">
      <c r="A680" s="11" t="s">
        <v>757</v>
      </c>
      <c r="B680" s="4"/>
      <c r="C680" s="4"/>
      <c r="D680" s="4"/>
      <c r="E680" s="12"/>
      <c r="G680" s="147" t="s">
        <v>757</v>
      </c>
      <c r="H680" s="159">
        <v>70.08</v>
      </c>
      <c r="I680" s="153">
        <v>70.319999999999993</v>
      </c>
      <c r="J680" s="153">
        <v>70.3</v>
      </c>
      <c r="K680" s="153">
        <v>70.37</v>
      </c>
      <c r="L680" s="153">
        <v>70.31</v>
      </c>
      <c r="M680" s="80">
        <f t="shared" si="20"/>
        <v>70.37</v>
      </c>
      <c r="N680" s="80">
        <f t="shared" si="21"/>
        <v>70.3</v>
      </c>
      <c r="O680" s="153">
        <v>21.16</v>
      </c>
      <c r="P680" s="153">
        <v>21.06</v>
      </c>
      <c r="Q680" s="153">
        <v>21.11</v>
      </c>
      <c r="R680" s="153">
        <v>21.07</v>
      </c>
      <c r="S680" s="4"/>
      <c r="U680" s="147" t="s">
        <v>757</v>
      </c>
      <c r="V680" s="11"/>
      <c r="W680" s="4"/>
      <c r="X680" s="12"/>
      <c r="Y680" s="14"/>
      <c r="Z680" s="4"/>
      <c r="AA680" s="13"/>
      <c r="AB680" s="11"/>
      <c r="AC680" s="4"/>
      <c r="AD680" s="12"/>
      <c r="AE680" s="136"/>
      <c r="AF680" s="14">
        <v>5.0179999999999998</v>
      </c>
      <c r="AG680" s="134"/>
      <c r="AI680" s="84"/>
      <c r="AL680" s="64">
        <v>4.17215355</v>
      </c>
      <c r="AM680" s="56">
        <v>14.280000000000109</v>
      </c>
      <c r="AN680" s="56">
        <v>16.16</v>
      </c>
      <c r="AO680" s="62">
        <v>22.40000000000002</v>
      </c>
      <c r="AQ680" s="64">
        <v>4.0806111666666656</v>
      </c>
      <c r="AR680" s="56">
        <v>13.72</v>
      </c>
      <c r="AS680" s="56">
        <v>15.09999999999998</v>
      </c>
      <c r="AT680" s="62">
        <v>19.140000000000072</v>
      </c>
      <c r="AV680" s="64">
        <v>3.726324233333334</v>
      </c>
      <c r="AW680" s="56">
        <v>13.239999999999959</v>
      </c>
      <c r="AX680" s="56">
        <v>14.63999999999999</v>
      </c>
      <c r="AY680" s="62">
        <v>19.339999999999961</v>
      </c>
      <c r="BA680" s="64">
        <v>3.1881151833333332</v>
      </c>
      <c r="BB680" s="56">
        <v>16.139999999999951</v>
      </c>
      <c r="BC680" s="56">
        <v>18.559999999999999</v>
      </c>
      <c r="BD680" s="62">
        <v>30.41999999999998</v>
      </c>
      <c r="BF680" s="64">
        <v>2.949525766666667</v>
      </c>
      <c r="BG680" s="56">
        <v>19.880000000000031</v>
      </c>
      <c r="BH680" s="56">
        <v>26.860000000000021</v>
      </c>
      <c r="BI680" s="62">
        <v>55.719999999999992</v>
      </c>
      <c r="BJ680" s="69"/>
      <c r="BK680" s="51"/>
    </row>
    <row r="681" spans="1:63" x14ac:dyDescent="0.4">
      <c r="A681" s="11" t="s">
        <v>758</v>
      </c>
      <c r="B681" s="4"/>
      <c r="C681" s="4"/>
      <c r="D681" s="4"/>
      <c r="E681" s="12"/>
      <c r="G681" s="147" t="s">
        <v>758</v>
      </c>
      <c r="H681" s="159">
        <v>70.088999999999999</v>
      </c>
      <c r="I681" s="153">
        <v>70.38</v>
      </c>
      <c r="J681" s="153">
        <v>70.33</v>
      </c>
      <c r="K681" s="153">
        <v>70.36</v>
      </c>
      <c r="L681" s="153">
        <v>70.28</v>
      </c>
      <c r="M681" s="80">
        <f t="shared" si="20"/>
        <v>70.38</v>
      </c>
      <c r="N681" s="80">
        <f t="shared" si="21"/>
        <v>70.28</v>
      </c>
      <c r="O681" s="153">
        <v>21.09</v>
      </c>
      <c r="P681" s="153">
        <v>21.02</v>
      </c>
      <c r="Q681" s="153">
        <v>21.16</v>
      </c>
      <c r="R681" s="153">
        <v>21</v>
      </c>
      <c r="S681" s="4"/>
      <c r="U681" s="147" t="s">
        <v>758</v>
      </c>
      <c r="V681" s="11"/>
      <c r="W681" s="4"/>
      <c r="X681" s="12"/>
      <c r="Y681" s="14"/>
      <c r="Z681" s="4"/>
      <c r="AA681" s="13"/>
      <c r="AB681" s="11"/>
      <c r="AC681" s="4"/>
      <c r="AD681" s="12"/>
      <c r="AE681" s="35"/>
      <c r="AF681" s="14">
        <v>5.0118</v>
      </c>
      <c r="AG681" s="134"/>
      <c r="AI681" s="84"/>
      <c r="AL681" s="64">
        <v>4.1720240000000004</v>
      </c>
      <c r="AM681" s="56">
        <v>14.81999999999992</v>
      </c>
      <c r="AN681" s="56">
        <v>16.779999999999969</v>
      </c>
      <c r="AO681" s="62">
        <v>23.02</v>
      </c>
      <c r="AQ681" s="64">
        <v>4.0811699166666671</v>
      </c>
      <c r="AR681" s="56">
        <v>14.43999999999992</v>
      </c>
      <c r="AS681" s="56">
        <v>15.87999999999994</v>
      </c>
      <c r="AT681" s="62">
        <v>20.080000000000009</v>
      </c>
      <c r="AV681" s="64">
        <v>3.7273881333333341</v>
      </c>
      <c r="AW681" s="56">
        <v>14.14</v>
      </c>
      <c r="AX681" s="56">
        <v>15.62000000000001</v>
      </c>
      <c r="AY681" s="62">
        <v>20.460000000000012</v>
      </c>
      <c r="BA681" s="64">
        <v>3.1862933999999998</v>
      </c>
      <c r="BB681" s="56">
        <v>17.159999999999979</v>
      </c>
      <c r="BC681" s="56">
        <v>19.660000000000011</v>
      </c>
      <c r="BD681" s="62">
        <v>31.780000000000008</v>
      </c>
      <c r="BF681" s="64">
        <v>2.9505241500000001</v>
      </c>
      <c r="BG681" s="56">
        <v>21.020000000000039</v>
      </c>
      <c r="BH681" s="56">
        <v>28.04000000000002</v>
      </c>
      <c r="BI681" s="62">
        <v>56.740000000000009</v>
      </c>
      <c r="BJ681" s="69"/>
      <c r="BK681" s="51"/>
    </row>
    <row r="682" spans="1:63" x14ac:dyDescent="0.4">
      <c r="A682" s="11" t="s">
        <v>759</v>
      </c>
      <c r="B682" s="4"/>
      <c r="C682" s="4"/>
      <c r="D682" s="4"/>
      <c r="E682" s="12"/>
      <c r="G682" s="147" t="s">
        <v>759</v>
      </c>
      <c r="H682" s="159">
        <v>69.938000000000002</v>
      </c>
      <c r="I682" s="153">
        <v>70.349999999999994</v>
      </c>
      <c r="J682" s="153">
        <v>70.33</v>
      </c>
      <c r="K682" s="153">
        <v>70.349999999999994</v>
      </c>
      <c r="L682" s="153">
        <v>70.290000000000006</v>
      </c>
      <c r="M682" s="80">
        <f t="shared" si="20"/>
        <v>70.349999999999994</v>
      </c>
      <c r="N682" s="80">
        <f t="shared" si="21"/>
        <v>70.290000000000006</v>
      </c>
      <c r="O682" s="153">
        <v>21.15</v>
      </c>
      <c r="P682" s="153">
        <v>21.12</v>
      </c>
      <c r="Q682" s="153">
        <v>21.12</v>
      </c>
      <c r="R682" s="153">
        <v>21.09</v>
      </c>
      <c r="S682" s="4"/>
      <c r="U682" s="147" t="s">
        <v>759</v>
      </c>
      <c r="V682" s="11"/>
      <c r="W682" s="4"/>
      <c r="X682" s="12"/>
      <c r="Y682" s="14"/>
      <c r="Z682" s="4"/>
      <c r="AA682" s="13"/>
      <c r="AB682" s="11"/>
      <c r="AC682" s="4"/>
      <c r="AD682" s="12"/>
      <c r="AE682" s="13"/>
      <c r="AF682" s="14">
        <v>5.0151000000000003</v>
      </c>
      <c r="AG682" s="133"/>
      <c r="AI682" s="84"/>
      <c r="AL682" s="64">
        <v>4.1721297166666664</v>
      </c>
      <c r="AM682" s="56">
        <v>14.42000000000014</v>
      </c>
      <c r="AN682" s="56">
        <v>16.34000000000011</v>
      </c>
      <c r="AO682" s="62">
        <v>22.520000000000099</v>
      </c>
      <c r="AQ682" s="64">
        <v>4.0812486666666663</v>
      </c>
      <c r="AR682" s="56">
        <v>13.999999999999879</v>
      </c>
      <c r="AS682" s="56">
        <v>15.39999999999999</v>
      </c>
      <c r="AT682" s="62">
        <v>19.49999999999994</v>
      </c>
      <c r="AV682" s="64">
        <v>3.7272149666666659</v>
      </c>
      <c r="AW682" s="56">
        <v>13.68</v>
      </c>
      <c r="AX682" s="56">
        <v>15.09999999999998</v>
      </c>
      <c r="AY682" s="62">
        <v>19.859999999999989</v>
      </c>
      <c r="BA682" s="64">
        <v>3.1834418333333332</v>
      </c>
      <c r="BB682" s="56">
        <v>16.85999999999996</v>
      </c>
      <c r="BC682" s="56">
        <v>19.339999999999961</v>
      </c>
      <c r="BD682" s="62">
        <v>31.44</v>
      </c>
      <c r="BF682" s="64">
        <v>2.9498860333333341</v>
      </c>
      <c r="BG682" s="56">
        <v>20.64000000000004</v>
      </c>
      <c r="BH682" s="56">
        <v>27.600000000000069</v>
      </c>
      <c r="BI682" s="62">
        <v>56.12000000000004</v>
      </c>
      <c r="BJ682" s="70"/>
      <c r="BK682" s="51"/>
    </row>
    <row r="683" spans="1:63" x14ac:dyDescent="0.4">
      <c r="A683" s="11" t="s">
        <v>760</v>
      </c>
      <c r="B683" s="4"/>
      <c r="C683" s="4"/>
      <c r="D683" s="4"/>
      <c r="E683" s="12"/>
      <c r="G683" s="147" t="s">
        <v>760</v>
      </c>
      <c r="H683" s="159">
        <v>69.97</v>
      </c>
      <c r="I683" s="153">
        <v>70.37</v>
      </c>
      <c r="J683" s="153">
        <v>70.38</v>
      </c>
      <c r="K683" s="153">
        <v>70.3</v>
      </c>
      <c r="L683" s="153">
        <v>70.28</v>
      </c>
      <c r="M683" s="80">
        <f t="shared" si="20"/>
        <v>70.38</v>
      </c>
      <c r="N683" s="80">
        <f t="shared" si="21"/>
        <v>70.28</v>
      </c>
      <c r="O683" s="153">
        <v>21.16</v>
      </c>
      <c r="P683" s="153">
        <v>20.99</v>
      </c>
      <c r="Q683" s="153">
        <v>21.14</v>
      </c>
      <c r="R683" s="153">
        <v>21.12</v>
      </c>
      <c r="S683" s="4"/>
      <c r="U683" s="147" t="s">
        <v>760</v>
      </c>
      <c r="V683" s="11"/>
      <c r="W683" s="4"/>
      <c r="X683" s="12"/>
      <c r="Y683" s="14"/>
      <c r="Z683" s="4"/>
      <c r="AA683" s="13"/>
      <c r="AB683" s="11"/>
      <c r="AC683" s="4"/>
      <c r="AD683" s="12"/>
      <c r="AE683" s="13"/>
      <c r="AF683" s="14">
        <v>5.0170000000000003</v>
      </c>
      <c r="AG683" s="133"/>
      <c r="AI683" s="84"/>
      <c r="AL683" s="64">
        <v>4.1722282166666664</v>
      </c>
      <c r="AM683" s="56">
        <v>14.56</v>
      </c>
      <c r="AN683" s="56">
        <v>16.520000000000049</v>
      </c>
      <c r="AO683" s="62">
        <v>22.760000000000069</v>
      </c>
      <c r="AQ683" s="64">
        <v>4.0816992499999989</v>
      </c>
      <c r="AR683" s="56">
        <v>14.07999999999987</v>
      </c>
      <c r="AS683" s="56">
        <v>15.49999999999994</v>
      </c>
      <c r="AT683" s="62">
        <v>19.61999999999993</v>
      </c>
      <c r="AV683" s="64">
        <v>3.7288286833333331</v>
      </c>
      <c r="AW683" s="56">
        <v>13.68</v>
      </c>
      <c r="AX683" s="56">
        <v>15.09999999999998</v>
      </c>
      <c r="AY683" s="62">
        <v>19.879999999999939</v>
      </c>
      <c r="BA683" s="64">
        <v>3.1875156333333341</v>
      </c>
      <c r="BB683" s="56">
        <v>16.780000000000062</v>
      </c>
      <c r="BC683" s="56">
        <v>19.280000000000008</v>
      </c>
      <c r="BD683" s="62">
        <v>31.320000000000011</v>
      </c>
      <c r="BF683" s="64">
        <v>2.94858245</v>
      </c>
      <c r="BG683" s="56">
        <v>20.54</v>
      </c>
      <c r="BH683" s="56">
        <v>27.760000000000051</v>
      </c>
      <c r="BI683" s="62">
        <v>57.019999999999982</v>
      </c>
      <c r="BJ683" s="69"/>
      <c r="BK683" s="51"/>
    </row>
    <row r="684" spans="1:63" x14ac:dyDescent="0.4">
      <c r="A684" s="11" t="s">
        <v>761</v>
      </c>
      <c r="B684" s="4"/>
      <c r="C684" s="4"/>
      <c r="D684" s="4"/>
      <c r="E684" s="12"/>
      <c r="G684" s="147" t="s">
        <v>761</v>
      </c>
      <c r="H684" s="159">
        <v>69.983999999999995</v>
      </c>
      <c r="I684" s="153">
        <v>70.27</v>
      </c>
      <c r="J684" s="153">
        <v>70.349999999999994</v>
      </c>
      <c r="K684" s="153">
        <v>70.349999999999994</v>
      </c>
      <c r="L684" s="153">
        <v>70.34</v>
      </c>
      <c r="M684" s="80">
        <f t="shared" si="20"/>
        <v>70.349999999999994</v>
      </c>
      <c r="N684" s="80">
        <f t="shared" si="21"/>
        <v>70.27</v>
      </c>
      <c r="O684" s="153">
        <v>21.13</v>
      </c>
      <c r="P684" s="153">
        <v>21.09</v>
      </c>
      <c r="Q684" s="153">
        <v>21.16</v>
      </c>
      <c r="R684" s="153">
        <v>21.06</v>
      </c>
      <c r="S684" s="4"/>
      <c r="U684" s="147" t="s">
        <v>761</v>
      </c>
      <c r="V684" s="11"/>
      <c r="W684" s="4"/>
      <c r="X684" s="12"/>
      <c r="Y684" s="14"/>
      <c r="Z684" s="4"/>
      <c r="AA684" s="13"/>
      <c r="AB684" s="11"/>
      <c r="AC684" s="4"/>
      <c r="AD684" s="12"/>
      <c r="AE684" s="13"/>
      <c r="AF684" s="14">
        <v>5.0182000000000002</v>
      </c>
      <c r="AG684" s="133"/>
      <c r="AI684" s="84"/>
      <c r="AL684" s="64">
        <v>4.1723608333333333</v>
      </c>
      <c r="AM684" s="56">
        <v>13.940000000000021</v>
      </c>
      <c r="AN684" s="56">
        <v>15.859999999999991</v>
      </c>
      <c r="AO684" s="62">
        <v>22.00000000000006</v>
      </c>
      <c r="AQ684" s="64">
        <v>4.0829274166666671</v>
      </c>
      <c r="AR684" s="56">
        <v>13.56000000000002</v>
      </c>
      <c r="AS684" s="56">
        <v>14.94</v>
      </c>
      <c r="AT684" s="62">
        <v>18.98</v>
      </c>
      <c r="AV684" s="64">
        <v>3.729267783333333</v>
      </c>
      <c r="AW684" s="56">
        <v>13.05999999999994</v>
      </c>
      <c r="AX684" s="56">
        <v>14.44000000000001</v>
      </c>
      <c r="AY684" s="62">
        <v>19.119999999999941</v>
      </c>
      <c r="BA684" s="64">
        <v>3.1868832</v>
      </c>
      <c r="BB684" s="56">
        <v>15.899999999999981</v>
      </c>
      <c r="BC684" s="56">
        <v>18.379999999999971</v>
      </c>
      <c r="BD684" s="62">
        <v>30.339999999999989</v>
      </c>
      <c r="BF684" s="64">
        <v>2.9516226333333329</v>
      </c>
      <c r="BG684" s="56">
        <v>19.620000000000019</v>
      </c>
      <c r="BH684" s="56">
        <v>26.720000000000081</v>
      </c>
      <c r="BI684" s="62">
        <v>55.679999999999993</v>
      </c>
      <c r="BJ684" s="70"/>
      <c r="BK684" s="51"/>
    </row>
    <row r="685" spans="1:63" x14ac:dyDescent="0.4">
      <c r="A685" s="11" t="s">
        <v>762</v>
      </c>
      <c r="B685" s="4"/>
      <c r="C685" s="4"/>
      <c r="D685" s="4"/>
      <c r="E685" s="12"/>
      <c r="G685" s="147" t="s">
        <v>762</v>
      </c>
      <c r="H685" s="159">
        <v>69.938000000000002</v>
      </c>
      <c r="I685" s="153">
        <v>70.3</v>
      </c>
      <c r="J685" s="153">
        <v>70.319999999999993</v>
      </c>
      <c r="K685" s="153">
        <v>70.349999999999994</v>
      </c>
      <c r="L685" s="153">
        <v>70.33</v>
      </c>
      <c r="M685" s="80">
        <f t="shared" si="20"/>
        <v>70.349999999999994</v>
      </c>
      <c r="N685" s="80">
        <f t="shared" si="21"/>
        <v>70.3</v>
      </c>
      <c r="O685" s="153">
        <v>21.13</v>
      </c>
      <c r="P685" s="153">
        <v>21</v>
      </c>
      <c r="Q685" s="153">
        <v>21.16</v>
      </c>
      <c r="R685" s="153">
        <v>21.11</v>
      </c>
      <c r="S685" s="4"/>
      <c r="U685" s="147" t="s">
        <v>762</v>
      </c>
      <c r="V685" s="11"/>
      <c r="W685" s="4"/>
      <c r="X685" s="12"/>
      <c r="Y685" s="14"/>
      <c r="Z685" s="4"/>
      <c r="AA685" s="13"/>
      <c r="AB685" s="11"/>
      <c r="AC685" s="4"/>
      <c r="AD685" s="12"/>
      <c r="AE685" s="13"/>
      <c r="AF685" s="14">
        <v>5.0035999999999996</v>
      </c>
      <c r="AG685" s="133"/>
      <c r="AI685" s="84"/>
      <c r="AL685" s="64">
        <v>4.1723304166666662</v>
      </c>
      <c r="AM685" s="56">
        <v>14.059999999999921</v>
      </c>
      <c r="AN685" s="56">
        <v>15.980000000000061</v>
      </c>
      <c r="AO685" s="62">
        <v>22.139999999999919</v>
      </c>
      <c r="AQ685" s="64">
        <v>4.0821060333333321</v>
      </c>
      <c r="AR685" s="56">
        <v>13.600000000000099</v>
      </c>
      <c r="AS685" s="56">
        <v>15.000000000000041</v>
      </c>
      <c r="AT685" s="62">
        <v>19.040000000000031</v>
      </c>
      <c r="AV685" s="64">
        <v>3.7285640999999989</v>
      </c>
      <c r="AW685" s="56">
        <v>13.11999999999998</v>
      </c>
      <c r="AX685" s="56">
        <v>14.499999999999959</v>
      </c>
      <c r="AY685" s="62">
        <v>19.200000000000021</v>
      </c>
      <c r="BA685" s="64">
        <v>3.1864225999999989</v>
      </c>
      <c r="BB685" s="56">
        <v>16.239999999999991</v>
      </c>
      <c r="BC685" s="56">
        <v>18.719999999999981</v>
      </c>
      <c r="BD685" s="62">
        <v>30.700000000000038</v>
      </c>
      <c r="BF685" s="64">
        <v>2.9481657000000001</v>
      </c>
      <c r="BG685" s="56">
        <v>20.080000000000009</v>
      </c>
      <c r="BH685" s="56">
        <v>27.219999999999981</v>
      </c>
      <c r="BI685" s="62">
        <v>56.459999999999951</v>
      </c>
      <c r="BJ685" s="70"/>
      <c r="BK685" s="51"/>
    </row>
    <row r="686" spans="1:63" x14ac:dyDescent="0.4">
      <c r="A686" s="11" t="s">
        <v>763</v>
      </c>
      <c r="B686" s="4"/>
      <c r="C686" s="4"/>
      <c r="D686" s="4"/>
      <c r="E686" s="12"/>
      <c r="G686" s="147" t="s">
        <v>763</v>
      </c>
      <c r="H686" s="159">
        <v>70.061000000000007</v>
      </c>
      <c r="I686" s="153">
        <v>70.400000000000006</v>
      </c>
      <c r="J686" s="153">
        <v>70.290000000000006</v>
      </c>
      <c r="K686" s="153">
        <v>70.36</v>
      </c>
      <c r="L686" s="153">
        <v>70.319999999999993</v>
      </c>
      <c r="M686" s="80">
        <f t="shared" si="20"/>
        <v>70.400000000000006</v>
      </c>
      <c r="N686" s="80">
        <f t="shared" si="21"/>
        <v>70.290000000000006</v>
      </c>
      <c r="O686" s="153">
        <v>21.17</v>
      </c>
      <c r="P686" s="153">
        <v>21.14</v>
      </c>
      <c r="Q686" s="153">
        <v>21.15</v>
      </c>
      <c r="R686" s="153">
        <v>21.12</v>
      </c>
      <c r="S686" s="4"/>
      <c r="U686" s="147" t="s">
        <v>763</v>
      </c>
      <c r="V686" s="11"/>
      <c r="W686" s="4"/>
      <c r="X686" s="12"/>
      <c r="Y686" s="14"/>
      <c r="Z686" s="4"/>
      <c r="AA686" s="13"/>
      <c r="AB686" s="11"/>
      <c r="AC686" s="4"/>
      <c r="AD686" s="12"/>
      <c r="AE686" s="13"/>
      <c r="AF686" s="14">
        <v>4.9969000000000001</v>
      </c>
      <c r="AG686" s="133"/>
      <c r="AI686" s="84"/>
      <c r="AL686" s="64">
        <v>4.1723099833333332</v>
      </c>
      <c r="AM686" s="56">
        <v>14.279999999999941</v>
      </c>
      <c r="AN686" s="56">
        <v>16.220000000000031</v>
      </c>
      <c r="AO686" s="62">
        <v>22.41999999999997</v>
      </c>
      <c r="AQ686" s="64">
        <v>4.0818840666666656</v>
      </c>
      <c r="AR686" s="56">
        <v>13.78000000000004</v>
      </c>
      <c r="AS686" s="56">
        <v>15.17999999999997</v>
      </c>
      <c r="AT686" s="62">
        <v>19.280000000000008</v>
      </c>
      <c r="AV686" s="64">
        <v>3.727869333333333</v>
      </c>
      <c r="AW686" s="56">
        <v>13.34</v>
      </c>
      <c r="AX686" s="56">
        <v>14.74000000000002</v>
      </c>
      <c r="AY686" s="62">
        <v>19.460000000000029</v>
      </c>
      <c r="BA686" s="64">
        <v>3.1855628166666672</v>
      </c>
      <c r="BB686" s="56">
        <v>16.5</v>
      </c>
      <c r="BC686" s="56">
        <v>19.019999999999989</v>
      </c>
      <c r="BD686" s="62">
        <v>31.22000000000007</v>
      </c>
      <c r="BF686" s="64">
        <v>2.9629800999999998</v>
      </c>
      <c r="BG686" s="56">
        <v>20.099999999999959</v>
      </c>
      <c r="BH686" s="56">
        <v>27.579999999999941</v>
      </c>
      <c r="BI686" s="62">
        <v>55.999999999999957</v>
      </c>
      <c r="BJ686" s="70"/>
      <c r="BK686" s="51"/>
    </row>
    <row r="687" spans="1:63" x14ac:dyDescent="0.4">
      <c r="A687" s="11" t="s">
        <v>764</v>
      </c>
      <c r="B687" s="4"/>
      <c r="C687" s="4"/>
      <c r="D687" s="4"/>
      <c r="E687" s="12"/>
      <c r="G687" s="147" t="s">
        <v>764</v>
      </c>
      <c r="H687" s="159">
        <v>69.962000000000003</v>
      </c>
      <c r="I687" s="153">
        <v>70.33</v>
      </c>
      <c r="J687" s="153">
        <v>70.36</v>
      </c>
      <c r="K687" s="153">
        <v>70.36</v>
      </c>
      <c r="L687" s="153">
        <v>70.400000000000006</v>
      </c>
      <c r="M687" s="80">
        <f t="shared" si="20"/>
        <v>70.400000000000006</v>
      </c>
      <c r="N687" s="80">
        <f t="shared" si="21"/>
        <v>70.33</v>
      </c>
      <c r="O687" s="153">
        <v>21.18</v>
      </c>
      <c r="P687" s="153">
        <v>21.13</v>
      </c>
      <c r="Q687" s="153">
        <v>21.17</v>
      </c>
      <c r="R687" s="153">
        <v>21.05</v>
      </c>
      <c r="S687" s="4"/>
      <c r="U687" s="147" t="s">
        <v>764</v>
      </c>
      <c r="V687" s="11"/>
      <c r="W687" s="4"/>
      <c r="X687" s="12"/>
      <c r="Y687" s="14"/>
      <c r="Z687" s="4"/>
      <c r="AA687" s="13"/>
      <c r="AB687" s="11"/>
      <c r="AC687" s="4"/>
      <c r="AD687" s="12"/>
      <c r="AE687" s="13"/>
      <c r="AF687" s="14">
        <v>5.0064000000000002</v>
      </c>
      <c r="AG687" s="133"/>
      <c r="AI687" s="84"/>
      <c r="AL687" s="64">
        <v>4.1710088333333326</v>
      </c>
      <c r="AM687" s="56">
        <v>14.1</v>
      </c>
      <c r="AN687" s="56">
        <v>16.019999999999971</v>
      </c>
      <c r="AO687" s="62">
        <v>22.159999999999869</v>
      </c>
      <c r="AQ687" s="64">
        <v>4.0816711333333329</v>
      </c>
      <c r="AR687" s="56">
        <v>13.659999999999959</v>
      </c>
      <c r="AS687" s="56">
        <v>15.059999999999899</v>
      </c>
      <c r="AT687" s="62">
        <v>19.159999999999929</v>
      </c>
      <c r="AV687" s="64">
        <v>3.7275145333333342</v>
      </c>
      <c r="AW687" s="56">
        <v>13.199999999999971</v>
      </c>
      <c r="AX687" s="56">
        <v>14.599999999999991</v>
      </c>
      <c r="AY687" s="62">
        <v>19.339999999999961</v>
      </c>
      <c r="BA687" s="64">
        <v>3.1812451500000001</v>
      </c>
      <c r="BB687" s="56">
        <v>16.400000000000059</v>
      </c>
      <c r="BC687" s="56">
        <v>18.920000000000051</v>
      </c>
      <c r="BD687" s="62">
        <v>31.24000000000002</v>
      </c>
      <c r="BF687" s="64">
        <v>2.9553392833333332</v>
      </c>
      <c r="BG687" s="56">
        <v>20.02000000000006</v>
      </c>
      <c r="BH687" s="56">
        <v>27.24000000000002</v>
      </c>
      <c r="BI687" s="62">
        <v>56.12000000000004</v>
      </c>
      <c r="BJ687" s="70"/>
      <c r="BK687" s="51"/>
    </row>
    <row r="688" spans="1:63" x14ac:dyDescent="0.4">
      <c r="A688" s="11" t="s">
        <v>765</v>
      </c>
      <c r="B688" s="4"/>
      <c r="C688" s="4"/>
      <c r="D688" s="4"/>
      <c r="E688" s="12"/>
      <c r="G688" s="147" t="s">
        <v>765</v>
      </c>
      <c r="H688" s="159">
        <v>70.045000000000002</v>
      </c>
      <c r="I688" s="153">
        <v>70.290000000000006</v>
      </c>
      <c r="J688" s="153">
        <v>70.28</v>
      </c>
      <c r="K688" s="153">
        <v>70.36</v>
      </c>
      <c r="L688" s="153">
        <v>70.349999999999994</v>
      </c>
      <c r="M688" s="80">
        <f t="shared" si="20"/>
        <v>70.36</v>
      </c>
      <c r="N688" s="80">
        <f t="shared" si="21"/>
        <v>70.28</v>
      </c>
      <c r="O688" s="153">
        <v>21.19</v>
      </c>
      <c r="P688" s="153">
        <v>21.12</v>
      </c>
      <c r="Q688" s="153">
        <v>21.14</v>
      </c>
      <c r="R688" s="153">
        <v>21.04</v>
      </c>
      <c r="S688" s="4"/>
      <c r="U688" s="147" t="s">
        <v>765</v>
      </c>
      <c r="V688" s="11"/>
      <c r="W688" s="4"/>
      <c r="X688" s="12"/>
      <c r="Y688" s="14"/>
      <c r="Z688" s="4"/>
      <c r="AA688" s="13"/>
      <c r="AB688" s="11"/>
      <c r="AC688" s="4"/>
      <c r="AD688" s="12"/>
      <c r="AE688" s="35"/>
      <c r="AF688" s="14">
        <v>4.9977999999999998</v>
      </c>
      <c r="AG688" s="133"/>
      <c r="AI688" s="84"/>
      <c r="AL688" s="64">
        <v>4.1717871500000001</v>
      </c>
      <c r="AM688" s="56">
        <v>13.9800000000001</v>
      </c>
      <c r="AN688" s="56">
        <v>15.920000000000019</v>
      </c>
      <c r="AO688" s="62">
        <v>22.119999999999958</v>
      </c>
      <c r="AQ688" s="64">
        <v>4.0832126999999998</v>
      </c>
      <c r="AR688" s="56">
        <v>13.90000000000011</v>
      </c>
      <c r="AS688" s="56">
        <v>15.32</v>
      </c>
      <c r="AT688" s="62">
        <v>19.440000000000079</v>
      </c>
      <c r="AV688" s="64">
        <v>3.729480033333334</v>
      </c>
      <c r="AW688" s="56">
        <v>13.520000000000019</v>
      </c>
      <c r="AX688" s="56">
        <v>14.920000000000041</v>
      </c>
      <c r="AY688" s="62">
        <v>19.660000000000011</v>
      </c>
      <c r="BA688" s="64">
        <v>3.1874273166666671</v>
      </c>
      <c r="BB688" s="56">
        <v>16.96</v>
      </c>
      <c r="BC688" s="56">
        <v>19.500000000000028</v>
      </c>
      <c r="BD688" s="62">
        <v>31.80000000000005</v>
      </c>
      <c r="BF688" s="64">
        <v>2.9660989833333331</v>
      </c>
      <c r="BG688" s="56">
        <v>20.460000000000012</v>
      </c>
      <c r="BH688" s="56">
        <v>27.70000000000001</v>
      </c>
      <c r="BI688" s="62">
        <v>56.039999999999957</v>
      </c>
      <c r="BJ688" s="70"/>
      <c r="BK688" s="51"/>
    </row>
    <row r="689" spans="1:63" x14ac:dyDescent="0.4">
      <c r="A689" s="11" t="s">
        <v>766</v>
      </c>
      <c r="B689" s="4"/>
      <c r="C689" s="4"/>
      <c r="D689" s="4"/>
      <c r="E689" s="12"/>
      <c r="G689" s="147" t="s">
        <v>766</v>
      </c>
      <c r="H689" s="159">
        <v>69.959999999999994</v>
      </c>
      <c r="I689" s="153">
        <v>70.31</v>
      </c>
      <c r="J689" s="153">
        <v>70.28</v>
      </c>
      <c r="K689" s="153">
        <v>70.28</v>
      </c>
      <c r="L689" s="153">
        <v>70.39</v>
      </c>
      <c r="M689" s="80">
        <f t="shared" si="20"/>
        <v>70.39</v>
      </c>
      <c r="N689" s="80">
        <f t="shared" si="21"/>
        <v>70.28</v>
      </c>
      <c r="O689" s="153">
        <v>21.16</v>
      </c>
      <c r="P689" s="153">
        <v>21.13</v>
      </c>
      <c r="Q689" s="153">
        <v>21.15</v>
      </c>
      <c r="R689" s="153">
        <v>21.05</v>
      </c>
      <c r="S689" s="4"/>
      <c r="U689" s="147" t="s">
        <v>766</v>
      </c>
      <c r="V689" s="11"/>
      <c r="W689" s="4"/>
      <c r="X689" s="12"/>
      <c r="Y689" s="14"/>
      <c r="Z689" s="4"/>
      <c r="AA689" s="13"/>
      <c r="AB689" s="11"/>
      <c r="AC689" s="4"/>
      <c r="AD689" s="12"/>
      <c r="AE689" s="13"/>
      <c r="AF689" s="14">
        <v>5.0210999999999997</v>
      </c>
      <c r="AG689" s="133"/>
      <c r="AI689" s="84"/>
      <c r="AL689" s="64">
        <v>4.1711237666666667</v>
      </c>
      <c r="AM689" s="56">
        <v>14.03999999999996</v>
      </c>
      <c r="AN689" s="56">
        <v>15.980000000000061</v>
      </c>
      <c r="AO689" s="62">
        <v>22.100000000000009</v>
      </c>
      <c r="AQ689" s="64">
        <v>4.0823005166666677</v>
      </c>
      <c r="AR689" s="56">
        <v>13.659999999999959</v>
      </c>
      <c r="AS689" s="56">
        <v>15.06000000000007</v>
      </c>
      <c r="AT689" s="62">
        <v>19.179999999999971</v>
      </c>
      <c r="AV689" s="64">
        <v>3.7281698333333328</v>
      </c>
      <c r="AW689" s="56">
        <v>13.22000000000001</v>
      </c>
      <c r="AX689" s="56">
        <v>14.620000000000029</v>
      </c>
      <c r="AY689" s="62">
        <v>19.36</v>
      </c>
      <c r="BA689" s="64">
        <v>3.1824960833333331</v>
      </c>
      <c r="BB689" s="56">
        <v>16.479999999999961</v>
      </c>
      <c r="BC689" s="56">
        <v>18.99999999999995</v>
      </c>
      <c r="BD689" s="62">
        <v>31.319999999999929</v>
      </c>
      <c r="BF689" s="64">
        <v>2.9564379666666669</v>
      </c>
      <c r="BG689" s="56">
        <v>20.080000000000009</v>
      </c>
      <c r="BH689" s="56">
        <v>27.299999999999969</v>
      </c>
      <c r="BI689" s="62">
        <v>56.079999999999949</v>
      </c>
      <c r="BJ689" s="70"/>
      <c r="BK689" s="51"/>
    </row>
    <row r="690" spans="1:63" x14ac:dyDescent="0.4">
      <c r="A690" s="11" t="s">
        <v>767</v>
      </c>
      <c r="B690" s="4"/>
      <c r="C690" s="4"/>
      <c r="D690" s="4"/>
      <c r="E690" s="12"/>
      <c r="G690" s="147" t="s">
        <v>767</v>
      </c>
      <c r="H690" s="159">
        <v>70.028999999999996</v>
      </c>
      <c r="I690" s="153">
        <v>70.290000000000006</v>
      </c>
      <c r="J690" s="153">
        <v>70.31</v>
      </c>
      <c r="K690" s="153">
        <v>70.3</v>
      </c>
      <c r="L690" s="153">
        <v>70.319999999999993</v>
      </c>
      <c r="M690" s="80">
        <f t="shared" si="20"/>
        <v>70.319999999999993</v>
      </c>
      <c r="N690" s="80">
        <f t="shared" si="21"/>
        <v>70.290000000000006</v>
      </c>
      <c r="O690" s="153">
        <v>21.16</v>
      </c>
      <c r="P690" s="153">
        <v>21.07</v>
      </c>
      <c r="Q690" s="153">
        <v>21.15</v>
      </c>
      <c r="R690" s="153">
        <v>21.11</v>
      </c>
      <c r="S690" s="4"/>
      <c r="U690" s="147" t="s">
        <v>767</v>
      </c>
      <c r="V690" s="11"/>
      <c r="W690" s="4"/>
      <c r="X690" s="12"/>
      <c r="Y690" s="14"/>
      <c r="Z690" s="4"/>
      <c r="AA690" s="13"/>
      <c r="AB690" s="11"/>
      <c r="AC690" s="4"/>
      <c r="AD690" s="12"/>
      <c r="AE690" s="13"/>
      <c r="AF690" s="14">
        <v>5.0072000000000001</v>
      </c>
      <c r="AG690" s="133"/>
      <c r="AI690" s="84"/>
      <c r="AL690" s="64">
        <v>4.1712898166666674</v>
      </c>
      <c r="AM690" s="56">
        <v>14.539999999999861</v>
      </c>
      <c r="AN690" s="56">
        <v>16.460000000000012</v>
      </c>
      <c r="AO690" s="62">
        <v>22.719999999999981</v>
      </c>
      <c r="AQ690" s="64">
        <v>4.0795506333333336</v>
      </c>
      <c r="AR690" s="56">
        <v>13.86000000000003</v>
      </c>
      <c r="AS690" s="56">
        <v>15.220000000000059</v>
      </c>
      <c r="AT690" s="62">
        <v>19.30000000000005</v>
      </c>
      <c r="AV690" s="64">
        <v>3.72543815</v>
      </c>
      <c r="AW690" s="56">
        <v>13.37999999999999</v>
      </c>
      <c r="AX690" s="56">
        <v>14.75999999999997</v>
      </c>
      <c r="AY690" s="62">
        <v>19.519999999999978</v>
      </c>
      <c r="BA690" s="64">
        <v>3.186144216666666</v>
      </c>
      <c r="BB690" s="56">
        <v>16.460000000000012</v>
      </c>
      <c r="BC690" s="56">
        <v>18.900000000000009</v>
      </c>
      <c r="BD690" s="62">
        <v>30.859999999999928</v>
      </c>
      <c r="BF690" s="64">
        <v>2.9549770999999998</v>
      </c>
      <c r="BG690" s="56">
        <v>19.93999999999998</v>
      </c>
      <c r="BH690" s="56">
        <v>26.75999999999998</v>
      </c>
      <c r="BI690" s="62">
        <v>54.779999999999959</v>
      </c>
      <c r="BJ690" s="70"/>
      <c r="BK690" s="51"/>
    </row>
    <row r="691" spans="1:63" x14ac:dyDescent="0.4">
      <c r="A691" s="11" t="s">
        <v>768</v>
      </c>
      <c r="B691" s="4"/>
      <c r="C691" s="4"/>
      <c r="D691" s="4"/>
      <c r="E691" s="12"/>
      <c r="G691" s="147" t="s">
        <v>768</v>
      </c>
      <c r="H691" s="159">
        <v>70.063000000000002</v>
      </c>
      <c r="I691" s="153">
        <v>70.28</v>
      </c>
      <c r="J691" s="153">
        <v>70.34</v>
      </c>
      <c r="K691" s="153">
        <v>70.28</v>
      </c>
      <c r="L691" s="153">
        <v>70.37</v>
      </c>
      <c r="M691" s="80">
        <f t="shared" si="20"/>
        <v>70.37</v>
      </c>
      <c r="N691" s="80">
        <f t="shared" si="21"/>
        <v>70.28</v>
      </c>
      <c r="O691" s="153">
        <v>21.17</v>
      </c>
      <c r="P691" s="153">
        <v>21.09</v>
      </c>
      <c r="Q691" s="153">
        <v>21.13</v>
      </c>
      <c r="R691" s="153">
        <v>21.05</v>
      </c>
      <c r="S691" s="4"/>
      <c r="U691" s="147" t="s">
        <v>768</v>
      </c>
      <c r="V691" s="11"/>
      <c r="W691" s="4"/>
      <c r="X691" s="12"/>
      <c r="Y691" s="14"/>
      <c r="Z691" s="4"/>
      <c r="AA691" s="13"/>
      <c r="AB691" s="11"/>
      <c r="AC691" s="4"/>
      <c r="AD691" s="12"/>
      <c r="AE691" s="13"/>
      <c r="AF691" s="14">
        <v>5.008</v>
      </c>
      <c r="AG691" s="133"/>
      <c r="AI691" s="84"/>
      <c r="AL691" s="64">
        <v>4.1712132833333344</v>
      </c>
      <c r="AM691" s="56">
        <v>14.759999999999881</v>
      </c>
      <c r="AN691" s="56">
        <v>16.719999999999931</v>
      </c>
      <c r="AO691" s="62">
        <v>22.920000000000051</v>
      </c>
      <c r="AQ691" s="64">
        <v>4.0814994666666653</v>
      </c>
      <c r="AR691" s="56">
        <v>14.56</v>
      </c>
      <c r="AS691" s="56">
        <v>16.000000000000011</v>
      </c>
      <c r="AT691" s="62">
        <v>20.2</v>
      </c>
      <c r="AV691" s="64">
        <v>3.7275719500000002</v>
      </c>
      <c r="AW691" s="56">
        <v>14.33999999999997</v>
      </c>
      <c r="AX691" s="56">
        <v>15.799999999999949</v>
      </c>
      <c r="AY691" s="62">
        <v>20.699999999999989</v>
      </c>
      <c r="BA691" s="64">
        <v>3.183079133333333</v>
      </c>
      <c r="BB691" s="56">
        <v>17.520000000000021</v>
      </c>
      <c r="BC691" s="56">
        <v>20.080000000000009</v>
      </c>
      <c r="BD691" s="62">
        <v>32.420000000000023</v>
      </c>
      <c r="BF691" s="64">
        <v>2.9537723666666671</v>
      </c>
      <c r="BG691" s="56">
        <v>21.059999999999949</v>
      </c>
      <c r="BH691" s="56">
        <v>28.05999999999997</v>
      </c>
      <c r="BI691" s="62">
        <v>56.339999999999968</v>
      </c>
      <c r="BJ691" s="70"/>
      <c r="BK691" s="51"/>
    </row>
    <row r="692" spans="1:63" x14ac:dyDescent="0.4">
      <c r="A692" s="11" t="s">
        <v>769</v>
      </c>
      <c r="B692" s="4"/>
      <c r="C692" s="4"/>
      <c r="D692" s="4"/>
      <c r="E692" s="12"/>
      <c r="G692" s="147" t="s">
        <v>769</v>
      </c>
      <c r="H692" s="159">
        <v>69.921999999999997</v>
      </c>
      <c r="I692" s="153">
        <v>70.3</v>
      </c>
      <c r="J692" s="153">
        <v>70.34</v>
      </c>
      <c r="K692" s="153">
        <v>70.38</v>
      </c>
      <c r="L692" s="153">
        <v>70.349999999999994</v>
      </c>
      <c r="M692" s="80">
        <f t="shared" si="20"/>
        <v>70.38</v>
      </c>
      <c r="N692" s="80">
        <f t="shared" si="21"/>
        <v>70.3</v>
      </c>
      <c r="O692" s="153">
        <v>21.18</v>
      </c>
      <c r="P692" s="153">
        <v>21.05</v>
      </c>
      <c r="Q692" s="153">
        <v>21.16</v>
      </c>
      <c r="R692" s="153">
        <v>21.06</v>
      </c>
      <c r="S692" s="4"/>
      <c r="U692" s="147" t="s">
        <v>769</v>
      </c>
      <c r="V692" s="11"/>
      <c r="W692" s="4"/>
      <c r="X692" s="12"/>
      <c r="Y692" s="14"/>
      <c r="Z692" s="4"/>
      <c r="AA692" s="13"/>
      <c r="AB692" s="11"/>
      <c r="AC692" s="4"/>
      <c r="AD692" s="12"/>
      <c r="AE692" s="13"/>
      <c r="AF692" s="14">
        <v>5.0152000000000001</v>
      </c>
      <c r="AG692" s="133"/>
      <c r="AI692" s="84"/>
      <c r="AL692" s="64">
        <v>4.1714363333333333</v>
      </c>
      <c r="AM692" s="56">
        <v>15.04000000000012</v>
      </c>
      <c r="AN692" s="56">
        <v>16.96000000000009</v>
      </c>
      <c r="AO692" s="62">
        <v>23.200000000000109</v>
      </c>
      <c r="AQ692" s="64">
        <v>4.0789840000000002</v>
      </c>
      <c r="AR692" s="56">
        <v>14.32000000000002</v>
      </c>
      <c r="AS692" s="56">
        <v>15.73999999999991</v>
      </c>
      <c r="AT692" s="62">
        <v>19.93999999999998</v>
      </c>
      <c r="AV692" s="64">
        <v>3.7242472166666669</v>
      </c>
      <c r="AW692" s="56">
        <v>13.90000000000002</v>
      </c>
      <c r="AX692" s="56">
        <v>15.32</v>
      </c>
      <c r="AY692" s="62">
        <v>20.139999999999961</v>
      </c>
      <c r="BA692" s="64">
        <v>3.1790322166666671</v>
      </c>
      <c r="BB692" s="56">
        <v>16.96</v>
      </c>
      <c r="BC692" s="56">
        <v>19.460000000000029</v>
      </c>
      <c r="BD692" s="62">
        <v>31.740000000000009</v>
      </c>
      <c r="BF692" s="64">
        <v>2.949937633333334</v>
      </c>
      <c r="BG692" s="56">
        <v>20.599999999999952</v>
      </c>
      <c r="BH692" s="56">
        <v>27.36000000000001</v>
      </c>
      <c r="BI692" s="62">
        <v>55.579999999999963</v>
      </c>
      <c r="BJ692" s="70"/>
      <c r="BK692" s="51"/>
    </row>
    <row r="693" spans="1:63" x14ac:dyDescent="0.4">
      <c r="A693" s="11" t="s">
        <v>770</v>
      </c>
      <c r="B693" s="4"/>
      <c r="C693" s="4"/>
      <c r="D693" s="4"/>
      <c r="E693" s="12"/>
      <c r="G693" s="147" t="s">
        <v>770</v>
      </c>
      <c r="H693" s="159">
        <v>69.953999999999994</v>
      </c>
      <c r="I693" s="153">
        <v>70.34</v>
      </c>
      <c r="J693" s="153">
        <v>70.31</v>
      </c>
      <c r="K693" s="153">
        <v>70.31</v>
      </c>
      <c r="L693" s="153">
        <v>70.36</v>
      </c>
      <c r="M693" s="80">
        <f t="shared" si="20"/>
        <v>70.36</v>
      </c>
      <c r="N693" s="80">
        <f t="shared" si="21"/>
        <v>70.31</v>
      </c>
      <c r="O693" s="153">
        <v>21.1</v>
      </c>
      <c r="P693" s="153">
        <v>21.13</v>
      </c>
      <c r="Q693" s="153">
        <v>21.13</v>
      </c>
      <c r="R693" s="153">
        <v>21.07</v>
      </c>
      <c r="S693" s="4"/>
      <c r="U693" s="147" t="s">
        <v>770</v>
      </c>
      <c r="V693" s="11"/>
      <c r="W693" s="4"/>
      <c r="X693" s="12"/>
      <c r="Y693" s="14"/>
      <c r="Z693" s="4"/>
      <c r="AA693" s="13"/>
      <c r="AB693" s="11"/>
      <c r="AC693" s="4"/>
      <c r="AD693" s="12"/>
      <c r="AE693" s="13"/>
      <c r="AF693" s="14">
        <v>5.0166000000000004</v>
      </c>
      <c r="AG693" s="133"/>
      <c r="AI693" s="84"/>
      <c r="AL693" s="64">
        <v>4.1712030000000002</v>
      </c>
      <c r="AM693" s="56">
        <v>15.199999999999919</v>
      </c>
      <c r="AN693" s="56">
        <v>17.199999999999878</v>
      </c>
      <c r="AO693" s="62">
        <v>23.47999999999999</v>
      </c>
      <c r="AQ693" s="64">
        <v>4.0807196000000001</v>
      </c>
      <c r="AR693" s="56">
        <v>14.56</v>
      </c>
      <c r="AS693" s="56">
        <v>16.019999999999971</v>
      </c>
      <c r="AT693" s="62">
        <v>20.220000000000041</v>
      </c>
      <c r="AV693" s="64">
        <v>3.7272816666666668</v>
      </c>
      <c r="AW693" s="56">
        <v>14.15999999999995</v>
      </c>
      <c r="AX693" s="56">
        <v>15.619999999999919</v>
      </c>
      <c r="AY693" s="62">
        <v>20.479999999999961</v>
      </c>
      <c r="BA693" s="64">
        <v>3.183291783333333</v>
      </c>
      <c r="BB693" s="56">
        <v>17.060000000000031</v>
      </c>
      <c r="BC693" s="56">
        <v>19.639999999999969</v>
      </c>
      <c r="BD693" s="62">
        <v>31.86</v>
      </c>
      <c r="BF693" s="64">
        <v>2.9468860499999998</v>
      </c>
      <c r="BG693" s="56">
        <v>20.760000000000019</v>
      </c>
      <c r="BH693" s="56">
        <v>27.960000000000029</v>
      </c>
      <c r="BI693" s="62">
        <v>57.139999999999972</v>
      </c>
      <c r="BJ693" s="70"/>
      <c r="BK693" s="51"/>
    </row>
    <row r="694" spans="1:63" x14ac:dyDescent="0.4">
      <c r="A694" s="11" t="s">
        <v>771</v>
      </c>
      <c r="B694" s="4"/>
      <c r="C694" s="4"/>
      <c r="D694" s="4"/>
      <c r="E694" s="12"/>
      <c r="G694" s="147" t="s">
        <v>771</v>
      </c>
      <c r="H694" s="159">
        <v>69.933999999999997</v>
      </c>
      <c r="I694" s="153">
        <v>70.400000000000006</v>
      </c>
      <c r="J694" s="153">
        <v>70.36</v>
      </c>
      <c r="K694" s="153">
        <v>70.34</v>
      </c>
      <c r="L694" s="153">
        <v>70.36</v>
      </c>
      <c r="M694" s="80">
        <f t="shared" si="20"/>
        <v>70.400000000000006</v>
      </c>
      <c r="N694" s="80">
        <f t="shared" si="21"/>
        <v>70.34</v>
      </c>
      <c r="O694" s="153">
        <v>21.16</v>
      </c>
      <c r="P694" s="153">
        <v>21.06</v>
      </c>
      <c r="Q694" s="153">
        <v>21.12</v>
      </c>
      <c r="R694" s="153">
        <v>21.06</v>
      </c>
      <c r="S694" s="4"/>
      <c r="U694" s="147" t="s">
        <v>771</v>
      </c>
      <c r="V694" s="11"/>
      <c r="W694" s="4"/>
      <c r="X694" s="12"/>
      <c r="Y694" s="14"/>
      <c r="Z694" s="4"/>
      <c r="AA694" s="13"/>
      <c r="AB694" s="11"/>
      <c r="AC694" s="4"/>
      <c r="AD694" s="12"/>
      <c r="AE694" s="13"/>
      <c r="AF694" s="14">
        <v>5.0098000000000003</v>
      </c>
      <c r="AG694" s="133"/>
      <c r="AI694" s="84"/>
      <c r="AL694" s="64">
        <v>4.1715830166666663</v>
      </c>
      <c r="AM694" s="56">
        <v>14.33999999999997</v>
      </c>
      <c r="AN694" s="56">
        <v>16.279999999999891</v>
      </c>
      <c r="AO694" s="62">
        <v>22.539999999999871</v>
      </c>
      <c r="AQ694" s="64">
        <v>4.0817920500000007</v>
      </c>
      <c r="AR694" s="56">
        <v>13.940000000000021</v>
      </c>
      <c r="AS694" s="56">
        <v>15.360000000000079</v>
      </c>
      <c r="AT694" s="62">
        <v>19.500000000000028</v>
      </c>
      <c r="AV694" s="64">
        <v>3.7282735833333329</v>
      </c>
      <c r="AW694" s="56">
        <v>13.500000000000069</v>
      </c>
      <c r="AX694" s="56">
        <v>14.920000000000041</v>
      </c>
      <c r="AY694" s="62">
        <v>19.680000000000049</v>
      </c>
      <c r="BA694" s="64">
        <v>3.1856025666666672</v>
      </c>
      <c r="BB694" s="56">
        <v>16.5</v>
      </c>
      <c r="BC694" s="56">
        <v>18.99999999999995</v>
      </c>
      <c r="BD694" s="62">
        <v>31.079999999999949</v>
      </c>
      <c r="BF694" s="64">
        <v>2.9521187833333329</v>
      </c>
      <c r="BG694" s="56">
        <v>20.05999999999997</v>
      </c>
      <c r="BH694" s="56">
        <v>27.24000000000002</v>
      </c>
      <c r="BI694" s="62">
        <v>56.079999999999949</v>
      </c>
      <c r="BJ694" s="70"/>
      <c r="BK694" s="51"/>
    </row>
    <row r="695" spans="1:63" x14ac:dyDescent="0.4">
      <c r="A695" s="11" t="s">
        <v>772</v>
      </c>
      <c r="B695" s="4"/>
      <c r="C695" s="4"/>
      <c r="D695" s="4"/>
      <c r="E695" s="12"/>
      <c r="G695" s="147" t="s">
        <v>772</v>
      </c>
      <c r="H695" s="159">
        <v>69.991</v>
      </c>
      <c r="I695" s="153">
        <v>70.33</v>
      </c>
      <c r="J695" s="153">
        <v>70.28</v>
      </c>
      <c r="K695" s="153">
        <v>70.34</v>
      </c>
      <c r="L695" s="153">
        <v>70.39</v>
      </c>
      <c r="M695" s="80">
        <f t="shared" si="20"/>
        <v>70.39</v>
      </c>
      <c r="N695" s="80">
        <f t="shared" si="21"/>
        <v>70.28</v>
      </c>
      <c r="O695" s="153">
        <v>21.14</v>
      </c>
      <c r="P695" s="153">
        <v>21.04</v>
      </c>
      <c r="Q695" s="153">
        <v>21.06</v>
      </c>
      <c r="R695" s="153">
        <v>21.03</v>
      </c>
      <c r="S695" s="4"/>
      <c r="U695" s="147" t="s">
        <v>772</v>
      </c>
      <c r="V695" s="11"/>
      <c r="W695" s="4"/>
      <c r="X695" s="12"/>
      <c r="Y695" s="14"/>
      <c r="Z695" s="4"/>
      <c r="AA695" s="13"/>
      <c r="AB695" s="11"/>
      <c r="AC695" s="4"/>
      <c r="AD695" s="12"/>
      <c r="AE695" s="13"/>
      <c r="AF695" s="14">
        <v>4.9954000000000001</v>
      </c>
      <c r="AG695" s="133"/>
      <c r="AI695" s="84"/>
      <c r="AL695" s="64">
        <v>4.1712780333333326</v>
      </c>
      <c r="AM695" s="56">
        <v>14.86000000000001</v>
      </c>
      <c r="AN695" s="56">
        <v>16.79999999999993</v>
      </c>
      <c r="AO695" s="62">
        <v>23.039999999999949</v>
      </c>
      <c r="AQ695" s="64">
        <v>4.079927650000001</v>
      </c>
      <c r="AR695" s="56">
        <v>14.380000000000059</v>
      </c>
      <c r="AS695" s="56">
        <v>15.82000000000008</v>
      </c>
      <c r="AT695" s="62">
        <v>20.019999999999971</v>
      </c>
      <c r="AV695" s="64">
        <v>3.7260562833333339</v>
      </c>
      <c r="AW695" s="56">
        <v>13.940000000000021</v>
      </c>
      <c r="AX695" s="56">
        <v>15.36</v>
      </c>
      <c r="AY695" s="62">
        <v>20.180000000000039</v>
      </c>
      <c r="BA695" s="64">
        <v>3.1811613333333328</v>
      </c>
      <c r="BB695" s="56">
        <v>16.999999999999989</v>
      </c>
      <c r="BC695" s="56">
        <v>19.54000000000002</v>
      </c>
      <c r="BD695" s="62">
        <v>31.780000000000008</v>
      </c>
      <c r="BF695" s="64">
        <v>2.9474237166666661</v>
      </c>
      <c r="BG695" s="56">
        <v>20.64000000000004</v>
      </c>
      <c r="BH695" s="56">
        <v>27.82</v>
      </c>
      <c r="BI695" s="62">
        <v>56.82</v>
      </c>
      <c r="BJ695" s="70"/>
      <c r="BK695" s="51"/>
    </row>
    <row r="696" spans="1:63" x14ac:dyDescent="0.4">
      <c r="A696" s="11" t="s">
        <v>773</v>
      </c>
      <c r="B696" s="4"/>
      <c r="C696" s="4"/>
      <c r="D696" s="4"/>
      <c r="E696" s="12"/>
      <c r="G696" s="147" t="s">
        <v>773</v>
      </c>
      <c r="H696" s="159">
        <v>69.998999999999995</v>
      </c>
      <c r="I696" s="153">
        <v>70.290000000000006</v>
      </c>
      <c r="J696" s="153">
        <v>70.36</v>
      </c>
      <c r="K696" s="153">
        <v>70.3</v>
      </c>
      <c r="L696" s="153">
        <v>70.34</v>
      </c>
      <c r="M696" s="80">
        <f t="shared" si="20"/>
        <v>70.36</v>
      </c>
      <c r="N696" s="80">
        <f t="shared" si="21"/>
        <v>70.290000000000006</v>
      </c>
      <c r="O696" s="153">
        <v>21.22</v>
      </c>
      <c r="P696" s="153">
        <v>21.15</v>
      </c>
      <c r="Q696" s="153">
        <v>21.16</v>
      </c>
      <c r="R696" s="153">
        <v>21.08</v>
      </c>
      <c r="S696" s="4"/>
      <c r="U696" s="147" t="s">
        <v>773</v>
      </c>
      <c r="V696" s="11"/>
      <c r="W696" s="4"/>
      <c r="X696" s="12"/>
      <c r="Y696" s="14"/>
      <c r="Z696" s="4"/>
      <c r="AA696" s="13"/>
      <c r="AB696" s="11"/>
      <c r="AC696" s="4"/>
      <c r="AD696" s="12"/>
      <c r="AE696" s="13"/>
      <c r="AF696" s="14">
        <v>4.9894999999999996</v>
      </c>
      <c r="AG696" s="133"/>
      <c r="AI696" s="84"/>
      <c r="AL696" s="64">
        <v>4.1713608000000004</v>
      </c>
      <c r="AM696" s="56">
        <v>14.620000000000029</v>
      </c>
      <c r="AN696" s="56">
        <v>16.54</v>
      </c>
      <c r="AO696" s="62">
        <v>22.780000000000019</v>
      </c>
      <c r="AQ696" s="64">
        <v>4.0825268833333324</v>
      </c>
      <c r="AR696" s="56">
        <v>14.179999999999991</v>
      </c>
      <c r="AS696" s="56">
        <v>15.60000000000006</v>
      </c>
      <c r="AT696" s="62">
        <v>19.820000000000078</v>
      </c>
      <c r="AV696" s="64">
        <v>3.7279626499999998</v>
      </c>
      <c r="AW696" s="56">
        <v>13.68</v>
      </c>
      <c r="AX696" s="56">
        <v>15.120000000000021</v>
      </c>
      <c r="AY696" s="62">
        <v>19.93999999999998</v>
      </c>
      <c r="BA696" s="64">
        <v>3.183556283333334</v>
      </c>
      <c r="BB696" s="56">
        <v>17.079999999999981</v>
      </c>
      <c r="BC696" s="56">
        <v>19.679999999999961</v>
      </c>
      <c r="BD696" s="62">
        <v>32.160000000000011</v>
      </c>
      <c r="BF696" s="64">
        <v>2.9658162333333342</v>
      </c>
      <c r="BG696" s="56">
        <v>20.440000000000062</v>
      </c>
      <c r="BH696" s="56">
        <v>27.47999999999999</v>
      </c>
      <c r="BI696" s="62">
        <v>55.500000000000057</v>
      </c>
      <c r="BJ696" s="70"/>
      <c r="BK696" s="51"/>
    </row>
    <row r="697" spans="1:63" x14ac:dyDescent="0.4">
      <c r="A697" s="11" t="s">
        <v>774</v>
      </c>
      <c r="B697" s="4"/>
      <c r="C697" s="4"/>
      <c r="D697" s="4"/>
      <c r="E697" s="12"/>
      <c r="G697" s="147" t="s">
        <v>774</v>
      </c>
      <c r="H697" s="159">
        <v>69.938000000000002</v>
      </c>
      <c r="I697" s="153">
        <v>70.28</v>
      </c>
      <c r="J697" s="153">
        <v>70.33</v>
      </c>
      <c r="K697" s="153">
        <v>70.37</v>
      </c>
      <c r="L697" s="153">
        <v>70.319999999999993</v>
      </c>
      <c r="M697" s="80">
        <f t="shared" si="20"/>
        <v>70.37</v>
      </c>
      <c r="N697" s="80">
        <f t="shared" si="21"/>
        <v>70.28</v>
      </c>
      <c r="O697" s="153">
        <v>21.17</v>
      </c>
      <c r="P697" s="153">
        <v>21.02</v>
      </c>
      <c r="Q697" s="153">
        <v>21.14</v>
      </c>
      <c r="R697" s="153">
        <v>21.09</v>
      </c>
      <c r="S697" s="4"/>
      <c r="U697" s="147" t="s">
        <v>774</v>
      </c>
      <c r="V697" s="11"/>
      <c r="W697" s="4"/>
      <c r="X697" s="12"/>
      <c r="Y697" s="14"/>
      <c r="Z697" s="4"/>
      <c r="AA697" s="13"/>
      <c r="AB697" s="11"/>
      <c r="AC697" s="4"/>
      <c r="AD697" s="12"/>
      <c r="AE697" s="13"/>
      <c r="AF697" s="14">
        <v>4.9973999999999998</v>
      </c>
      <c r="AG697" s="133"/>
      <c r="AI697" s="84"/>
      <c r="AL697" s="64">
        <v>4.1706224833333332</v>
      </c>
      <c r="AM697" s="56">
        <v>14.1</v>
      </c>
      <c r="AN697" s="56">
        <v>16.040000000000099</v>
      </c>
      <c r="AO697" s="62">
        <v>22.18</v>
      </c>
      <c r="AQ697" s="64">
        <v>4.0829482500000003</v>
      </c>
      <c r="AR697" s="56">
        <v>13.86000000000003</v>
      </c>
      <c r="AS697" s="56">
        <v>15.28000000000009</v>
      </c>
      <c r="AT697" s="62">
        <v>19.420000000000041</v>
      </c>
      <c r="AV697" s="64">
        <v>3.7293788999999991</v>
      </c>
      <c r="AW697" s="56">
        <v>13.37999999999999</v>
      </c>
      <c r="AX697" s="56">
        <v>14.77999999999993</v>
      </c>
      <c r="AY697" s="62">
        <v>19.539999999999939</v>
      </c>
      <c r="BA697" s="64">
        <v>3.1826388666666672</v>
      </c>
      <c r="BB697" s="56">
        <v>16.579999999999991</v>
      </c>
      <c r="BC697" s="56">
        <v>19.139999999999979</v>
      </c>
      <c r="BD697" s="62">
        <v>31.58000000000003</v>
      </c>
      <c r="BF697" s="64">
        <v>2.9631705500000001</v>
      </c>
      <c r="BG697" s="56">
        <v>20.139999999999961</v>
      </c>
      <c r="BH697" s="56">
        <v>27.25999999999997</v>
      </c>
      <c r="BI697" s="62">
        <v>55.700000000000038</v>
      </c>
      <c r="BJ697" s="70"/>
      <c r="BK697" s="51"/>
    </row>
    <row r="698" spans="1:63" x14ac:dyDescent="0.4">
      <c r="A698" s="11" t="s">
        <v>775</v>
      </c>
      <c r="B698" s="4"/>
      <c r="C698" s="4"/>
      <c r="D698" s="4"/>
      <c r="E698" s="12"/>
      <c r="G698" s="147" t="s">
        <v>775</v>
      </c>
      <c r="H698" s="159">
        <v>70.093000000000004</v>
      </c>
      <c r="I698" s="153">
        <v>70.36</v>
      </c>
      <c r="J698" s="153">
        <v>70.37</v>
      </c>
      <c r="K698" s="153">
        <v>70.39</v>
      </c>
      <c r="L698" s="153">
        <v>70.3</v>
      </c>
      <c r="M698" s="80">
        <f t="shared" si="20"/>
        <v>70.39</v>
      </c>
      <c r="N698" s="80">
        <f t="shared" si="21"/>
        <v>70.3</v>
      </c>
      <c r="O698" s="153">
        <v>21.11</v>
      </c>
      <c r="P698" s="153">
        <v>21</v>
      </c>
      <c r="Q698" s="153">
        <v>21.15</v>
      </c>
      <c r="R698" s="153">
        <v>21.11</v>
      </c>
      <c r="S698" s="4"/>
      <c r="U698" s="147" t="s">
        <v>775</v>
      </c>
      <c r="V698" s="11"/>
      <c r="W698" s="4"/>
      <c r="X698" s="12"/>
      <c r="Y698" s="14"/>
      <c r="Z698" s="4"/>
      <c r="AA698" s="13"/>
      <c r="AB698" s="11"/>
      <c r="AC698" s="4"/>
      <c r="AD698" s="12"/>
      <c r="AE698" s="35"/>
      <c r="AF698" s="14">
        <v>5.0048000000000004</v>
      </c>
      <c r="AG698" s="133"/>
      <c r="AI698" s="84"/>
      <c r="AL698" s="64">
        <v>4.1709788999999997</v>
      </c>
      <c r="AM698" s="56">
        <v>14.739999999999929</v>
      </c>
      <c r="AN698" s="56">
        <v>16.679999999999851</v>
      </c>
      <c r="AO698" s="62">
        <v>22.94</v>
      </c>
      <c r="AQ698" s="64">
        <v>4.0817901833333341</v>
      </c>
      <c r="AR698" s="56">
        <v>14.140000000000089</v>
      </c>
      <c r="AS698" s="56">
        <v>15.56000000000015</v>
      </c>
      <c r="AT698" s="62">
        <v>19.740000000000091</v>
      </c>
      <c r="AV698" s="64">
        <v>3.727139349999999</v>
      </c>
      <c r="AW698" s="56">
        <v>13.81999999999994</v>
      </c>
      <c r="AX698" s="56">
        <v>15.21999999999997</v>
      </c>
      <c r="AY698" s="62">
        <v>20.04000000000001</v>
      </c>
      <c r="BA698" s="64">
        <v>3.1835451666666672</v>
      </c>
      <c r="BB698" s="56">
        <v>17.419999999999991</v>
      </c>
      <c r="BC698" s="56">
        <v>20.02000000000006</v>
      </c>
      <c r="BD698" s="62">
        <v>32.560000000000052</v>
      </c>
      <c r="BF698" s="64">
        <v>2.9706989500000009</v>
      </c>
      <c r="BG698" s="56">
        <v>20.759999999999931</v>
      </c>
      <c r="BH698" s="56">
        <v>27.899999999999991</v>
      </c>
      <c r="BI698" s="62">
        <v>55.799999999999983</v>
      </c>
      <c r="BJ698" s="70"/>
      <c r="BK698" s="51"/>
    </row>
    <row r="699" spans="1:63" x14ac:dyDescent="0.4">
      <c r="A699" s="11" t="s">
        <v>776</v>
      </c>
      <c r="B699" s="4"/>
      <c r="C699" s="4"/>
      <c r="D699" s="4"/>
      <c r="E699" s="12"/>
      <c r="G699" s="147" t="s">
        <v>776</v>
      </c>
      <c r="H699" s="159">
        <v>70.004999999999995</v>
      </c>
      <c r="I699" s="153">
        <v>70.319999999999993</v>
      </c>
      <c r="J699" s="153">
        <v>70.290000000000006</v>
      </c>
      <c r="K699" s="153">
        <v>70.400000000000006</v>
      </c>
      <c r="L699" s="153">
        <v>70.39</v>
      </c>
      <c r="M699" s="80">
        <f t="shared" si="20"/>
        <v>70.400000000000006</v>
      </c>
      <c r="N699" s="80">
        <f t="shared" si="21"/>
        <v>70.290000000000006</v>
      </c>
      <c r="O699" s="153">
        <v>21.22</v>
      </c>
      <c r="P699" s="153">
        <v>21.06</v>
      </c>
      <c r="Q699" s="153">
        <v>21.13</v>
      </c>
      <c r="R699" s="153">
        <v>21.09</v>
      </c>
      <c r="S699" s="4"/>
      <c r="U699" s="147" t="s">
        <v>776</v>
      </c>
      <c r="V699" s="11"/>
      <c r="W699" s="4"/>
      <c r="X699" s="12"/>
      <c r="Y699" s="14"/>
      <c r="Z699" s="4"/>
      <c r="AA699" s="13"/>
      <c r="AB699" s="11"/>
      <c r="AC699" s="4"/>
      <c r="AD699" s="12"/>
      <c r="AE699" s="13"/>
      <c r="AF699" s="14">
        <v>5.0335000000000001</v>
      </c>
      <c r="AG699" s="133"/>
      <c r="AI699" s="84"/>
      <c r="AL699" s="64">
        <v>4.170864533333333</v>
      </c>
      <c r="AM699" s="56">
        <v>14.32000000000002</v>
      </c>
      <c r="AN699" s="56">
        <v>16.239999999999991</v>
      </c>
      <c r="AO699" s="62">
        <v>22.40000000000002</v>
      </c>
      <c r="AQ699" s="64">
        <v>4.0816521999999997</v>
      </c>
      <c r="AR699" s="56">
        <v>13.79999999999999</v>
      </c>
      <c r="AS699" s="56">
        <v>15.199999999999919</v>
      </c>
      <c r="AT699" s="62">
        <v>19.319999999999919</v>
      </c>
      <c r="AV699" s="64">
        <v>3.728084466666667</v>
      </c>
      <c r="AW699" s="56">
        <v>13.36000000000004</v>
      </c>
      <c r="AX699" s="56">
        <v>14.74000000000002</v>
      </c>
      <c r="AY699" s="62">
        <v>19.480000000000079</v>
      </c>
      <c r="BA699" s="64">
        <v>3.1852691000000002</v>
      </c>
      <c r="BB699" s="56">
        <v>16.460000000000012</v>
      </c>
      <c r="BC699" s="56">
        <v>18.959999999999951</v>
      </c>
      <c r="BD699" s="62">
        <v>31.160000000000029</v>
      </c>
      <c r="BF699" s="64">
        <v>2.96465545</v>
      </c>
      <c r="BG699" s="56">
        <v>19.899999999999981</v>
      </c>
      <c r="BH699" s="56">
        <v>26.900000000000009</v>
      </c>
      <c r="BI699" s="62">
        <v>54.860000000000042</v>
      </c>
      <c r="BJ699" s="70"/>
      <c r="BK699" s="51"/>
    </row>
    <row r="700" spans="1:63" x14ac:dyDescent="0.4">
      <c r="A700" s="11" t="s">
        <v>777</v>
      </c>
      <c r="B700" s="4"/>
      <c r="C700" s="4"/>
      <c r="D700" s="4"/>
      <c r="E700" s="12"/>
      <c r="G700" s="147" t="s">
        <v>777</v>
      </c>
      <c r="H700" s="159">
        <v>69.911000000000001</v>
      </c>
      <c r="I700" s="153">
        <v>70.34</v>
      </c>
      <c r="J700" s="153">
        <v>70.38</v>
      </c>
      <c r="K700" s="153">
        <v>70.34</v>
      </c>
      <c r="L700" s="153">
        <v>70.349999999999994</v>
      </c>
      <c r="M700" s="80">
        <f t="shared" si="20"/>
        <v>70.38</v>
      </c>
      <c r="N700" s="80">
        <f t="shared" si="21"/>
        <v>70.34</v>
      </c>
      <c r="O700" s="153">
        <v>21.14</v>
      </c>
      <c r="P700" s="153">
        <v>21.06</v>
      </c>
      <c r="Q700" s="153">
        <v>21.1</v>
      </c>
      <c r="R700" s="153">
        <v>21.06</v>
      </c>
      <c r="S700" s="4"/>
      <c r="U700" s="147" t="s">
        <v>777</v>
      </c>
      <c r="V700" s="11"/>
      <c r="W700" s="4"/>
      <c r="X700" s="12"/>
      <c r="Y700" s="14"/>
      <c r="Z700" s="4"/>
      <c r="AA700" s="13"/>
      <c r="AB700" s="11"/>
      <c r="AC700" s="4"/>
      <c r="AD700" s="12"/>
      <c r="AE700" s="13"/>
      <c r="AF700" s="14">
        <v>5.0110999999999999</v>
      </c>
      <c r="AG700" s="133"/>
      <c r="AI700" s="84"/>
      <c r="AL700" s="64">
        <v>4.170593283333333</v>
      </c>
      <c r="AM700" s="56">
        <v>14.120000000000131</v>
      </c>
      <c r="AN700" s="56">
        <v>16.020000000000149</v>
      </c>
      <c r="AO700" s="62">
        <v>22.300000000000079</v>
      </c>
      <c r="AQ700" s="64">
        <v>4.0825798499999992</v>
      </c>
      <c r="AR700" s="56">
        <v>13.90000000000011</v>
      </c>
      <c r="AS700" s="56">
        <v>15.28000000000009</v>
      </c>
      <c r="AT700" s="62">
        <v>19.420000000000041</v>
      </c>
      <c r="AV700" s="64">
        <v>3.7281557000000012</v>
      </c>
      <c r="AW700" s="56">
        <v>13.44000000000003</v>
      </c>
      <c r="AX700" s="56">
        <v>14.820000000000009</v>
      </c>
      <c r="AY700" s="62">
        <v>19.600000000000058</v>
      </c>
      <c r="BA700" s="64">
        <v>3.1895538833333328</v>
      </c>
      <c r="BB700" s="56">
        <v>16.479999999999961</v>
      </c>
      <c r="BC700" s="56">
        <v>18.900000000000009</v>
      </c>
      <c r="BD700" s="62">
        <v>30.90000000000002</v>
      </c>
      <c r="BF700" s="64">
        <v>2.9624424999999999</v>
      </c>
      <c r="BG700" s="56">
        <v>19.039999999999949</v>
      </c>
      <c r="BH700" s="56">
        <v>26.43999999999993</v>
      </c>
      <c r="BI700" s="62">
        <v>54.159999999999982</v>
      </c>
      <c r="BJ700" s="70"/>
      <c r="BK700" s="51"/>
    </row>
    <row r="701" spans="1:63" x14ac:dyDescent="0.4">
      <c r="A701" s="11" t="s">
        <v>778</v>
      </c>
      <c r="B701" s="4"/>
      <c r="C701" s="4"/>
      <c r="D701" s="4"/>
      <c r="E701" s="12"/>
      <c r="G701" s="147" t="s">
        <v>778</v>
      </c>
      <c r="H701" s="159">
        <v>70.031999999999996</v>
      </c>
      <c r="I701" s="153">
        <v>70.28</v>
      </c>
      <c r="J701" s="153">
        <v>70.37</v>
      </c>
      <c r="K701" s="153">
        <v>70.290000000000006</v>
      </c>
      <c r="L701" s="153">
        <v>70.38</v>
      </c>
      <c r="M701" s="80">
        <f t="shared" si="20"/>
        <v>70.38</v>
      </c>
      <c r="N701" s="80">
        <f t="shared" si="21"/>
        <v>70.28</v>
      </c>
      <c r="O701" s="153">
        <v>21.2</v>
      </c>
      <c r="P701" s="153">
        <v>21.11</v>
      </c>
      <c r="Q701" s="153">
        <v>21.16</v>
      </c>
      <c r="R701" s="153">
        <v>20.99</v>
      </c>
      <c r="S701" s="4"/>
      <c r="U701" s="147" t="s">
        <v>778</v>
      </c>
      <c r="V701" s="11"/>
      <c r="W701" s="4"/>
      <c r="X701" s="12"/>
      <c r="Y701" s="14"/>
      <c r="Z701" s="4"/>
      <c r="AA701" s="13"/>
      <c r="AB701" s="11"/>
      <c r="AC701" s="4"/>
      <c r="AD701" s="12"/>
      <c r="AE701" s="13"/>
      <c r="AF701" s="14">
        <v>5.0132000000000003</v>
      </c>
      <c r="AG701" s="133"/>
      <c r="AI701" s="84"/>
      <c r="AL701" s="64">
        <v>4.1701248166666662</v>
      </c>
      <c r="AM701" s="56">
        <v>15.39999999999999</v>
      </c>
      <c r="AN701" s="56">
        <v>17.359999999999861</v>
      </c>
      <c r="AO701" s="62">
        <v>23.70000000000001</v>
      </c>
      <c r="AQ701" s="64">
        <v>4.0806660166666671</v>
      </c>
      <c r="AR701" s="56">
        <v>14.8200000000001</v>
      </c>
      <c r="AS701" s="56">
        <v>16.26000000000003</v>
      </c>
      <c r="AT701" s="62">
        <v>20.54</v>
      </c>
      <c r="AV701" s="64">
        <v>3.7256174166666671</v>
      </c>
      <c r="AW701" s="56">
        <v>14.41999999999997</v>
      </c>
      <c r="AX701" s="56">
        <v>15.87999999999994</v>
      </c>
      <c r="AY701" s="62">
        <v>20.819999999999968</v>
      </c>
      <c r="BA701" s="64">
        <v>3.1809084666666672</v>
      </c>
      <c r="BB701" s="56">
        <v>17.68000000000001</v>
      </c>
      <c r="BC701" s="56">
        <v>20.27999999999999</v>
      </c>
      <c r="BD701" s="62">
        <v>32.89999999999997</v>
      </c>
      <c r="BF701" s="64">
        <v>2.962725883333333</v>
      </c>
      <c r="BG701" s="56">
        <v>21.020000000000039</v>
      </c>
      <c r="BH701" s="56">
        <v>28.08000000000002</v>
      </c>
      <c r="BI701" s="62">
        <v>56.12000000000004</v>
      </c>
      <c r="BJ701" s="70"/>
      <c r="BK701" s="51"/>
    </row>
    <row r="702" spans="1:63" x14ac:dyDescent="0.4">
      <c r="A702" s="11" t="s">
        <v>779</v>
      </c>
      <c r="B702" s="4"/>
      <c r="C702" s="4"/>
      <c r="D702" s="4"/>
      <c r="E702" s="12"/>
      <c r="G702" s="147" t="s">
        <v>779</v>
      </c>
      <c r="H702" s="159">
        <v>70.105999999999995</v>
      </c>
      <c r="I702" s="153">
        <v>70.37</v>
      </c>
      <c r="J702" s="153">
        <v>70.36</v>
      </c>
      <c r="K702" s="153">
        <v>70.27</v>
      </c>
      <c r="L702" s="153">
        <v>70.31</v>
      </c>
      <c r="M702" s="80">
        <f t="shared" si="20"/>
        <v>70.37</v>
      </c>
      <c r="N702" s="80">
        <f t="shared" si="21"/>
        <v>70.27</v>
      </c>
      <c r="O702" s="153">
        <v>21.12</v>
      </c>
      <c r="P702" s="153">
        <v>21.07</v>
      </c>
      <c r="Q702" s="153">
        <v>21.14</v>
      </c>
      <c r="R702" s="153">
        <v>21.11</v>
      </c>
      <c r="S702" s="4"/>
      <c r="U702" s="147" t="s">
        <v>779</v>
      </c>
      <c r="V702" s="11"/>
      <c r="W702" s="4"/>
      <c r="X702" s="12"/>
      <c r="Y702" s="14"/>
      <c r="Z702" s="4"/>
      <c r="AA702" s="13"/>
      <c r="AB702" s="11"/>
      <c r="AC702" s="4"/>
      <c r="AD702" s="12"/>
      <c r="AE702" s="13"/>
      <c r="AF702" s="14">
        <v>4.9978999999999996</v>
      </c>
      <c r="AG702" s="133"/>
      <c r="AI702" s="84"/>
      <c r="AL702" s="64">
        <v>4.170712</v>
      </c>
      <c r="AM702" s="56">
        <v>14.700000000000021</v>
      </c>
      <c r="AN702" s="56">
        <v>16.63999999999994</v>
      </c>
      <c r="AO702" s="62">
        <v>22.84000000000006</v>
      </c>
      <c r="AQ702" s="64">
        <v>4.0808127166666663</v>
      </c>
      <c r="AR702" s="56">
        <v>14.25999999999998</v>
      </c>
      <c r="AS702" s="56">
        <v>15.7</v>
      </c>
      <c r="AT702" s="62">
        <v>19.879999999999939</v>
      </c>
      <c r="AV702" s="64">
        <v>3.726772866666666</v>
      </c>
      <c r="AW702" s="56">
        <v>14.02000000000001</v>
      </c>
      <c r="AX702" s="56">
        <v>15.439999999999991</v>
      </c>
      <c r="AY702" s="62">
        <v>20.26000000000003</v>
      </c>
      <c r="BA702" s="64">
        <v>3.1830840833333331</v>
      </c>
      <c r="BB702" s="56">
        <v>17.3</v>
      </c>
      <c r="BC702" s="56">
        <v>19.859999999999989</v>
      </c>
      <c r="BD702" s="62">
        <v>32.160000000000011</v>
      </c>
      <c r="BF702" s="64">
        <v>2.9559456499999999</v>
      </c>
      <c r="BG702" s="56">
        <v>20.760000000000019</v>
      </c>
      <c r="BH702" s="56">
        <v>27.660000000000021</v>
      </c>
      <c r="BI702" s="62">
        <v>55.620000000000047</v>
      </c>
      <c r="BJ702" s="69"/>
      <c r="BK702" s="51"/>
    </row>
    <row r="703" spans="1:63" x14ac:dyDescent="0.4">
      <c r="A703" s="11" t="s">
        <v>780</v>
      </c>
      <c r="B703" s="4"/>
      <c r="C703" s="4"/>
      <c r="D703" s="4"/>
      <c r="E703" s="12"/>
      <c r="G703" s="147" t="s">
        <v>780</v>
      </c>
      <c r="H703" s="159">
        <v>69.924000000000007</v>
      </c>
      <c r="I703" s="153">
        <v>70.3</v>
      </c>
      <c r="J703" s="153">
        <v>70.319999999999993</v>
      </c>
      <c r="K703" s="153">
        <v>70.28</v>
      </c>
      <c r="L703" s="153">
        <v>70.39</v>
      </c>
      <c r="M703" s="80">
        <f t="shared" si="20"/>
        <v>70.39</v>
      </c>
      <c r="N703" s="80">
        <f t="shared" si="21"/>
        <v>70.28</v>
      </c>
      <c r="O703" s="153">
        <v>21.18</v>
      </c>
      <c r="P703" s="153">
        <v>21.05</v>
      </c>
      <c r="Q703" s="153">
        <v>21.12</v>
      </c>
      <c r="R703" s="153">
        <v>21.11</v>
      </c>
      <c r="S703" s="4"/>
      <c r="U703" s="147" t="s">
        <v>780</v>
      </c>
      <c r="V703" s="11"/>
      <c r="W703" s="4"/>
      <c r="X703" s="12"/>
      <c r="Y703" s="14"/>
      <c r="Z703" s="4"/>
      <c r="AA703" s="13"/>
      <c r="AB703" s="11"/>
      <c r="AC703" s="4"/>
      <c r="AD703" s="12"/>
      <c r="AE703" s="13"/>
      <c r="AF703" s="14">
        <v>5.0174000000000003</v>
      </c>
      <c r="AG703" s="133"/>
      <c r="AI703" s="84"/>
      <c r="AL703" s="64">
        <v>4.1705444333333332</v>
      </c>
      <c r="AM703" s="56">
        <v>16.000000000000011</v>
      </c>
      <c r="AN703" s="56">
        <v>18.060000000000009</v>
      </c>
      <c r="AO703" s="62">
        <v>24.419999999999931</v>
      </c>
      <c r="AQ703" s="64">
        <v>4.0813603333333344</v>
      </c>
      <c r="AR703" s="56">
        <v>15.460000000000029</v>
      </c>
      <c r="AS703" s="56">
        <v>16.98000000000004</v>
      </c>
      <c r="AT703" s="62">
        <v>21.44000000000004</v>
      </c>
      <c r="AV703" s="64">
        <v>3.7282830833333329</v>
      </c>
      <c r="AW703" s="56">
        <v>14.9</v>
      </c>
      <c r="AX703" s="56">
        <v>16.420000000000009</v>
      </c>
      <c r="AY703" s="62">
        <v>21.480000000000029</v>
      </c>
      <c r="BA703" s="64">
        <v>3.183515283333334</v>
      </c>
      <c r="BB703" s="56">
        <v>17.940000000000019</v>
      </c>
      <c r="BC703" s="56">
        <v>20.639999999999951</v>
      </c>
      <c r="BD703" s="62">
        <v>33.359999999999957</v>
      </c>
      <c r="BF703" s="64">
        <v>2.9625903</v>
      </c>
      <c r="BG703" s="56">
        <v>21.619999999999969</v>
      </c>
      <c r="BH703" s="56">
        <v>28.580000000000009</v>
      </c>
      <c r="BI703" s="62">
        <v>56.939999999999991</v>
      </c>
      <c r="BJ703" s="69"/>
      <c r="BK703" s="51"/>
    </row>
    <row r="704" spans="1:63" x14ac:dyDescent="0.4">
      <c r="A704" s="11" t="s">
        <v>781</v>
      </c>
      <c r="B704" s="4"/>
      <c r="C704" s="4"/>
      <c r="D704" s="4"/>
      <c r="E704" s="12"/>
      <c r="G704" s="147" t="s">
        <v>781</v>
      </c>
      <c r="H704" s="159">
        <v>69.930999999999997</v>
      </c>
      <c r="I704" s="153">
        <v>70.34</v>
      </c>
      <c r="J704" s="153">
        <v>70.31</v>
      </c>
      <c r="K704" s="153">
        <v>70.319999999999993</v>
      </c>
      <c r="L704" s="153">
        <v>70.33</v>
      </c>
      <c r="M704" s="80">
        <f t="shared" si="20"/>
        <v>70.34</v>
      </c>
      <c r="N704" s="80">
        <f t="shared" si="21"/>
        <v>70.31</v>
      </c>
      <c r="O704" s="153">
        <v>21.21</v>
      </c>
      <c r="P704" s="153">
        <v>21.05</v>
      </c>
      <c r="Q704" s="153">
        <v>21.15</v>
      </c>
      <c r="R704" s="153">
        <v>21.05</v>
      </c>
      <c r="S704" s="4"/>
      <c r="U704" s="147" t="s">
        <v>781</v>
      </c>
      <c r="V704" s="11"/>
      <c r="W704" s="4"/>
      <c r="X704" s="12"/>
      <c r="Y704" s="14"/>
      <c r="Z704" s="4"/>
      <c r="AA704" s="13"/>
      <c r="AB704" s="11"/>
      <c r="AC704" s="4"/>
      <c r="AD704" s="12"/>
      <c r="AE704" s="13"/>
      <c r="AF704" s="14">
        <v>5.0152000000000001</v>
      </c>
      <c r="AG704" s="133"/>
      <c r="AI704" s="84"/>
      <c r="AL704" s="64">
        <v>4.1709574833333338</v>
      </c>
      <c r="AM704" s="56">
        <v>14.48</v>
      </c>
      <c r="AN704" s="56">
        <v>16.39999999999997</v>
      </c>
      <c r="AO704" s="62">
        <v>22.619999999999859</v>
      </c>
      <c r="AQ704" s="64">
        <v>4.0819943666666667</v>
      </c>
      <c r="AR704" s="56">
        <v>14.059999999999921</v>
      </c>
      <c r="AS704" s="56">
        <v>15.460000000000029</v>
      </c>
      <c r="AT704" s="62">
        <v>19.599999999999969</v>
      </c>
      <c r="AV704" s="64">
        <v>3.7279479333333332</v>
      </c>
      <c r="AW704" s="56">
        <v>13.60000000000001</v>
      </c>
      <c r="AX704" s="56">
        <v>15.000000000000041</v>
      </c>
      <c r="AY704" s="62">
        <v>19.78</v>
      </c>
      <c r="BA704" s="64">
        <v>3.1841919833333341</v>
      </c>
      <c r="BB704" s="56">
        <v>16.739999999999981</v>
      </c>
      <c r="BC704" s="56">
        <v>19.260000000000051</v>
      </c>
      <c r="BD704" s="62">
        <v>31.500000000000039</v>
      </c>
      <c r="BF704" s="64">
        <v>2.9559171333333332</v>
      </c>
      <c r="BG704" s="56">
        <v>20.17999999999995</v>
      </c>
      <c r="BH704" s="56">
        <v>27.339999999999961</v>
      </c>
      <c r="BI704" s="62">
        <v>55.980000000000011</v>
      </c>
      <c r="BJ704" s="70"/>
      <c r="BK704" s="51"/>
    </row>
    <row r="705" spans="1:63" x14ac:dyDescent="0.4">
      <c r="A705" s="11" t="s">
        <v>782</v>
      </c>
      <c r="B705" s="4"/>
      <c r="C705" s="4"/>
      <c r="D705" s="4"/>
      <c r="E705" s="12"/>
      <c r="G705" s="147" t="s">
        <v>782</v>
      </c>
      <c r="H705" s="159">
        <v>69.911000000000001</v>
      </c>
      <c r="I705" s="153">
        <v>70.349999999999994</v>
      </c>
      <c r="J705" s="153">
        <v>70.34</v>
      </c>
      <c r="K705" s="153">
        <v>70.39</v>
      </c>
      <c r="L705" s="153">
        <v>70.33</v>
      </c>
      <c r="M705" s="80">
        <f t="shared" si="20"/>
        <v>70.39</v>
      </c>
      <c r="N705" s="80">
        <f t="shared" si="21"/>
        <v>70.33</v>
      </c>
      <c r="O705" s="153">
        <v>21.19</v>
      </c>
      <c r="P705" s="153">
        <v>21.07</v>
      </c>
      <c r="Q705" s="153">
        <v>21.14</v>
      </c>
      <c r="R705" s="153">
        <v>21.04</v>
      </c>
      <c r="S705" s="4"/>
      <c r="U705" s="147" t="s">
        <v>782</v>
      </c>
      <c r="V705" s="11"/>
      <c r="W705" s="4"/>
      <c r="X705" s="12"/>
      <c r="Y705" s="14"/>
      <c r="Z705" s="4"/>
      <c r="AA705" s="13"/>
      <c r="AB705" s="11"/>
      <c r="AC705" s="4"/>
      <c r="AD705" s="12"/>
      <c r="AE705" s="13"/>
      <c r="AF705" s="14">
        <v>5.0038999999999998</v>
      </c>
      <c r="AG705" s="133"/>
      <c r="AI705" s="84"/>
      <c r="AL705" s="64">
        <v>4.1709231666666664</v>
      </c>
      <c r="AM705" s="56">
        <v>14.94</v>
      </c>
      <c r="AN705" s="56">
        <v>16.900000000000048</v>
      </c>
      <c r="AO705" s="62">
        <v>23.179999999999978</v>
      </c>
      <c r="AQ705" s="64">
        <v>4.0814379500000006</v>
      </c>
      <c r="AR705" s="56">
        <v>14.41999999999997</v>
      </c>
      <c r="AS705" s="56">
        <v>15.859999999999991</v>
      </c>
      <c r="AT705" s="62">
        <v>20.080000000000009</v>
      </c>
      <c r="AV705" s="64">
        <v>3.7274325166666671</v>
      </c>
      <c r="AW705" s="56">
        <v>13.99999999999997</v>
      </c>
      <c r="AX705" s="56">
        <v>15.439999999999991</v>
      </c>
      <c r="AY705" s="62">
        <v>20.300000000000029</v>
      </c>
      <c r="BA705" s="64">
        <v>3.183478566666667</v>
      </c>
      <c r="BB705" s="56">
        <v>17.11999999999998</v>
      </c>
      <c r="BC705" s="56">
        <v>19.679999999999961</v>
      </c>
      <c r="BD705" s="62">
        <v>31.97999999999999</v>
      </c>
      <c r="BF705" s="64">
        <v>2.955471516666667</v>
      </c>
      <c r="BG705" s="56">
        <v>20.600000000000041</v>
      </c>
      <c r="BH705" s="56">
        <v>27.70000000000001</v>
      </c>
      <c r="BI705" s="62">
        <v>56.160000000000032</v>
      </c>
      <c r="BJ705" s="70"/>
      <c r="BK705" s="51"/>
    </row>
    <row r="706" spans="1:63" x14ac:dyDescent="0.4">
      <c r="A706" s="11" t="s">
        <v>783</v>
      </c>
      <c r="B706" s="4"/>
      <c r="C706" s="4"/>
      <c r="D706" s="4"/>
      <c r="E706" s="12"/>
      <c r="G706" s="147" t="s">
        <v>783</v>
      </c>
      <c r="H706" s="159">
        <v>70.091999999999999</v>
      </c>
      <c r="I706" s="153">
        <v>70.400000000000006</v>
      </c>
      <c r="J706" s="153">
        <v>70.38</v>
      </c>
      <c r="K706" s="153">
        <v>70.3</v>
      </c>
      <c r="L706" s="153">
        <v>70.39</v>
      </c>
      <c r="M706" s="80">
        <f t="shared" si="20"/>
        <v>70.400000000000006</v>
      </c>
      <c r="N706" s="80">
        <f t="shared" si="21"/>
        <v>70.3</v>
      </c>
      <c r="O706" s="153">
        <v>21.13</v>
      </c>
      <c r="P706" s="153">
        <v>21.14</v>
      </c>
      <c r="Q706" s="153">
        <v>21.16</v>
      </c>
      <c r="R706" s="153">
        <v>21.09</v>
      </c>
      <c r="S706" s="4"/>
      <c r="U706" s="147" t="s">
        <v>783</v>
      </c>
      <c r="V706" s="11"/>
      <c r="W706" s="4"/>
      <c r="X706" s="12"/>
      <c r="Y706" s="14"/>
      <c r="Z706" s="4"/>
      <c r="AA706" s="13"/>
      <c r="AB706" s="11"/>
      <c r="AC706" s="4"/>
      <c r="AD706" s="12"/>
      <c r="AE706" s="13"/>
      <c r="AF706" s="14">
        <v>4.9945000000000004</v>
      </c>
      <c r="AG706" s="133"/>
      <c r="AI706" s="84"/>
      <c r="AL706" s="64">
        <v>4.1707835500000003</v>
      </c>
      <c r="AM706" s="56">
        <v>14.84000000000005</v>
      </c>
      <c r="AN706" s="56">
        <v>16.879999999999921</v>
      </c>
      <c r="AO706" s="62">
        <v>23.13999999999989</v>
      </c>
      <c r="AQ706" s="64">
        <v>4.0812755166666657</v>
      </c>
      <c r="AR706" s="56">
        <v>14.25999999999998</v>
      </c>
      <c r="AS706" s="56">
        <v>15.67999999999987</v>
      </c>
      <c r="AT706" s="62">
        <v>19.879999999999939</v>
      </c>
      <c r="AV706" s="64">
        <v>3.7263923999999999</v>
      </c>
      <c r="AW706" s="56">
        <v>13.88000000000007</v>
      </c>
      <c r="AX706" s="56">
        <v>15.32</v>
      </c>
      <c r="AY706" s="62">
        <v>20.14000000000005</v>
      </c>
      <c r="BA706" s="64">
        <v>3.1827466666666671</v>
      </c>
      <c r="BB706" s="56">
        <v>17.520000000000021</v>
      </c>
      <c r="BC706" s="56">
        <v>20.180000000000039</v>
      </c>
      <c r="BD706" s="62">
        <v>32.779999999999987</v>
      </c>
      <c r="BF706" s="64">
        <v>2.972581916666666</v>
      </c>
      <c r="BG706" s="56">
        <v>21.039999999999988</v>
      </c>
      <c r="BH706" s="56">
        <v>28.120000000000012</v>
      </c>
      <c r="BI706" s="62">
        <v>55.959999999999972</v>
      </c>
      <c r="BJ706" s="70"/>
      <c r="BK706" s="51"/>
    </row>
    <row r="707" spans="1:63" x14ac:dyDescent="0.4">
      <c r="A707" s="11" t="s">
        <v>784</v>
      </c>
      <c r="B707" s="4"/>
      <c r="C707" s="4"/>
      <c r="D707" s="4"/>
      <c r="E707" s="12"/>
      <c r="G707" s="147" t="s">
        <v>784</v>
      </c>
      <c r="H707" s="159">
        <v>70.007999999999996</v>
      </c>
      <c r="I707" s="153">
        <v>70.290000000000006</v>
      </c>
      <c r="J707" s="153">
        <v>70.38</v>
      </c>
      <c r="K707" s="153">
        <v>70.319999999999993</v>
      </c>
      <c r="L707" s="153">
        <v>70.38</v>
      </c>
      <c r="M707" s="80">
        <f t="shared" si="20"/>
        <v>70.38</v>
      </c>
      <c r="N707" s="80">
        <f t="shared" si="21"/>
        <v>70.290000000000006</v>
      </c>
      <c r="O707" s="153">
        <v>21.16</v>
      </c>
      <c r="P707" s="153">
        <v>21.08</v>
      </c>
      <c r="Q707" s="153">
        <v>21.15</v>
      </c>
      <c r="R707" s="153">
        <v>21.08</v>
      </c>
      <c r="S707" s="4"/>
      <c r="U707" s="147" t="s">
        <v>784</v>
      </c>
      <c r="V707" s="11"/>
      <c r="W707" s="4"/>
      <c r="X707" s="12"/>
      <c r="Y707" s="14"/>
      <c r="Z707" s="4"/>
      <c r="AA707" s="13"/>
      <c r="AB707" s="11"/>
      <c r="AC707" s="4"/>
      <c r="AD707" s="12"/>
      <c r="AE707" s="13"/>
      <c r="AF707" s="14">
        <v>5.0084999999999997</v>
      </c>
      <c r="AG707" s="133"/>
      <c r="AI707" s="84"/>
      <c r="AL707" s="64">
        <v>4.170589866666667</v>
      </c>
      <c r="AM707" s="56">
        <v>15.26000000000014</v>
      </c>
      <c r="AN707" s="56">
        <v>17.240000000000141</v>
      </c>
      <c r="AO707" s="62">
        <v>23.42000000000013</v>
      </c>
      <c r="AQ707" s="64">
        <v>4.0804741</v>
      </c>
      <c r="AR707" s="56">
        <v>14.86000000000001</v>
      </c>
      <c r="AS707" s="56">
        <v>16.359999999999971</v>
      </c>
      <c r="AT707" s="62">
        <v>20.77999999999998</v>
      </c>
      <c r="AV707" s="64">
        <v>3.7269588666666671</v>
      </c>
      <c r="AW707" s="56">
        <v>14.400000000000009</v>
      </c>
      <c r="AX707" s="56">
        <v>15.899999999999981</v>
      </c>
      <c r="AY707" s="62">
        <v>20.899999999999959</v>
      </c>
      <c r="BA707" s="64">
        <v>3.1810578833333341</v>
      </c>
      <c r="BB707" s="56">
        <v>17.69999999999996</v>
      </c>
      <c r="BC707" s="56">
        <v>20.340000000000021</v>
      </c>
      <c r="BD707" s="62">
        <v>33.01999999999996</v>
      </c>
      <c r="BF707" s="64">
        <v>2.9662926666666669</v>
      </c>
      <c r="BG707" s="56">
        <v>21</v>
      </c>
      <c r="BH707" s="56">
        <v>28.039999999999932</v>
      </c>
      <c r="BI707" s="62">
        <v>56.039999999999957</v>
      </c>
      <c r="BJ707" s="70"/>
      <c r="BK707" s="51"/>
    </row>
    <row r="708" spans="1:63" x14ac:dyDescent="0.4">
      <c r="A708" s="11" t="s">
        <v>785</v>
      </c>
      <c r="B708" s="4"/>
      <c r="C708" s="4"/>
      <c r="D708" s="4"/>
      <c r="E708" s="12"/>
      <c r="G708" s="147" t="s">
        <v>785</v>
      </c>
      <c r="H708" s="159">
        <v>70.025999999999996</v>
      </c>
      <c r="I708" s="153">
        <v>70.38</v>
      </c>
      <c r="J708" s="153">
        <v>70.37</v>
      </c>
      <c r="K708" s="153">
        <v>70.37</v>
      </c>
      <c r="L708" s="153">
        <v>70.31</v>
      </c>
      <c r="M708" s="80">
        <f t="shared" si="20"/>
        <v>70.38</v>
      </c>
      <c r="N708" s="80">
        <f t="shared" si="21"/>
        <v>70.31</v>
      </c>
      <c r="O708" s="153">
        <v>21.17</v>
      </c>
      <c r="P708" s="153">
        <v>21.1</v>
      </c>
      <c r="Q708" s="153">
        <v>21.17</v>
      </c>
      <c r="R708" s="153">
        <v>21.12</v>
      </c>
      <c r="S708" s="4"/>
      <c r="U708" s="147" t="s">
        <v>785</v>
      </c>
      <c r="V708" s="11"/>
      <c r="W708" s="4"/>
      <c r="X708" s="12"/>
      <c r="Y708" s="14"/>
      <c r="Z708" s="4"/>
      <c r="AA708" s="13"/>
      <c r="AB708" s="11"/>
      <c r="AC708" s="4"/>
      <c r="AD708" s="12"/>
      <c r="AE708" s="13"/>
      <c r="AF708" s="14">
        <v>4.9981999999999998</v>
      </c>
      <c r="AG708" s="133"/>
      <c r="AI708" s="84"/>
      <c r="AL708" s="64">
        <v>4.171095516666667</v>
      </c>
      <c r="AM708" s="56">
        <v>14.279999999999941</v>
      </c>
      <c r="AN708" s="56">
        <v>16.220000000000031</v>
      </c>
      <c r="AO708" s="62">
        <v>22.40000000000002</v>
      </c>
      <c r="AQ708" s="64">
        <v>4.082644366666667</v>
      </c>
      <c r="AR708" s="56">
        <v>13.940000000000021</v>
      </c>
      <c r="AS708" s="56">
        <v>15.360000000000079</v>
      </c>
      <c r="AT708" s="62">
        <v>19.519999999999978</v>
      </c>
      <c r="AV708" s="64">
        <v>3.7281711333333329</v>
      </c>
      <c r="AW708" s="56">
        <v>13.66000000000005</v>
      </c>
      <c r="AX708" s="56">
        <v>15.040000000000029</v>
      </c>
      <c r="AY708" s="62">
        <v>19.840000000000039</v>
      </c>
      <c r="BA708" s="64">
        <v>3.184389533333333</v>
      </c>
      <c r="BB708" s="56">
        <v>17.419999999999991</v>
      </c>
      <c r="BC708" s="56">
        <v>20.019999999999971</v>
      </c>
      <c r="BD708" s="62">
        <v>32.539999999999921</v>
      </c>
      <c r="BF708" s="64">
        <v>2.9720266999999998</v>
      </c>
      <c r="BG708" s="56">
        <v>20.939999999999959</v>
      </c>
      <c r="BH708" s="56">
        <v>27.879999999999949</v>
      </c>
      <c r="BI708" s="62">
        <v>55.659999999999947</v>
      </c>
      <c r="BJ708" s="70"/>
      <c r="BK708" s="51"/>
    </row>
    <row r="709" spans="1:63" x14ac:dyDescent="0.4">
      <c r="A709" s="11" t="s">
        <v>786</v>
      </c>
      <c r="B709" s="4"/>
      <c r="C709" s="4"/>
      <c r="D709" s="4"/>
      <c r="E709" s="12"/>
      <c r="G709" s="147" t="s">
        <v>786</v>
      </c>
      <c r="H709" s="159">
        <v>70.162999999999997</v>
      </c>
      <c r="I709" s="153">
        <v>70.28</v>
      </c>
      <c r="J709" s="153">
        <v>70.319999999999993</v>
      </c>
      <c r="K709" s="153">
        <v>70.290000000000006</v>
      </c>
      <c r="L709" s="153">
        <v>70.36</v>
      </c>
      <c r="M709" s="80">
        <f t="shared" si="20"/>
        <v>70.36</v>
      </c>
      <c r="N709" s="80">
        <f t="shared" si="21"/>
        <v>70.28</v>
      </c>
      <c r="O709" s="153">
        <v>21.13</v>
      </c>
      <c r="P709" s="153">
        <v>21.1</v>
      </c>
      <c r="Q709" s="153">
        <v>21.12</v>
      </c>
      <c r="R709" s="153">
        <v>21.1</v>
      </c>
      <c r="S709" s="4"/>
      <c r="U709" s="147" t="s">
        <v>786</v>
      </c>
      <c r="V709" s="11"/>
      <c r="W709" s="4"/>
      <c r="X709" s="12"/>
      <c r="Y709" s="14"/>
      <c r="Z709" s="4"/>
      <c r="AA709" s="13"/>
      <c r="AB709" s="11"/>
      <c r="AC709" s="4"/>
      <c r="AD709" s="12"/>
      <c r="AE709" s="13"/>
      <c r="AF709" s="14">
        <v>5.0183999999999997</v>
      </c>
      <c r="AG709" s="133"/>
      <c r="AI709" s="84"/>
      <c r="AL709" s="64">
        <v>4.1704484999999991</v>
      </c>
      <c r="AM709" s="56">
        <v>14.460000000000051</v>
      </c>
      <c r="AN709" s="56">
        <v>16.39999999999997</v>
      </c>
      <c r="AO709" s="62">
        <v>22.540000000000049</v>
      </c>
      <c r="AQ709" s="64">
        <v>4.0818479166666668</v>
      </c>
      <c r="AR709" s="56">
        <v>13.9800000000001</v>
      </c>
      <c r="AS709" s="56">
        <v>15.38000000000004</v>
      </c>
      <c r="AT709" s="62">
        <v>19.559999999999981</v>
      </c>
      <c r="AV709" s="64">
        <v>3.727866633333333</v>
      </c>
      <c r="AW709" s="56">
        <v>13.54000000000006</v>
      </c>
      <c r="AX709" s="56">
        <v>14.94</v>
      </c>
      <c r="AY709" s="62">
        <v>19.720000000000049</v>
      </c>
      <c r="BA709" s="64">
        <v>3.18121075</v>
      </c>
      <c r="BB709" s="56">
        <v>16.88000000000001</v>
      </c>
      <c r="BC709" s="56">
        <v>19.460000000000029</v>
      </c>
      <c r="BD709" s="62">
        <v>31.919999999999948</v>
      </c>
      <c r="BF709" s="64">
        <v>2.9640955</v>
      </c>
      <c r="BG709" s="56">
        <v>20.340000000000021</v>
      </c>
      <c r="BH709" s="56">
        <v>27.44</v>
      </c>
      <c r="BI709" s="62">
        <v>55.660000000000039</v>
      </c>
      <c r="BJ709" s="69"/>
      <c r="BK709" s="51"/>
    </row>
    <row r="710" spans="1:63" x14ac:dyDescent="0.4">
      <c r="A710" s="11" t="s">
        <v>787</v>
      </c>
      <c r="B710" s="4"/>
      <c r="C710" s="4"/>
      <c r="D710" s="4"/>
      <c r="E710" s="12"/>
      <c r="G710" s="147" t="s">
        <v>787</v>
      </c>
      <c r="H710" s="159">
        <v>70.122</v>
      </c>
      <c r="I710" s="153">
        <v>70.31</v>
      </c>
      <c r="J710" s="153">
        <v>70.400000000000006</v>
      </c>
      <c r="K710" s="153">
        <v>70.349999999999994</v>
      </c>
      <c r="L710" s="153">
        <v>70.38</v>
      </c>
      <c r="M710" s="80">
        <f t="shared" ref="M710:M773" si="22">MAX(I710:L710)</f>
        <v>70.400000000000006</v>
      </c>
      <c r="N710" s="80">
        <f t="shared" ref="N710:N773" si="23">MIN(I710:L710)</f>
        <v>70.31</v>
      </c>
      <c r="O710" s="153">
        <v>21.17</v>
      </c>
      <c r="P710" s="153">
        <v>21.08</v>
      </c>
      <c r="Q710" s="153">
        <v>21.11</v>
      </c>
      <c r="R710" s="153">
        <v>21.08</v>
      </c>
      <c r="S710" s="4"/>
      <c r="U710" s="147" t="s">
        <v>787</v>
      </c>
      <c r="V710" s="11"/>
      <c r="W710" s="4"/>
      <c r="X710" s="12"/>
      <c r="Y710" s="14"/>
      <c r="Z710" s="4"/>
      <c r="AA710" s="13"/>
      <c r="AB710" s="11"/>
      <c r="AC710" s="4"/>
      <c r="AD710" s="12"/>
      <c r="AE710" s="13"/>
      <c r="AF710" s="14">
        <v>4.9962</v>
      </c>
      <c r="AG710" s="133"/>
      <c r="AI710" s="84"/>
      <c r="AL710" s="64">
        <v>4.1712957499999996</v>
      </c>
      <c r="AM710" s="56">
        <v>15.539999999999839</v>
      </c>
      <c r="AN710" s="56">
        <v>17.559999999999931</v>
      </c>
      <c r="AO710" s="62">
        <v>23.879999999999949</v>
      </c>
      <c r="AQ710" s="64">
        <v>4.082380566666667</v>
      </c>
      <c r="AR710" s="56">
        <v>14.959999999999949</v>
      </c>
      <c r="AS710" s="56">
        <v>16.41999999999992</v>
      </c>
      <c r="AT710" s="62">
        <v>20.699999999999989</v>
      </c>
      <c r="AV710" s="64">
        <v>3.7290195833333328</v>
      </c>
      <c r="AW710" s="56">
        <v>14.57999999999995</v>
      </c>
      <c r="AX710" s="56">
        <v>16.04000000000001</v>
      </c>
      <c r="AY710" s="62">
        <v>21</v>
      </c>
      <c r="BA710" s="64">
        <v>3.1888824166666661</v>
      </c>
      <c r="BB710" s="56">
        <v>17.56000000000002</v>
      </c>
      <c r="BC710" s="56">
        <v>20.12</v>
      </c>
      <c r="BD710" s="62">
        <v>32.399999999999977</v>
      </c>
      <c r="BF710" s="64">
        <v>2.9633089333333338</v>
      </c>
      <c r="BG710" s="56">
        <v>21.120000000000068</v>
      </c>
      <c r="BH710" s="56">
        <v>28.04000000000002</v>
      </c>
      <c r="BI710" s="62">
        <v>55.940000000000012</v>
      </c>
      <c r="BJ710" s="70"/>
      <c r="BK710" s="51"/>
    </row>
    <row r="711" spans="1:63" x14ac:dyDescent="0.4">
      <c r="A711" s="11" t="s">
        <v>788</v>
      </c>
      <c r="B711" s="4"/>
      <c r="C711" s="4"/>
      <c r="D711" s="4"/>
      <c r="E711" s="12"/>
      <c r="G711" s="147" t="s">
        <v>788</v>
      </c>
      <c r="H711" s="159">
        <v>70.067999999999998</v>
      </c>
      <c r="I711" s="153">
        <v>70.290000000000006</v>
      </c>
      <c r="J711" s="153">
        <v>70.38</v>
      </c>
      <c r="K711" s="153">
        <v>70.39</v>
      </c>
      <c r="L711" s="153">
        <v>70.33</v>
      </c>
      <c r="M711" s="80">
        <f t="shared" si="22"/>
        <v>70.39</v>
      </c>
      <c r="N711" s="80">
        <f t="shared" si="23"/>
        <v>70.290000000000006</v>
      </c>
      <c r="O711" s="153">
        <v>21.15</v>
      </c>
      <c r="P711" s="153">
        <v>21.08</v>
      </c>
      <c r="Q711" s="153">
        <v>21.09</v>
      </c>
      <c r="R711" s="153">
        <v>21.06</v>
      </c>
      <c r="S711" s="4"/>
      <c r="U711" s="147" t="s">
        <v>788</v>
      </c>
      <c r="V711" s="11"/>
      <c r="W711" s="4"/>
      <c r="X711" s="12"/>
      <c r="Y711" s="14"/>
      <c r="Z711" s="4"/>
      <c r="AA711" s="13"/>
      <c r="AB711" s="11"/>
      <c r="AC711" s="4"/>
      <c r="AD711" s="12"/>
      <c r="AE711" s="13"/>
      <c r="AF711" s="14">
        <v>5.0182000000000002</v>
      </c>
      <c r="AG711" s="133"/>
      <c r="AI711" s="84"/>
      <c r="AL711" s="64">
        <v>4.1719563333333332</v>
      </c>
      <c r="AM711" s="56">
        <v>14.81999999999992</v>
      </c>
      <c r="AN711" s="56">
        <v>16.820000000000061</v>
      </c>
      <c r="AO711" s="62">
        <v>22.89999999999992</v>
      </c>
      <c r="AQ711" s="64">
        <v>4.0814984166666664</v>
      </c>
      <c r="AR711" s="56">
        <v>14.519999999999911</v>
      </c>
      <c r="AS711" s="56">
        <v>16.000000000000011</v>
      </c>
      <c r="AT711" s="62">
        <v>20.239999999999991</v>
      </c>
      <c r="AV711" s="64">
        <v>3.728723050000001</v>
      </c>
      <c r="AW711" s="56">
        <v>13.68</v>
      </c>
      <c r="AX711" s="56">
        <v>15.140000000000059</v>
      </c>
      <c r="AY711" s="62">
        <v>19.93999999999998</v>
      </c>
      <c r="BA711" s="64">
        <v>3.183746933333333</v>
      </c>
      <c r="BB711" s="56">
        <v>16.12</v>
      </c>
      <c r="BC711" s="56">
        <v>18.599999999999991</v>
      </c>
      <c r="BD711" s="62">
        <v>30.68</v>
      </c>
      <c r="BF711" s="64">
        <v>2.9339097999999999</v>
      </c>
      <c r="BG711" s="56">
        <v>19.680000000000049</v>
      </c>
      <c r="BH711" s="56">
        <v>26.460000000000061</v>
      </c>
      <c r="BI711" s="62">
        <v>55.540000000000063</v>
      </c>
      <c r="BJ711" s="70"/>
      <c r="BK711" s="51"/>
    </row>
    <row r="712" spans="1:63" x14ac:dyDescent="0.4">
      <c r="A712" s="11" t="s">
        <v>789</v>
      </c>
      <c r="B712" s="4"/>
      <c r="C712" s="4"/>
      <c r="D712" s="4"/>
      <c r="E712" s="12"/>
      <c r="G712" s="147" t="s">
        <v>789</v>
      </c>
      <c r="H712" s="159">
        <v>70.111000000000004</v>
      </c>
      <c r="I712" s="153">
        <v>70.349999999999994</v>
      </c>
      <c r="J712" s="153">
        <v>70.37</v>
      </c>
      <c r="K712" s="153">
        <v>70.290000000000006</v>
      </c>
      <c r="L712" s="153">
        <v>70.34</v>
      </c>
      <c r="M712" s="80">
        <f t="shared" si="22"/>
        <v>70.37</v>
      </c>
      <c r="N712" s="80">
        <f t="shared" si="23"/>
        <v>70.290000000000006</v>
      </c>
      <c r="O712" s="153">
        <v>21.16</v>
      </c>
      <c r="P712" s="153">
        <v>21.12</v>
      </c>
      <c r="Q712" s="153">
        <v>21.09</v>
      </c>
      <c r="R712" s="153">
        <v>21.07</v>
      </c>
      <c r="S712" s="4"/>
      <c r="U712" s="147" t="s">
        <v>789</v>
      </c>
      <c r="V712" s="11"/>
      <c r="W712" s="4"/>
      <c r="X712" s="12"/>
      <c r="Y712" s="14"/>
      <c r="Z712" s="4"/>
      <c r="AA712" s="13"/>
      <c r="AB712" s="11"/>
      <c r="AC712" s="32"/>
      <c r="AD712" s="12"/>
      <c r="AE712" s="13"/>
      <c r="AF712" s="14">
        <v>5.0052000000000003</v>
      </c>
      <c r="AG712" s="133"/>
      <c r="AI712" s="84"/>
      <c r="AL712" s="64">
        <v>4.1725669500000002</v>
      </c>
      <c r="AM712" s="56">
        <v>14.41999999999997</v>
      </c>
      <c r="AN712" s="56">
        <v>16.36000000000006</v>
      </c>
      <c r="AO712" s="62">
        <v>22.480000000000011</v>
      </c>
      <c r="AQ712" s="64">
        <v>4.0812504000000001</v>
      </c>
      <c r="AR712" s="56">
        <v>13.91999999999989</v>
      </c>
      <c r="AS712" s="56">
        <v>15.32</v>
      </c>
      <c r="AT712" s="62">
        <v>19.359999999999911</v>
      </c>
      <c r="AV712" s="64">
        <v>3.727878983333333</v>
      </c>
      <c r="AW712" s="56">
        <v>13.60000000000001</v>
      </c>
      <c r="AX712" s="56">
        <v>15.040000000000029</v>
      </c>
      <c r="AY712" s="62">
        <v>19.739999999999998</v>
      </c>
      <c r="BA712" s="64">
        <v>3.1857367833333341</v>
      </c>
      <c r="BB712" s="56">
        <v>16.300000000000029</v>
      </c>
      <c r="BC712" s="56">
        <v>18.74000000000002</v>
      </c>
      <c r="BD712" s="62">
        <v>30.499999999999972</v>
      </c>
      <c r="BF712" s="64">
        <v>2.9257267166666669</v>
      </c>
      <c r="BG712" s="56">
        <v>20.04000000000001</v>
      </c>
      <c r="BH712" s="56">
        <v>26.820000000000022</v>
      </c>
      <c r="BI712" s="62">
        <v>55.919999999999973</v>
      </c>
      <c r="BJ712" s="69"/>
      <c r="BK712" s="51"/>
    </row>
    <row r="713" spans="1:63" x14ac:dyDescent="0.4">
      <c r="A713" s="11" t="s">
        <v>790</v>
      </c>
      <c r="B713" s="4"/>
      <c r="C713" s="4"/>
      <c r="D713" s="4"/>
      <c r="E713" s="12"/>
      <c r="G713" s="147" t="s">
        <v>790</v>
      </c>
      <c r="H713" s="159">
        <v>69.888000000000005</v>
      </c>
      <c r="I713" s="153">
        <v>70.319999999999993</v>
      </c>
      <c r="J713" s="153">
        <v>70.290000000000006</v>
      </c>
      <c r="K713" s="153">
        <v>70.319999999999993</v>
      </c>
      <c r="L713" s="153">
        <v>70.28</v>
      </c>
      <c r="M713" s="80">
        <f t="shared" si="22"/>
        <v>70.319999999999993</v>
      </c>
      <c r="N713" s="80">
        <f t="shared" si="23"/>
        <v>70.28</v>
      </c>
      <c r="O713" s="153">
        <v>21.14</v>
      </c>
      <c r="P713" s="153">
        <v>21.07</v>
      </c>
      <c r="Q713" s="153">
        <v>21.17</v>
      </c>
      <c r="R713" s="153">
        <v>21</v>
      </c>
      <c r="S713" s="4"/>
      <c r="U713" s="147" t="s">
        <v>790</v>
      </c>
      <c r="V713" s="11"/>
      <c r="W713" s="4"/>
      <c r="X713" s="12"/>
      <c r="Y713" s="14"/>
      <c r="Z713" s="4"/>
      <c r="AA713" s="13"/>
      <c r="AB713" s="11"/>
      <c r="AC713" s="4"/>
      <c r="AD713" s="12"/>
      <c r="AE713" s="13"/>
      <c r="AF713" s="14">
        <v>5.0162000000000004</v>
      </c>
      <c r="AG713" s="133"/>
      <c r="AI713" s="84"/>
      <c r="AL713" s="64">
        <v>4.1719593833333333</v>
      </c>
      <c r="AM713" s="56">
        <v>15.65999999999992</v>
      </c>
      <c r="AN713" s="56">
        <v>17.69999999999996</v>
      </c>
      <c r="AO713" s="62">
        <v>23.95999999999994</v>
      </c>
      <c r="AQ713" s="64">
        <v>4.081179483333333</v>
      </c>
      <c r="AR713" s="56">
        <v>14.91999999999987</v>
      </c>
      <c r="AS713" s="56">
        <v>16.459999999999919</v>
      </c>
      <c r="AT713" s="62">
        <v>20.759999999999931</v>
      </c>
      <c r="AV713" s="64">
        <v>3.7282458666666671</v>
      </c>
      <c r="AW713" s="56">
        <v>14.400000000000009</v>
      </c>
      <c r="AX713" s="56">
        <v>15.939999999999969</v>
      </c>
      <c r="AY713" s="62">
        <v>20.899999999999959</v>
      </c>
      <c r="BA713" s="64">
        <v>3.1847962333333331</v>
      </c>
      <c r="BB713" s="56">
        <v>16.96</v>
      </c>
      <c r="BC713" s="56">
        <v>19.519999999999978</v>
      </c>
      <c r="BD713" s="62">
        <v>31.73999999999992</v>
      </c>
      <c r="BF713" s="64">
        <v>2.9341841666666668</v>
      </c>
      <c r="BG713" s="56">
        <v>20.77999999999998</v>
      </c>
      <c r="BH713" s="56">
        <v>27.82</v>
      </c>
      <c r="BI713" s="62">
        <v>57.260000000000048</v>
      </c>
      <c r="BJ713" s="69"/>
      <c r="BK713" s="51"/>
    </row>
    <row r="714" spans="1:63" x14ac:dyDescent="0.4">
      <c r="A714" s="11" t="s">
        <v>791</v>
      </c>
      <c r="B714" s="4"/>
      <c r="C714" s="4"/>
      <c r="D714" s="4"/>
      <c r="E714" s="12"/>
      <c r="G714" s="147" t="s">
        <v>791</v>
      </c>
      <c r="H714" s="159">
        <v>70.010000000000005</v>
      </c>
      <c r="I714" s="153">
        <v>70.27</v>
      </c>
      <c r="J714" s="153">
        <v>70.290000000000006</v>
      </c>
      <c r="K714" s="153">
        <v>70.400000000000006</v>
      </c>
      <c r="L714" s="153">
        <v>70.34</v>
      </c>
      <c r="M714" s="80">
        <f t="shared" si="22"/>
        <v>70.400000000000006</v>
      </c>
      <c r="N714" s="80">
        <f t="shared" si="23"/>
        <v>70.27</v>
      </c>
      <c r="O714" s="153">
        <v>21.1</v>
      </c>
      <c r="P714" s="153">
        <v>21.08</v>
      </c>
      <c r="Q714" s="153">
        <v>21.13</v>
      </c>
      <c r="R714" s="153">
        <v>21.08</v>
      </c>
      <c r="S714" s="4"/>
      <c r="U714" s="147" t="s">
        <v>791</v>
      </c>
      <c r="V714" s="11"/>
      <c r="W714" s="4"/>
      <c r="X714" s="12"/>
      <c r="Y714" s="14"/>
      <c r="Z714" s="4"/>
      <c r="AA714" s="13"/>
      <c r="AB714" s="11"/>
      <c r="AC714" s="4"/>
      <c r="AD714" s="12"/>
      <c r="AE714" s="13"/>
      <c r="AF714" s="14">
        <v>5.0186999999999999</v>
      </c>
      <c r="AG714" s="133"/>
      <c r="AI714" s="84"/>
      <c r="AL714" s="64">
        <v>4.1718938166666666</v>
      </c>
      <c r="AM714" s="56">
        <v>14.76000000000006</v>
      </c>
      <c r="AN714" s="56">
        <v>16.720000000000109</v>
      </c>
      <c r="AO714" s="62">
        <v>22.900000000000102</v>
      </c>
      <c r="AQ714" s="64">
        <v>4.0814325333333343</v>
      </c>
      <c r="AR714" s="56">
        <v>14.119999999999949</v>
      </c>
      <c r="AS714" s="56">
        <v>15.54000000000002</v>
      </c>
      <c r="AT714" s="62">
        <v>19.640000000000061</v>
      </c>
      <c r="AV714" s="64">
        <v>3.7266463333333339</v>
      </c>
      <c r="AW714" s="56">
        <v>13.700000000000051</v>
      </c>
      <c r="AX714" s="56">
        <v>15.140000000000059</v>
      </c>
      <c r="AY714" s="62">
        <v>19.899999999999981</v>
      </c>
      <c r="BA714" s="64">
        <v>3.1843354499999998</v>
      </c>
      <c r="BB714" s="56">
        <v>16.339999999999929</v>
      </c>
      <c r="BC714" s="56">
        <v>18.839999999999971</v>
      </c>
      <c r="BD714" s="62">
        <v>30.91999999999997</v>
      </c>
      <c r="BF714" s="64">
        <v>2.9406445333333329</v>
      </c>
      <c r="BG714" s="56">
        <v>19.919999999999941</v>
      </c>
      <c r="BH714" s="56">
        <v>26.75999999999998</v>
      </c>
      <c r="BI714" s="62">
        <v>55.220000000000013</v>
      </c>
      <c r="BJ714" s="70"/>
      <c r="BK714" s="51"/>
    </row>
    <row r="715" spans="1:63" x14ac:dyDescent="0.4">
      <c r="A715" s="11" t="s">
        <v>792</v>
      </c>
      <c r="B715" s="4"/>
      <c r="C715" s="4"/>
      <c r="D715" s="4"/>
      <c r="E715" s="12"/>
      <c r="G715" s="147" t="s">
        <v>792</v>
      </c>
      <c r="H715" s="159">
        <v>70.006</v>
      </c>
      <c r="I715" s="153">
        <v>70.400000000000006</v>
      </c>
      <c r="J715" s="153">
        <v>70.33</v>
      </c>
      <c r="K715" s="153">
        <v>70.31</v>
      </c>
      <c r="L715" s="153">
        <v>70.34</v>
      </c>
      <c r="M715" s="80">
        <f t="shared" si="22"/>
        <v>70.400000000000006</v>
      </c>
      <c r="N715" s="80">
        <f t="shared" si="23"/>
        <v>70.31</v>
      </c>
      <c r="O715" s="153">
        <v>21.22</v>
      </c>
      <c r="P715" s="153">
        <v>21.04</v>
      </c>
      <c r="Q715" s="153">
        <v>21.13</v>
      </c>
      <c r="R715" s="153">
        <v>21.01</v>
      </c>
      <c r="S715" s="4"/>
      <c r="U715" s="147" t="s">
        <v>792</v>
      </c>
      <c r="V715" s="11"/>
      <c r="W715" s="4"/>
      <c r="X715" s="12"/>
      <c r="Y715" s="14"/>
      <c r="Z715" s="4"/>
      <c r="AA715" s="13"/>
      <c r="AB715" s="11"/>
      <c r="AC715" s="4"/>
      <c r="AD715" s="12"/>
      <c r="AE715" s="13"/>
      <c r="AF715" s="14">
        <v>5.0141</v>
      </c>
      <c r="AG715" s="133"/>
      <c r="AI715" s="84"/>
      <c r="AL715" s="64">
        <v>4.1729405000000002</v>
      </c>
      <c r="AM715" s="56">
        <v>14.380000000000059</v>
      </c>
      <c r="AN715" s="56">
        <v>16.300000000000029</v>
      </c>
      <c r="AO715" s="62">
        <v>22.440000000000101</v>
      </c>
      <c r="AQ715" s="64">
        <v>4.0823681333333326</v>
      </c>
      <c r="AR715" s="56">
        <v>13.879999999999979</v>
      </c>
      <c r="AS715" s="56">
        <v>15.279999999999919</v>
      </c>
      <c r="AT715" s="62">
        <v>19.299999999999962</v>
      </c>
      <c r="AV715" s="64">
        <v>3.728983533333333</v>
      </c>
      <c r="AW715" s="56">
        <v>13.47999999999994</v>
      </c>
      <c r="AX715" s="56">
        <v>14.9</v>
      </c>
      <c r="AY715" s="62">
        <v>19.599999999999969</v>
      </c>
      <c r="BA715" s="64">
        <v>3.18603945</v>
      </c>
      <c r="BB715" s="56">
        <v>16.000000000000011</v>
      </c>
      <c r="BC715" s="56">
        <v>18.41999999999997</v>
      </c>
      <c r="BD715" s="62">
        <v>30.22</v>
      </c>
      <c r="BF715" s="64">
        <v>2.926489933333333</v>
      </c>
      <c r="BG715" s="56">
        <v>19.78</v>
      </c>
      <c r="BH715" s="56">
        <v>26.64</v>
      </c>
      <c r="BI715" s="62">
        <v>56.200000000000031</v>
      </c>
      <c r="BJ715" s="70"/>
      <c r="BK715" s="51"/>
    </row>
    <row r="716" spans="1:63" x14ac:dyDescent="0.4">
      <c r="A716" s="11" t="s">
        <v>793</v>
      </c>
      <c r="B716" s="4"/>
      <c r="C716" s="4"/>
      <c r="D716" s="4"/>
      <c r="E716" s="12"/>
      <c r="G716" s="147" t="s">
        <v>793</v>
      </c>
      <c r="H716" s="159">
        <v>70.013000000000005</v>
      </c>
      <c r="I716" s="153">
        <v>70.33</v>
      </c>
      <c r="J716" s="153">
        <v>70.28</v>
      </c>
      <c r="K716" s="153">
        <v>70.349999999999994</v>
      </c>
      <c r="L716" s="153">
        <v>70.3</v>
      </c>
      <c r="M716" s="80">
        <f t="shared" si="22"/>
        <v>70.349999999999994</v>
      </c>
      <c r="N716" s="80">
        <f t="shared" si="23"/>
        <v>70.28</v>
      </c>
      <c r="O716" s="153">
        <v>21.19</v>
      </c>
      <c r="P716" s="153">
        <v>21.06</v>
      </c>
      <c r="Q716" s="153">
        <v>21.13</v>
      </c>
      <c r="R716" s="153">
        <v>21.02</v>
      </c>
      <c r="S716" s="4"/>
      <c r="U716" s="147" t="s">
        <v>793</v>
      </c>
      <c r="V716" s="11"/>
      <c r="W716" s="4"/>
      <c r="X716" s="12"/>
      <c r="Y716" s="14"/>
      <c r="Z716" s="4"/>
      <c r="AA716" s="13"/>
      <c r="AB716" s="11"/>
      <c r="AC716" s="4"/>
      <c r="AD716" s="12"/>
      <c r="AE716" s="13"/>
      <c r="AF716" s="14">
        <v>5.0068999999999999</v>
      </c>
      <c r="AG716" s="133"/>
      <c r="AI716" s="84"/>
      <c r="AL716" s="64">
        <v>4.1727926000000002</v>
      </c>
      <c r="AM716" s="56">
        <v>14.119999999999949</v>
      </c>
      <c r="AN716" s="56">
        <v>16.039999999999921</v>
      </c>
      <c r="AO716" s="62">
        <v>22.119999999999958</v>
      </c>
      <c r="AQ716" s="64">
        <v>4.0811024499999986</v>
      </c>
      <c r="AR716" s="56">
        <v>13.439999999999941</v>
      </c>
      <c r="AS716" s="56">
        <v>14.84000000000005</v>
      </c>
      <c r="AT716" s="62">
        <v>18.799999999999969</v>
      </c>
      <c r="AV716" s="64">
        <v>3.7270722666666658</v>
      </c>
      <c r="AW716" s="56">
        <v>13.02000000000003</v>
      </c>
      <c r="AX716" s="56">
        <v>14.400000000000009</v>
      </c>
      <c r="AY716" s="62">
        <v>19.040000000000031</v>
      </c>
      <c r="BA716" s="64">
        <v>3.1857821666666659</v>
      </c>
      <c r="BB716" s="56">
        <v>15.839999999999939</v>
      </c>
      <c r="BC716" s="56">
        <v>18.259999999999991</v>
      </c>
      <c r="BD716" s="62">
        <v>30.140000000000011</v>
      </c>
      <c r="BF716" s="64">
        <v>2.9424487166666671</v>
      </c>
      <c r="BG716" s="56">
        <v>19.45999999999994</v>
      </c>
      <c r="BH716" s="56">
        <v>26.43999999999993</v>
      </c>
      <c r="BI716" s="62">
        <v>54.88</v>
      </c>
      <c r="BJ716" s="70"/>
      <c r="BK716" s="51"/>
    </row>
    <row r="717" spans="1:63" x14ac:dyDescent="0.4">
      <c r="A717" s="11" t="s">
        <v>794</v>
      </c>
      <c r="B717" s="4"/>
      <c r="C717" s="4"/>
      <c r="D717" s="4"/>
      <c r="E717" s="12"/>
      <c r="G717" s="147" t="s">
        <v>794</v>
      </c>
      <c r="H717" s="159">
        <v>69.97</v>
      </c>
      <c r="I717" s="153">
        <v>70.349999999999994</v>
      </c>
      <c r="J717" s="153">
        <v>70.349999999999994</v>
      </c>
      <c r="K717" s="153">
        <v>70.290000000000006</v>
      </c>
      <c r="L717" s="153">
        <v>70.28</v>
      </c>
      <c r="M717" s="80">
        <f t="shared" si="22"/>
        <v>70.349999999999994</v>
      </c>
      <c r="N717" s="80">
        <f t="shared" si="23"/>
        <v>70.28</v>
      </c>
      <c r="O717" s="153">
        <v>21.19</v>
      </c>
      <c r="P717" s="153">
        <v>21.11</v>
      </c>
      <c r="Q717" s="153">
        <v>21.16</v>
      </c>
      <c r="R717" s="153">
        <v>21.03</v>
      </c>
      <c r="S717" s="4"/>
      <c r="U717" s="147" t="s">
        <v>794</v>
      </c>
      <c r="V717" s="11"/>
      <c r="W717" s="4"/>
      <c r="X717" s="12"/>
      <c r="Y717" s="14"/>
      <c r="Z717" s="4"/>
      <c r="AA717" s="13"/>
      <c r="AB717" s="11"/>
      <c r="AC717" s="4"/>
      <c r="AD717" s="12"/>
      <c r="AE717" s="13"/>
      <c r="AF717" s="14">
        <v>5.0076999999999998</v>
      </c>
      <c r="AG717" s="133"/>
      <c r="AI717" s="84"/>
      <c r="AL717" s="64">
        <v>4.172495633333333</v>
      </c>
      <c r="AM717" s="56">
        <v>13.79999999999999</v>
      </c>
      <c r="AN717" s="56">
        <v>15.7</v>
      </c>
      <c r="AO717" s="62">
        <v>21.759999999999909</v>
      </c>
      <c r="AQ717" s="64">
        <v>4.0822452000000009</v>
      </c>
      <c r="AR717" s="56">
        <v>13.320000000000039</v>
      </c>
      <c r="AS717" s="56">
        <v>14.739999999999929</v>
      </c>
      <c r="AT717" s="62">
        <v>18.74000000000002</v>
      </c>
      <c r="AV717" s="64">
        <v>3.7284452999999989</v>
      </c>
      <c r="AW717" s="56">
        <v>12.899999999999959</v>
      </c>
      <c r="AX717" s="56">
        <v>14.299999999999979</v>
      </c>
      <c r="AY717" s="62">
        <v>18.959999999999951</v>
      </c>
      <c r="BA717" s="64">
        <v>3.1842697666666671</v>
      </c>
      <c r="BB717" s="56">
        <v>15.53999999999993</v>
      </c>
      <c r="BC717" s="56">
        <v>18.100000000000001</v>
      </c>
      <c r="BD717" s="62">
        <v>30.07999999999997</v>
      </c>
      <c r="BF717" s="64">
        <v>2.9359915833333332</v>
      </c>
      <c r="BG717" s="56">
        <v>19.339999999999961</v>
      </c>
      <c r="BH717" s="56">
        <v>26.440000000000019</v>
      </c>
      <c r="BI717" s="62">
        <v>55.779999999999937</v>
      </c>
      <c r="BJ717" s="70"/>
      <c r="BK717" s="51"/>
    </row>
    <row r="718" spans="1:63" x14ac:dyDescent="0.4">
      <c r="A718" s="11" t="s">
        <v>795</v>
      </c>
      <c r="B718" s="4"/>
      <c r="C718" s="4"/>
      <c r="D718" s="4"/>
      <c r="E718" s="12"/>
      <c r="G718" s="147" t="s">
        <v>795</v>
      </c>
      <c r="H718" s="159">
        <v>69.992999999999995</v>
      </c>
      <c r="I718" s="153">
        <v>70.37</v>
      </c>
      <c r="J718" s="153">
        <v>70.33</v>
      </c>
      <c r="K718" s="153">
        <v>70.28</v>
      </c>
      <c r="L718" s="153">
        <v>70.400000000000006</v>
      </c>
      <c r="M718" s="80">
        <f t="shared" si="22"/>
        <v>70.400000000000006</v>
      </c>
      <c r="N718" s="80">
        <f t="shared" si="23"/>
        <v>70.28</v>
      </c>
      <c r="O718" s="153">
        <v>21.15</v>
      </c>
      <c r="P718" s="153">
        <v>21.13</v>
      </c>
      <c r="Q718" s="153">
        <v>21.17</v>
      </c>
      <c r="R718" s="153">
        <v>20.96</v>
      </c>
      <c r="S718" s="4"/>
      <c r="U718" s="147" t="s">
        <v>795</v>
      </c>
      <c r="V718" s="11"/>
      <c r="W718" s="4"/>
      <c r="X718" s="12"/>
      <c r="Y718" s="14"/>
      <c r="Z718" s="4"/>
      <c r="AA718" s="13"/>
      <c r="AB718" s="11"/>
      <c r="AC718" s="4"/>
      <c r="AD718" s="12"/>
      <c r="AE718" s="13"/>
      <c r="AF718" s="14">
        <v>4.9978999999999996</v>
      </c>
      <c r="AG718" s="133"/>
      <c r="AI718" s="84"/>
      <c r="AL718" s="64">
        <v>4.172597933333333</v>
      </c>
      <c r="AM718" s="56">
        <v>13.940000000000021</v>
      </c>
      <c r="AN718" s="56">
        <v>15.859999999999991</v>
      </c>
      <c r="AO718" s="62">
        <v>21.94000000000003</v>
      </c>
      <c r="AQ718" s="64">
        <v>4.081975083333333</v>
      </c>
      <c r="AR718" s="56">
        <v>13.49999999999998</v>
      </c>
      <c r="AS718" s="56">
        <v>14.89999999999991</v>
      </c>
      <c r="AT718" s="62">
        <v>18.87999999999996</v>
      </c>
      <c r="AV718" s="64">
        <v>3.7282301333333341</v>
      </c>
      <c r="AW718" s="56">
        <v>13.079999999999981</v>
      </c>
      <c r="AX718" s="56">
        <v>14.48</v>
      </c>
      <c r="AY718" s="62">
        <v>19.09999999999998</v>
      </c>
      <c r="BA718" s="64">
        <v>3.186183049999999</v>
      </c>
      <c r="BB718" s="56">
        <v>15.78</v>
      </c>
      <c r="BC718" s="56">
        <v>18.200000000000038</v>
      </c>
      <c r="BD718" s="62">
        <v>30.100000000000019</v>
      </c>
      <c r="BF718" s="64">
        <v>2.942827916666666</v>
      </c>
      <c r="BG718" s="56">
        <v>19.36</v>
      </c>
      <c r="BH718" s="56">
        <v>26.31999999999994</v>
      </c>
      <c r="BI718" s="62">
        <v>54.84</v>
      </c>
      <c r="BJ718" s="70"/>
      <c r="BK718" s="51"/>
    </row>
    <row r="719" spans="1:63" x14ac:dyDescent="0.4">
      <c r="A719" s="11" t="s">
        <v>796</v>
      </c>
      <c r="B719" s="4"/>
      <c r="C719" s="4"/>
      <c r="D719" s="4"/>
      <c r="E719" s="12"/>
      <c r="G719" s="147" t="s">
        <v>796</v>
      </c>
      <c r="H719" s="159">
        <v>70.266000000000005</v>
      </c>
      <c r="I719" s="153">
        <v>70.28</v>
      </c>
      <c r="J719" s="153">
        <v>70.36</v>
      </c>
      <c r="K719" s="153">
        <v>70.400000000000006</v>
      </c>
      <c r="L719" s="153">
        <v>70.3</v>
      </c>
      <c r="M719" s="80">
        <f t="shared" si="22"/>
        <v>70.400000000000006</v>
      </c>
      <c r="N719" s="80">
        <f t="shared" si="23"/>
        <v>70.28</v>
      </c>
      <c r="O719" s="153">
        <v>21.14</v>
      </c>
      <c r="P719" s="153">
        <v>21.06</v>
      </c>
      <c r="Q719" s="153">
        <v>21.1</v>
      </c>
      <c r="R719" s="153">
        <v>21</v>
      </c>
      <c r="S719" s="4"/>
      <c r="U719" s="147" t="s">
        <v>796</v>
      </c>
      <c r="V719" s="11"/>
      <c r="W719" s="4"/>
      <c r="X719" s="12"/>
      <c r="Y719" s="14"/>
      <c r="Z719" s="4"/>
      <c r="AA719" s="13"/>
      <c r="AB719" s="11"/>
      <c r="AC719" s="4"/>
      <c r="AD719" s="12"/>
      <c r="AE719" s="13"/>
      <c r="AF719" s="14">
        <v>5.0286</v>
      </c>
      <c r="AG719" s="133"/>
      <c r="AI719" s="84"/>
      <c r="AL719" s="64">
        <v>4.1716374999999992</v>
      </c>
      <c r="AM719" s="56">
        <v>13.439999999999941</v>
      </c>
      <c r="AN719" s="56">
        <v>15.33999999999995</v>
      </c>
      <c r="AO719" s="62">
        <v>21.37999999999991</v>
      </c>
      <c r="AQ719" s="64">
        <v>4.0834795333333336</v>
      </c>
      <c r="AR719" s="56">
        <v>13.34</v>
      </c>
      <c r="AS719" s="56">
        <v>14.739999999999929</v>
      </c>
      <c r="AT719" s="62">
        <v>18.719999999999889</v>
      </c>
      <c r="AV719" s="64">
        <v>3.7296825833333331</v>
      </c>
      <c r="AW719" s="56">
        <v>12.899999999999959</v>
      </c>
      <c r="AX719" s="56">
        <v>14.299999999999979</v>
      </c>
      <c r="AY719" s="62">
        <v>18.940000000000001</v>
      </c>
      <c r="BA719" s="64">
        <v>3.18378535</v>
      </c>
      <c r="BB719" s="56">
        <v>15.74</v>
      </c>
      <c r="BC719" s="56">
        <v>18.18</v>
      </c>
      <c r="BD719" s="62">
        <v>30.29999999999999</v>
      </c>
      <c r="BF719" s="64">
        <v>2.9395197500000001</v>
      </c>
      <c r="BG719" s="56">
        <v>19.380000000000042</v>
      </c>
      <c r="BH719" s="56">
        <v>26.320000000000029</v>
      </c>
      <c r="BI719" s="62">
        <v>55.440000000000033</v>
      </c>
      <c r="BJ719" s="69"/>
      <c r="BK719" s="51"/>
    </row>
    <row r="720" spans="1:63" x14ac:dyDescent="0.4">
      <c r="A720" s="11" t="s">
        <v>797</v>
      </c>
      <c r="B720" s="4"/>
      <c r="C720" s="4"/>
      <c r="D720" s="4"/>
      <c r="E720" s="12"/>
      <c r="G720" s="147" t="s">
        <v>797</v>
      </c>
      <c r="H720" s="159">
        <v>69.870999999999995</v>
      </c>
      <c r="I720" s="153">
        <v>70.290000000000006</v>
      </c>
      <c r="J720" s="153">
        <v>70.290000000000006</v>
      </c>
      <c r="K720" s="153">
        <v>70.31</v>
      </c>
      <c r="L720" s="153">
        <v>70.28</v>
      </c>
      <c r="M720" s="80">
        <f t="shared" si="22"/>
        <v>70.31</v>
      </c>
      <c r="N720" s="80">
        <f t="shared" si="23"/>
        <v>70.28</v>
      </c>
      <c r="O720" s="153">
        <v>21.2</v>
      </c>
      <c r="P720" s="153">
        <v>21.04</v>
      </c>
      <c r="Q720" s="153">
        <v>21.14</v>
      </c>
      <c r="R720" s="153">
        <v>21.07</v>
      </c>
      <c r="S720" s="4"/>
      <c r="U720" s="147" t="s">
        <v>797</v>
      </c>
      <c r="V720" s="11"/>
      <c r="W720" s="4"/>
      <c r="X720" s="12"/>
      <c r="Y720" s="14"/>
      <c r="Z720" s="4"/>
      <c r="AA720" s="13"/>
      <c r="AB720" s="11"/>
      <c r="AC720" s="4"/>
      <c r="AD720" s="12"/>
      <c r="AE720" s="35"/>
      <c r="AF720" s="14">
        <v>5.0167999999999999</v>
      </c>
      <c r="AG720" s="133"/>
      <c r="AI720" s="84"/>
      <c r="AL720" s="64">
        <v>4.1726462666666668</v>
      </c>
      <c r="AM720" s="56">
        <v>14.08000000000005</v>
      </c>
      <c r="AN720" s="56">
        <v>16.000000000000011</v>
      </c>
      <c r="AO720" s="62">
        <v>22.100000000000009</v>
      </c>
      <c r="AQ720" s="64">
        <v>4.0808584999999997</v>
      </c>
      <c r="AR720" s="56">
        <v>13.79999999999999</v>
      </c>
      <c r="AS720" s="56">
        <v>15.21999999999988</v>
      </c>
      <c r="AT720" s="62">
        <v>19.23999999999992</v>
      </c>
      <c r="AV720" s="64">
        <v>3.7285998</v>
      </c>
      <c r="AW720" s="56">
        <v>13.35999999999995</v>
      </c>
      <c r="AX720" s="56">
        <v>14.780000000000021</v>
      </c>
      <c r="AY720" s="62">
        <v>19.45999999999994</v>
      </c>
      <c r="BA720" s="64">
        <v>3.1914930166666662</v>
      </c>
      <c r="BB720" s="56">
        <v>15.660000000000011</v>
      </c>
      <c r="BC720" s="56">
        <v>17.999999999999972</v>
      </c>
      <c r="BD720" s="62">
        <v>29.520000000000039</v>
      </c>
      <c r="BF720" s="64">
        <v>2.9311817166666669</v>
      </c>
      <c r="BG720" s="56">
        <v>19.460000000000029</v>
      </c>
      <c r="BH720" s="56">
        <v>26.039999999999971</v>
      </c>
      <c r="BI720" s="62">
        <v>54.779999999999959</v>
      </c>
      <c r="BJ720" s="70"/>
      <c r="BK720" s="51"/>
    </row>
    <row r="721" spans="1:63" x14ac:dyDescent="0.4">
      <c r="A721" s="11" t="s">
        <v>798</v>
      </c>
      <c r="B721" s="4"/>
      <c r="C721" s="4"/>
      <c r="D721" s="4"/>
      <c r="E721" s="12"/>
      <c r="G721" s="147" t="s">
        <v>798</v>
      </c>
      <c r="H721" s="159">
        <v>70.063999999999993</v>
      </c>
      <c r="I721" s="153">
        <v>70.36</v>
      </c>
      <c r="J721" s="153">
        <v>70.28</v>
      </c>
      <c r="K721" s="153">
        <v>70.34</v>
      </c>
      <c r="L721" s="153">
        <v>70.400000000000006</v>
      </c>
      <c r="M721" s="80">
        <f t="shared" si="22"/>
        <v>70.400000000000006</v>
      </c>
      <c r="N721" s="80">
        <f t="shared" si="23"/>
        <v>70.28</v>
      </c>
      <c r="O721" s="153">
        <v>21.21</v>
      </c>
      <c r="P721" s="153">
        <v>21.1</v>
      </c>
      <c r="Q721" s="153">
        <v>21.1</v>
      </c>
      <c r="R721" s="153">
        <v>21.02</v>
      </c>
      <c r="S721" s="4"/>
      <c r="U721" s="147" t="s">
        <v>798</v>
      </c>
      <c r="V721" s="11"/>
      <c r="W721" s="4"/>
      <c r="X721" s="12"/>
      <c r="Y721" s="14"/>
      <c r="Z721" s="4"/>
      <c r="AA721" s="13"/>
      <c r="AB721" s="11"/>
      <c r="AC721" s="4"/>
      <c r="AD721" s="12"/>
      <c r="AE721" s="13"/>
      <c r="AF721" s="14">
        <v>5.0125000000000002</v>
      </c>
      <c r="AG721" s="133"/>
      <c r="AI721" s="84"/>
      <c r="AL721" s="64">
        <v>4.1713100166666663</v>
      </c>
      <c r="AM721" s="56">
        <v>14.719999999999979</v>
      </c>
      <c r="AN721" s="56">
        <v>16.659999999999901</v>
      </c>
      <c r="AO721" s="62">
        <v>22.89999999999992</v>
      </c>
      <c r="AQ721" s="64">
        <v>4.0804940666666667</v>
      </c>
      <c r="AR721" s="56">
        <v>14.15999999999986</v>
      </c>
      <c r="AS721" s="56">
        <v>15.599999999999881</v>
      </c>
      <c r="AT721" s="62">
        <v>19.699999999999921</v>
      </c>
      <c r="AV721" s="64">
        <v>3.7261201833333328</v>
      </c>
      <c r="AW721" s="56">
        <v>13.940000000000021</v>
      </c>
      <c r="AX721" s="56">
        <v>15.39999999999999</v>
      </c>
      <c r="AY721" s="62">
        <v>20.219999999999949</v>
      </c>
      <c r="BA721" s="64">
        <v>3.184403333333333</v>
      </c>
      <c r="BB721" s="56">
        <v>16.579999999999991</v>
      </c>
      <c r="BC721" s="56">
        <v>19.08000000000003</v>
      </c>
      <c r="BD721" s="62">
        <v>31.160000000000029</v>
      </c>
      <c r="BF721" s="64">
        <v>2.9346427333333329</v>
      </c>
      <c r="BG721" s="56">
        <v>20.340000000000021</v>
      </c>
      <c r="BH721" s="56">
        <v>27.179999999999978</v>
      </c>
      <c r="BI721" s="62">
        <v>56.00000000000005</v>
      </c>
      <c r="BJ721" s="70"/>
      <c r="BK721" s="51"/>
    </row>
    <row r="722" spans="1:63" x14ac:dyDescent="0.4">
      <c r="A722" s="11" t="s">
        <v>799</v>
      </c>
      <c r="B722" s="4"/>
      <c r="C722" s="4"/>
      <c r="D722" s="4"/>
      <c r="E722" s="12"/>
      <c r="G722" s="147" t="s">
        <v>799</v>
      </c>
      <c r="H722" s="159">
        <v>69.861999999999995</v>
      </c>
      <c r="I722" s="153">
        <v>70.38</v>
      </c>
      <c r="J722" s="153">
        <v>70.349999999999994</v>
      </c>
      <c r="K722" s="153">
        <v>70.31</v>
      </c>
      <c r="L722" s="153">
        <v>70.349999999999994</v>
      </c>
      <c r="M722" s="80">
        <f t="shared" si="22"/>
        <v>70.38</v>
      </c>
      <c r="N722" s="80">
        <f t="shared" si="23"/>
        <v>70.31</v>
      </c>
      <c r="O722" s="153">
        <v>21.11</v>
      </c>
      <c r="P722" s="153">
        <v>21.05</v>
      </c>
      <c r="Q722" s="153">
        <v>21.16</v>
      </c>
      <c r="R722" s="153">
        <v>21.02</v>
      </c>
      <c r="S722" s="4"/>
      <c r="U722" s="147" t="s">
        <v>799</v>
      </c>
      <c r="V722" s="11"/>
      <c r="W722" s="4"/>
      <c r="X722" s="12"/>
      <c r="Y722" s="14"/>
      <c r="Z722" s="4"/>
      <c r="AA722" s="13"/>
      <c r="AB722" s="11"/>
      <c r="AC722" s="4"/>
      <c r="AD722" s="12"/>
      <c r="AE722" s="13"/>
      <c r="AF722" s="14">
        <v>5.0132000000000003</v>
      </c>
      <c r="AG722" s="133"/>
      <c r="AI722" s="84"/>
      <c r="AL722" s="64">
        <v>4.1724752166666663</v>
      </c>
      <c r="AM722" s="56">
        <v>14.32000000000002</v>
      </c>
      <c r="AN722" s="56">
        <v>16.239999999999991</v>
      </c>
      <c r="AO722" s="62">
        <v>22.320000000000029</v>
      </c>
      <c r="AQ722" s="64">
        <v>4.0807883333333326</v>
      </c>
      <c r="AR722" s="56">
        <v>13.78000000000004</v>
      </c>
      <c r="AS722" s="56">
        <v>15.199999999999919</v>
      </c>
      <c r="AT722" s="62">
        <v>19.21999999999997</v>
      </c>
      <c r="AV722" s="64">
        <v>3.727008783333333</v>
      </c>
      <c r="AW722" s="56">
        <v>13.539999999999971</v>
      </c>
      <c r="AX722" s="56">
        <v>14.96000000000004</v>
      </c>
      <c r="AY722" s="62">
        <v>19.660000000000011</v>
      </c>
      <c r="BA722" s="64">
        <v>3.1834128333333331</v>
      </c>
      <c r="BB722" s="56">
        <v>16.280000000000069</v>
      </c>
      <c r="BC722" s="56">
        <v>18.700000000000031</v>
      </c>
      <c r="BD722" s="62">
        <v>30.6</v>
      </c>
      <c r="BF722" s="64">
        <v>2.9281925000000002</v>
      </c>
      <c r="BG722" s="56">
        <v>20.04000000000001</v>
      </c>
      <c r="BH722" s="56">
        <v>26.679999999999989</v>
      </c>
      <c r="BI722" s="62">
        <v>55.52000000000001</v>
      </c>
      <c r="BJ722" s="70"/>
      <c r="BK722" s="51"/>
    </row>
    <row r="723" spans="1:63" x14ac:dyDescent="0.4">
      <c r="A723" s="11" t="s">
        <v>800</v>
      </c>
      <c r="B723" s="4"/>
      <c r="C723" s="4"/>
      <c r="D723" s="4"/>
      <c r="E723" s="12"/>
      <c r="G723" s="147" t="s">
        <v>800</v>
      </c>
      <c r="H723" s="159">
        <v>69.978999999999999</v>
      </c>
      <c r="I723" s="153">
        <v>70.34</v>
      </c>
      <c r="J723" s="153">
        <v>70.33</v>
      </c>
      <c r="K723" s="153">
        <v>70.290000000000006</v>
      </c>
      <c r="L723" s="153">
        <v>70.39</v>
      </c>
      <c r="M723" s="80">
        <f t="shared" si="22"/>
        <v>70.39</v>
      </c>
      <c r="N723" s="80">
        <f t="shared" si="23"/>
        <v>70.290000000000006</v>
      </c>
      <c r="O723" s="153">
        <v>21.18</v>
      </c>
      <c r="P723" s="153">
        <v>21.05</v>
      </c>
      <c r="Q723" s="153">
        <v>21.14</v>
      </c>
      <c r="R723" s="153">
        <v>21.13</v>
      </c>
      <c r="S723" s="4"/>
      <c r="U723" s="147" t="s">
        <v>800</v>
      </c>
      <c r="V723" s="11"/>
      <c r="W723" s="4"/>
      <c r="X723" s="12"/>
      <c r="Y723" s="14"/>
      <c r="Z723" s="4"/>
      <c r="AA723" s="13"/>
      <c r="AB723" s="11"/>
      <c r="AC723" s="4"/>
      <c r="AD723" s="12"/>
      <c r="AE723" s="13"/>
      <c r="AF723" s="14">
        <v>5.0259</v>
      </c>
      <c r="AG723" s="133"/>
      <c r="AI723" s="84"/>
      <c r="AL723" s="64">
        <v>4.1715079833333339</v>
      </c>
      <c r="AM723" s="56">
        <v>14.43999999999992</v>
      </c>
      <c r="AN723" s="56">
        <v>16.39999999999997</v>
      </c>
      <c r="AO723" s="62">
        <v>22.56</v>
      </c>
      <c r="AQ723" s="64">
        <v>4.0813115999999994</v>
      </c>
      <c r="AR723" s="56">
        <v>13.9800000000001</v>
      </c>
      <c r="AS723" s="56">
        <v>15.39999999999999</v>
      </c>
      <c r="AT723" s="62">
        <v>19.460000000000029</v>
      </c>
      <c r="AV723" s="64">
        <v>3.7266794833333332</v>
      </c>
      <c r="AW723" s="56">
        <v>13.619999999999971</v>
      </c>
      <c r="AX723" s="56">
        <v>15.039999999999941</v>
      </c>
      <c r="AY723" s="62">
        <v>19.78</v>
      </c>
      <c r="BA723" s="64">
        <v>3.1832688833333331</v>
      </c>
      <c r="BB723" s="56">
        <v>16.359999999999971</v>
      </c>
      <c r="BC723" s="56">
        <v>18.839999999999971</v>
      </c>
      <c r="BD723" s="62">
        <v>30.91999999999997</v>
      </c>
      <c r="BF723" s="64">
        <v>2.9352235000000002</v>
      </c>
      <c r="BG723" s="56">
        <v>20.05999999999997</v>
      </c>
      <c r="BH723" s="56">
        <v>26.940000000000008</v>
      </c>
      <c r="BI723" s="62">
        <v>55.959999999999972</v>
      </c>
      <c r="BJ723" s="70"/>
      <c r="BK723" s="51"/>
    </row>
    <row r="724" spans="1:63" x14ac:dyDescent="0.4">
      <c r="A724" s="11" t="s">
        <v>801</v>
      </c>
      <c r="B724" s="4"/>
      <c r="C724" s="4"/>
      <c r="D724" s="4"/>
      <c r="E724" s="12"/>
      <c r="G724" s="147" t="s">
        <v>801</v>
      </c>
      <c r="H724" s="159">
        <v>69.944000000000003</v>
      </c>
      <c r="I724" s="153">
        <v>70.33</v>
      </c>
      <c r="J724" s="153">
        <v>70.3</v>
      </c>
      <c r="K724" s="153">
        <v>70.319999999999993</v>
      </c>
      <c r="L724" s="153">
        <v>70.319999999999993</v>
      </c>
      <c r="M724" s="80">
        <f t="shared" si="22"/>
        <v>70.33</v>
      </c>
      <c r="N724" s="80">
        <f t="shared" si="23"/>
        <v>70.3</v>
      </c>
      <c r="O724" s="153">
        <v>21.16</v>
      </c>
      <c r="P724" s="153">
        <v>21.13</v>
      </c>
      <c r="Q724" s="153">
        <v>21.11</v>
      </c>
      <c r="R724" s="153">
        <v>21.01</v>
      </c>
      <c r="S724" s="4"/>
      <c r="U724" s="147" t="s">
        <v>801</v>
      </c>
      <c r="V724" s="11"/>
      <c r="W724" s="4"/>
      <c r="X724" s="12"/>
      <c r="Y724" s="14"/>
      <c r="Z724" s="4"/>
      <c r="AA724" s="13"/>
      <c r="AB724" s="11"/>
      <c r="AC724" s="4"/>
      <c r="AD724" s="12"/>
      <c r="AE724" s="13"/>
      <c r="AF724" s="14">
        <v>5.0190999999999999</v>
      </c>
      <c r="AG724" s="133"/>
      <c r="AI724" s="84"/>
      <c r="AL724" s="64">
        <v>4.1724591000000002</v>
      </c>
      <c r="AM724" s="56">
        <v>13.72</v>
      </c>
      <c r="AN724" s="56">
        <v>15.62000000000001</v>
      </c>
      <c r="AO724" s="62">
        <v>21.72000000000001</v>
      </c>
      <c r="AQ724" s="64">
        <v>4.0821970666666667</v>
      </c>
      <c r="AR724" s="56">
        <v>13.400000000000031</v>
      </c>
      <c r="AS724" s="56">
        <v>14.780000000000021</v>
      </c>
      <c r="AT724" s="62">
        <v>18.72000000000007</v>
      </c>
      <c r="AV724" s="64">
        <v>3.7287779000000012</v>
      </c>
      <c r="AW724" s="56">
        <v>12.93999999999995</v>
      </c>
      <c r="AX724" s="56">
        <v>14.319999999999929</v>
      </c>
      <c r="AY724" s="62">
        <v>18.900000000000009</v>
      </c>
      <c r="BA724" s="64">
        <v>3.188759683333334</v>
      </c>
      <c r="BB724" s="56">
        <v>15.53999999999993</v>
      </c>
      <c r="BC724" s="56">
        <v>17.91999999999998</v>
      </c>
      <c r="BD724" s="62">
        <v>29.51999999999995</v>
      </c>
      <c r="BF724" s="64">
        <v>2.9282689666666659</v>
      </c>
      <c r="BG724" s="56">
        <v>19.32</v>
      </c>
      <c r="BH724" s="56">
        <v>26.259999999999991</v>
      </c>
      <c r="BI724" s="62">
        <v>55.980000000000011</v>
      </c>
      <c r="BJ724" s="69"/>
      <c r="BK724" s="51"/>
    </row>
    <row r="725" spans="1:63" ht="17.25" customHeight="1" thickBot="1" x14ac:dyDescent="0.45">
      <c r="A725" s="16" t="s">
        <v>802</v>
      </c>
      <c r="B725" s="17"/>
      <c r="C725" s="17"/>
      <c r="D725" s="17"/>
      <c r="E725" s="18"/>
      <c r="G725" s="147" t="s">
        <v>802</v>
      </c>
      <c r="H725" s="159">
        <v>69.941999999999993</v>
      </c>
      <c r="I725" s="153">
        <v>70.38</v>
      </c>
      <c r="J725" s="153">
        <v>70.37</v>
      </c>
      <c r="K725" s="153">
        <v>70.37</v>
      </c>
      <c r="L725" s="153">
        <v>70.27</v>
      </c>
      <c r="M725" s="80">
        <f t="shared" si="22"/>
        <v>70.38</v>
      </c>
      <c r="N725" s="80">
        <f t="shared" si="23"/>
        <v>70.27</v>
      </c>
      <c r="O725" s="153">
        <v>21.2</v>
      </c>
      <c r="P725" s="153">
        <v>21.06</v>
      </c>
      <c r="Q725" s="153">
        <v>21.11</v>
      </c>
      <c r="R725" s="153">
        <v>21.08</v>
      </c>
      <c r="S725" s="4"/>
      <c r="U725" s="147" t="s">
        <v>802</v>
      </c>
      <c r="V725" s="16"/>
      <c r="W725" s="17"/>
      <c r="X725" s="18"/>
      <c r="Y725" s="29"/>
      <c r="Z725" s="17"/>
      <c r="AA725" s="30"/>
      <c r="AB725" s="16"/>
      <c r="AC725" s="17"/>
      <c r="AD725" s="18"/>
      <c r="AE725" s="30"/>
      <c r="AF725" s="14">
        <v>5.0033000000000003</v>
      </c>
      <c r="AG725" s="133"/>
      <c r="AI725" s="84"/>
      <c r="AL725" s="64">
        <v>4.1725636833333342</v>
      </c>
      <c r="AM725" s="56">
        <v>14.120000000000131</v>
      </c>
      <c r="AN725" s="56">
        <v>16.040000000000099</v>
      </c>
      <c r="AO725" s="62">
        <v>22.200000000000131</v>
      </c>
      <c r="AQ725" s="64">
        <v>4.0820660333333327</v>
      </c>
      <c r="AR725" s="56">
        <v>13.640000000000009</v>
      </c>
      <c r="AS725" s="56">
        <v>15.059999999999899</v>
      </c>
      <c r="AT725" s="62">
        <v>19.059999999999899</v>
      </c>
      <c r="AV725" s="64">
        <v>3.7287506833333341</v>
      </c>
      <c r="AW725" s="56">
        <v>13.26000000000001</v>
      </c>
      <c r="AX725" s="56">
        <v>14.66000000000003</v>
      </c>
      <c r="AY725" s="62">
        <v>19.34000000000005</v>
      </c>
      <c r="BA725" s="64">
        <v>3.186781733333333</v>
      </c>
      <c r="BB725" s="56">
        <v>15.939999999999969</v>
      </c>
      <c r="BC725" s="56">
        <v>18.359999999999928</v>
      </c>
      <c r="BD725" s="62">
        <v>30.159999999999961</v>
      </c>
      <c r="BF725" s="64">
        <v>2.9227050333333331</v>
      </c>
      <c r="BG725" s="56">
        <v>19.660000000000011</v>
      </c>
      <c r="BH725" s="56">
        <v>26.660000000000039</v>
      </c>
      <c r="BI725" s="62">
        <v>56.700000000000017</v>
      </c>
      <c r="BJ725" s="70"/>
      <c r="BK725" s="51"/>
    </row>
    <row r="726" spans="1:63" x14ac:dyDescent="0.4">
      <c r="A726" s="11" t="s">
        <v>803</v>
      </c>
      <c r="B726" s="4"/>
      <c r="C726" s="4"/>
      <c r="D726" s="4"/>
      <c r="E726" s="12"/>
      <c r="G726" s="147" t="s">
        <v>803</v>
      </c>
      <c r="H726" s="159">
        <v>69.989999999999995</v>
      </c>
      <c r="I726" s="153">
        <v>70.319999999999993</v>
      </c>
      <c r="J726" s="153">
        <v>70.33</v>
      </c>
      <c r="K726" s="153">
        <v>70.27</v>
      </c>
      <c r="L726" s="153">
        <v>70.3</v>
      </c>
      <c r="M726" s="80">
        <f t="shared" si="22"/>
        <v>70.33</v>
      </c>
      <c r="N726" s="80">
        <f t="shared" si="23"/>
        <v>70.27</v>
      </c>
      <c r="O726" s="153">
        <v>21.1</v>
      </c>
      <c r="P726" s="153">
        <v>21.04</v>
      </c>
      <c r="Q726" s="153">
        <v>21.12</v>
      </c>
      <c r="R726" s="153">
        <v>21.1</v>
      </c>
      <c r="S726" s="4"/>
      <c r="U726" s="147" t="s">
        <v>803</v>
      </c>
      <c r="V726" s="11"/>
      <c r="W726" s="4"/>
      <c r="X726" s="12"/>
      <c r="Y726" s="14"/>
      <c r="Z726" s="4"/>
      <c r="AA726" s="13"/>
      <c r="AB726" s="11"/>
      <c r="AC726" s="4"/>
      <c r="AD726" s="12"/>
      <c r="AE726" s="13"/>
      <c r="AF726" s="14">
        <v>5.0004</v>
      </c>
      <c r="AG726" s="133"/>
      <c r="AI726" s="84"/>
      <c r="AL726" s="64">
        <v>4.172479</v>
      </c>
      <c r="AM726" s="56">
        <v>14.400000000000009</v>
      </c>
      <c r="AN726" s="56">
        <v>16.36000000000006</v>
      </c>
      <c r="AO726" s="62">
        <v>22.480000000000011</v>
      </c>
      <c r="AQ726" s="64">
        <v>4.0809638333333336</v>
      </c>
      <c r="AR726" s="56">
        <v>13.90000000000011</v>
      </c>
      <c r="AS726" s="56">
        <v>15.30000000000005</v>
      </c>
      <c r="AT726" s="62">
        <v>19.34000000000005</v>
      </c>
      <c r="AV726" s="64">
        <v>3.7266615500000002</v>
      </c>
      <c r="AW726" s="56">
        <v>13.520000000000019</v>
      </c>
      <c r="AX726" s="56">
        <v>14.94</v>
      </c>
      <c r="AY726" s="62">
        <v>19.620000000000019</v>
      </c>
      <c r="BA726" s="64">
        <v>3.1831255166666672</v>
      </c>
      <c r="BB726" s="56">
        <v>16.560000000000041</v>
      </c>
      <c r="BC726" s="56">
        <v>19.040000000000031</v>
      </c>
      <c r="BD726" s="62">
        <v>31.160000000000029</v>
      </c>
      <c r="BF726" s="64">
        <v>2.9400021999999999</v>
      </c>
      <c r="BG726" s="56">
        <v>20.17999999999995</v>
      </c>
      <c r="BH726" s="56">
        <v>27.199999999999939</v>
      </c>
      <c r="BI726" s="62">
        <v>55.90000000000002</v>
      </c>
      <c r="BJ726" s="70"/>
      <c r="BK726" s="51"/>
    </row>
    <row r="727" spans="1:63" x14ac:dyDescent="0.4">
      <c r="A727" s="11" t="s">
        <v>804</v>
      </c>
      <c r="B727" s="4"/>
      <c r="C727" s="4"/>
      <c r="D727" s="4"/>
      <c r="E727" s="12"/>
      <c r="G727" s="147" t="s">
        <v>804</v>
      </c>
      <c r="H727" s="159">
        <v>70.025000000000006</v>
      </c>
      <c r="I727" s="153">
        <v>70.37</v>
      </c>
      <c r="J727" s="153">
        <v>70.290000000000006</v>
      </c>
      <c r="K727" s="153">
        <v>70.34</v>
      </c>
      <c r="L727" s="153">
        <v>70.3</v>
      </c>
      <c r="M727" s="80">
        <f t="shared" si="22"/>
        <v>70.37</v>
      </c>
      <c r="N727" s="80">
        <f t="shared" si="23"/>
        <v>70.290000000000006</v>
      </c>
      <c r="O727" s="153">
        <v>21.19</v>
      </c>
      <c r="P727" s="153">
        <v>21.06</v>
      </c>
      <c r="Q727" s="153">
        <v>21.09</v>
      </c>
      <c r="R727" s="153">
        <v>21.07</v>
      </c>
      <c r="S727" s="4"/>
      <c r="U727" s="147" t="s">
        <v>804</v>
      </c>
      <c r="V727" s="11"/>
      <c r="W727" s="4"/>
      <c r="X727" s="12"/>
      <c r="Y727" s="14"/>
      <c r="Z727" s="4"/>
      <c r="AA727" s="13"/>
      <c r="AB727" s="11"/>
      <c r="AC727" s="4"/>
      <c r="AD727" s="12"/>
      <c r="AE727" s="13"/>
      <c r="AF727" s="14">
        <v>5.0003000000000002</v>
      </c>
      <c r="AG727" s="133"/>
      <c r="AI727" s="84"/>
      <c r="AL727" s="64">
        <v>4.1726283666666664</v>
      </c>
      <c r="AM727" s="56">
        <v>14.060000000000089</v>
      </c>
      <c r="AN727" s="56">
        <v>15.980000000000061</v>
      </c>
      <c r="AO727" s="62">
        <v>22.020000000000021</v>
      </c>
      <c r="AQ727" s="64">
        <v>4.0813091666666663</v>
      </c>
      <c r="AR727" s="56">
        <v>13.39999999999986</v>
      </c>
      <c r="AS727" s="56">
        <v>14.799999999999971</v>
      </c>
      <c r="AT727" s="62">
        <v>18.77999999999993</v>
      </c>
      <c r="AV727" s="64">
        <v>3.7277361833333331</v>
      </c>
      <c r="AW727" s="56">
        <v>13.019999999999939</v>
      </c>
      <c r="AX727" s="56">
        <v>14.39999999999992</v>
      </c>
      <c r="AY727" s="62">
        <v>19.019999999999989</v>
      </c>
      <c r="BA727" s="64">
        <v>3.182819250000001</v>
      </c>
      <c r="BB727" s="56">
        <v>15.78</v>
      </c>
      <c r="BC727" s="56">
        <v>18.200000000000038</v>
      </c>
      <c r="BD727" s="62">
        <v>30.119999999999969</v>
      </c>
      <c r="BF727" s="64">
        <v>2.9329488833333328</v>
      </c>
      <c r="BG727" s="56">
        <v>19.58000000000002</v>
      </c>
      <c r="BH727" s="56">
        <v>26.460000000000061</v>
      </c>
      <c r="BI727" s="62">
        <v>55.64</v>
      </c>
      <c r="BJ727" s="70"/>
      <c r="BK727" s="51"/>
    </row>
    <row r="728" spans="1:63" x14ac:dyDescent="0.4">
      <c r="A728" s="11" t="s">
        <v>805</v>
      </c>
      <c r="B728" s="4"/>
      <c r="C728" s="4"/>
      <c r="D728" s="4"/>
      <c r="E728" s="12"/>
      <c r="G728" s="147" t="s">
        <v>805</v>
      </c>
      <c r="H728" s="159">
        <v>70.099000000000004</v>
      </c>
      <c r="I728" s="153">
        <v>70.27</v>
      </c>
      <c r="J728" s="153">
        <v>70.3</v>
      </c>
      <c r="K728" s="153">
        <v>70.400000000000006</v>
      </c>
      <c r="L728" s="153">
        <v>70.37</v>
      </c>
      <c r="M728" s="80">
        <f t="shared" si="22"/>
        <v>70.400000000000006</v>
      </c>
      <c r="N728" s="80">
        <f t="shared" si="23"/>
        <v>70.27</v>
      </c>
      <c r="O728" s="153">
        <v>21.11</v>
      </c>
      <c r="P728" s="153">
        <v>21.09</v>
      </c>
      <c r="Q728" s="153">
        <v>21.15</v>
      </c>
      <c r="R728" s="153">
        <v>21.11</v>
      </c>
      <c r="S728" s="4"/>
      <c r="U728" s="147" t="s">
        <v>805</v>
      </c>
      <c r="V728" s="11"/>
      <c r="W728" s="4"/>
      <c r="X728" s="12"/>
      <c r="Y728" s="14"/>
      <c r="Z728" s="4"/>
      <c r="AA728" s="13"/>
      <c r="AB728" s="11"/>
      <c r="AC728" s="4"/>
      <c r="AD728" s="12"/>
      <c r="AE728" s="13"/>
      <c r="AF728" s="14">
        <v>4.9973000000000001</v>
      </c>
      <c r="AG728" s="133"/>
      <c r="AI728" s="84"/>
      <c r="AL728" s="64">
        <v>4.17265335</v>
      </c>
      <c r="AM728" s="56">
        <v>14.060000000000089</v>
      </c>
      <c r="AN728" s="56">
        <v>15.980000000000061</v>
      </c>
      <c r="AO728" s="62">
        <v>22.039999999999971</v>
      </c>
      <c r="AQ728" s="64">
        <v>4.0815441833333326</v>
      </c>
      <c r="AR728" s="56">
        <v>13.480000000000031</v>
      </c>
      <c r="AS728" s="56">
        <v>14.87999999999996</v>
      </c>
      <c r="AT728" s="62">
        <v>18.86000000000001</v>
      </c>
      <c r="AV728" s="64">
        <v>3.7277073833333332</v>
      </c>
      <c r="AW728" s="56">
        <v>13.11999999999998</v>
      </c>
      <c r="AX728" s="56">
        <v>14.539999999999949</v>
      </c>
      <c r="AY728" s="62">
        <v>19.199999999999928</v>
      </c>
      <c r="BA728" s="64">
        <v>3.1833078833333341</v>
      </c>
      <c r="BB728" s="56">
        <v>15.90000000000007</v>
      </c>
      <c r="BC728" s="56">
        <v>18.380000000000059</v>
      </c>
      <c r="BD728" s="62">
        <v>30.340000000000082</v>
      </c>
      <c r="BF728" s="64">
        <v>2.9353353333333341</v>
      </c>
      <c r="BG728" s="56">
        <v>19.439999999999991</v>
      </c>
      <c r="BH728" s="56">
        <v>25.999999999999979</v>
      </c>
      <c r="BI728" s="62">
        <v>54.439999999999962</v>
      </c>
      <c r="BJ728" s="70"/>
      <c r="BK728" s="51"/>
    </row>
    <row r="729" spans="1:63" x14ac:dyDescent="0.4">
      <c r="A729" s="11" t="s">
        <v>806</v>
      </c>
      <c r="B729" s="4"/>
      <c r="C729" s="4"/>
      <c r="D729" s="4"/>
      <c r="E729" s="12"/>
      <c r="G729" s="147" t="s">
        <v>806</v>
      </c>
      <c r="H729" s="159">
        <v>70.218000000000004</v>
      </c>
      <c r="I729" s="153">
        <v>70.39</v>
      </c>
      <c r="J729" s="153">
        <v>70.33</v>
      </c>
      <c r="K729" s="153">
        <v>70.28</v>
      </c>
      <c r="L729" s="153">
        <v>70.34</v>
      </c>
      <c r="M729" s="80">
        <f t="shared" si="22"/>
        <v>70.39</v>
      </c>
      <c r="N729" s="80">
        <f t="shared" si="23"/>
        <v>70.28</v>
      </c>
      <c r="O729" s="153">
        <v>21.19</v>
      </c>
      <c r="P729" s="153">
        <v>21.13</v>
      </c>
      <c r="Q729" s="153">
        <v>21.14</v>
      </c>
      <c r="R729" s="153">
        <v>21.13</v>
      </c>
      <c r="S729" s="4"/>
      <c r="U729" s="147" t="s">
        <v>806</v>
      </c>
      <c r="V729" s="11"/>
      <c r="W729" s="4"/>
      <c r="X729" s="12"/>
      <c r="Y729" s="14"/>
      <c r="Z729" s="4"/>
      <c r="AA729" s="13"/>
      <c r="AB729" s="11"/>
      <c r="AC729" s="4"/>
      <c r="AD729" s="12"/>
      <c r="AE729" s="13"/>
      <c r="AF729" s="14">
        <v>5.0015999999999998</v>
      </c>
      <c r="AG729" s="133"/>
      <c r="AI729" s="84"/>
      <c r="AL729" s="64">
        <v>4.1721968833333332</v>
      </c>
      <c r="AM729" s="56">
        <v>14.74000000000011</v>
      </c>
      <c r="AN729" s="56">
        <v>16.740000000000069</v>
      </c>
      <c r="AO729" s="62">
        <v>22.82000000000011</v>
      </c>
      <c r="AQ729" s="64">
        <v>4.0817403166666661</v>
      </c>
      <c r="AR729" s="56">
        <v>14.20000000000012</v>
      </c>
      <c r="AS729" s="56">
        <v>15.7</v>
      </c>
      <c r="AT729" s="62">
        <v>19.92000000000003</v>
      </c>
      <c r="AV729" s="64">
        <v>3.728861783333334</v>
      </c>
      <c r="AW729" s="56">
        <v>13.72</v>
      </c>
      <c r="AX729" s="56">
        <v>15.18000000000006</v>
      </c>
      <c r="AY729" s="62">
        <v>19.979999999999979</v>
      </c>
      <c r="BA729" s="64">
        <v>3.1843635000000008</v>
      </c>
      <c r="BB729" s="56">
        <v>15.95999999999993</v>
      </c>
      <c r="BC729" s="56">
        <v>18.440000000000008</v>
      </c>
      <c r="BD729" s="62">
        <v>30.479999999999929</v>
      </c>
      <c r="BF729" s="64">
        <v>2.9382433666666672</v>
      </c>
      <c r="BG729" s="56">
        <v>19.70000000000001</v>
      </c>
      <c r="BH729" s="56">
        <v>26.440000000000019</v>
      </c>
      <c r="BI729" s="62">
        <v>55.240000000000038</v>
      </c>
      <c r="BJ729" s="70"/>
      <c r="BK729" s="51"/>
    </row>
    <row r="730" spans="1:63" x14ac:dyDescent="0.4">
      <c r="A730" s="11" t="s">
        <v>807</v>
      </c>
      <c r="B730" s="4"/>
      <c r="C730" s="4"/>
      <c r="D730" s="4"/>
      <c r="E730" s="12"/>
      <c r="G730" s="147" t="s">
        <v>807</v>
      </c>
      <c r="H730" s="159">
        <v>70.063000000000002</v>
      </c>
      <c r="I730" s="153">
        <v>70.33</v>
      </c>
      <c r="J730" s="153">
        <v>70.38</v>
      </c>
      <c r="K730" s="153">
        <v>70.28</v>
      </c>
      <c r="L730" s="153">
        <v>70.33</v>
      </c>
      <c r="M730" s="80">
        <f t="shared" si="22"/>
        <v>70.38</v>
      </c>
      <c r="N730" s="80">
        <f t="shared" si="23"/>
        <v>70.28</v>
      </c>
      <c r="O730" s="153">
        <v>21.18</v>
      </c>
      <c r="P730" s="153">
        <v>21.12</v>
      </c>
      <c r="Q730" s="153">
        <v>21.13</v>
      </c>
      <c r="R730" s="153">
        <v>21.07</v>
      </c>
      <c r="S730" s="4"/>
      <c r="U730" s="147" t="s">
        <v>807</v>
      </c>
      <c r="V730" s="11"/>
      <c r="W730" s="4"/>
      <c r="X730" s="12"/>
      <c r="Y730" s="14"/>
      <c r="Z730" s="4"/>
      <c r="AA730" s="13"/>
      <c r="AB730" s="11"/>
      <c r="AC730" s="4"/>
      <c r="AD730" s="12"/>
      <c r="AE730" s="13"/>
      <c r="AF730" s="14">
        <v>5.0106000000000002</v>
      </c>
      <c r="AG730" s="133"/>
      <c r="AI730" s="84"/>
      <c r="AL730" s="64">
        <v>4.1726403333333337</v>
      </c>
      <c r="AM730" s="56">
        <v>14.54000000000004</v>
      </c>
      <c r="AN730" s="56">
        <v>16.500000000000089</v>
      </c>
      <c r="AO730" s="62">
        <v>22.579999999999959</v>
      </c>
      <c r="AQ730" s="64">
        <v>4.0826185000000006</v>
      </c>
      <c r="AR730" s="56">
        <v>14.24000000000003</v>
      </c>
      <c r="AS730" s="56">
        <v>15.7</v>
      </c>
      <c r="AT730" s="62">
        <v>19.880000000000031</v>
      </c>
      <c r="AV730" s="64">
        <v>3.7310539666666669</v>
      </c>
      <c r="AW730" s="56">
        <v>13.480000000000031</v>
      </c>
      <c r="AX730" s="56">
        <v>14.920000000000041</v>
      </c>
      <c r="AY730" s="62">
        <v>19.640000000000061</v>
      </c>
      <c r="BA730" s="64">
        <v>3.188351233333333</v>
      </c>
      <c r="BB730" s="56">
        <v>15.660000000000011</v>
      </c>
      <c r="BC730" s="56">
        <v>18.060000000000009</v>
      </c>
      <c r="BD730" s="62">
        <v>29.8</v>
      </c>
      <c r="BF730" s="64">
        <v>2.9332438999999999</v>
      </c>
      <c r="BG730" s="56">
        <v>19.260000000000051</v>
      </c>
      <c r="BH730" s="56">
        <v>25.980000000000029</v>
      </c>
      <c r="BI730" s="62">
        <v>54.960000000000079</v>
      </c>
      <c r="BJ730" s="70"/>
      <c r="BK730" s="51"/>
    </row>
    <row r="731" spans="1:63" x14ac:dyDescent="0.4">
      <c r="A731" s="11" t="s">
        <v>808</v>
      </c>
      <c r="B731" s="4"/>
      <c r="C731" s="4"/>
      <c r="D731" s="4"/>
      <c r="E731" s="12"/>
      <c r="G731" s="147" t="s">
        <v>808</v>
      </c>
      <c r="H731" s="159">
        <v>69.882999999999996</v>
      </c>
      <c r="I731" s="153">
        <v>70.290000000000006</v>
      </c>
      <c r="J731" s="153">
        <v>70.31</v>
      </c>
      <c r="K731" s="153">
        <v>70.37</v>
      </c>
      <c r="L731" s="153">
        <v>70.33</v>
      </c>
      <c r="M731" s="80">
        <f t="shared" si="22"/>
        <v>70.37</v>
      </c>
      <c r="N731" s="80">
        <f t="shared" si="23"/>
        <v>70.290000000000006</v>
      </c>
      <c r="O731" s="153">
        <v>21.16</v>
      </c>
      <c r="P731" s="153">
        <v>21.13</v>
      </c>
      <c r="Q731" s="153">
        <v>21.11</v>
      </c>
      <c r="R731" s="153">
        <v>21.08</v>
      </c>
      <c r="S731" s="4"/>
      <c r="U731" s="147" t="s">
        <v>808</v>
      </c>
      <c r="V731" s="11"/>
      <c r="W731" s="4"/>
      <c r="X731" s="12"/>
      <c r="Y731" s="14"/>
      <c r="Z731" s="4"/>
      <c r="AA731" s="13"/>
      <c r="AB731" s="11"/>
      <c r="AC731" s="4"/>
      <c r="AD731" s="12"/>
      <c r="AE731" s="13"/>
      <c r="AF731" s="14">
        <v>5.0126999999999997</v>
      </c>
      <c r="AG731" s="133"/>
      <c r="AI731" s="84"/>
      <c r="AL731" s="64">
        <v>4.1727678500000014</v>
      </c>
      <c r="AM731" s="56">
        <v>14.15999999999986</v>
      </c>
      <c r="AN731" s="56">
        <v>16.059999999999871</v>
      </c>
      <c r="AO731" s="62">
        <v>22.139999999999919</v>
      </c>
      <c r="AQ731" s="64">
        <v>4.0811085166666663</v>
      </c>
      <c r="AR731" s="56">
        <v>13.76000000000008</v>
      </c>
      <c r="AS731" s="56">
        <v>15.16000000000002</v>
      </c>
      <c r="AT731" s="62">
        <v>19.160000000000021</v>
      </c>
      <c r="AV731" s="64">
        <v>3.7271793666666659</v>
      </c>
      <c r="AW731" s="56">
        <v>13.620000000000051</v>
      </c>
      <c r="AX731" s="56">
        <v>15.040000000000029</v>
      </c>
      <c r="AY731" s="62">
        <v>19.739999999999998</v>
      </c>
      <c r="BA731" s="64">
        <v>3.1837010166666668</v>
      </c>
      <c r="BB731" s="56">
        <v>16.54</v>
      </c>
      <c r="BC731" s="56">
        <v>18.959999999999951</v>
      </c>
      <c r="BD731" s="62">
        <v>30.860000000000021</v>
      </c>
      <c r="BF731" s="64">
        <v>2.9266155166666672</v>
      </c>
      <c r="BG731" s="56">
        <v>20.14000000000005</v>
      </c>
      <c r="BH731" s="56">
        <v>26.91999999999997</v>
      </c>
      <c r="BI731" s="62">
        <v>55.820000000000022</v>
      </c>
      <c r="BJ731" s="70"/>
      <c r="BK731" s="51"/>
    </row>
    <row r="732" spans="1:63" x14ac:dyDescent="0.4">
      <c r="A732" s="11" t="s">
        <v>809</v>
      </c>
      <c r="B732" s="4"/>
      <c r="C732" s="4"/>
      <c r="D732" s="4"/>
      <c r="E732" s="12"/>
      <c r="G732" s="147" t="s">
        <v>809</v>
      </c>
      <c r="H732" s="159">
        <v>70.05</v>
      </c>
      <c r="I732" s="153">
        <v>70.319999999999993</v>
      </c>
      <c r="J732" s="153">
        <v>70.319999999999993</v>
      </c>
      <c r="K732" s="153">
        <v>70.33</v>
      </c>
      <c r="L732" s="153">
        <v>70.37</v>
      </c>
      <c r="M732" s="80">
        <f t="shared" si="22"/>
        <v>70.37</v>
      </c>
      <c r="N732" s="80">
        <f t="shared" si="23"/>
        <v>70.319999999999993</v>
      </c>
      <c r="O732" s="153">
        <v>21.14</v>
      </c>
      <c r="P732" s="153">
        <v>21.14</v>
      </c>
      <c r="Q732" s="153">
        <v>21.09</v>
      </c>
      <c r="R732" s="153">
        <v>21.07</v>
      </c>
      <c r="S732" s="4"/>
      <c r="U732" s="147" t="s">
        <v>809</v>
      </c>
      <c r="V732" s="11"/>
      <c r="W732" s="4"/>
      <c r="X732" s="12"/>
      <c r="Y732" s="14"/>
      <c r="Z732" s="4"/>
      <c r="AA732" s="13"/>
      <c r="AB732" s="11"/>
      <c r="AC732" s="4"/>
      <c r="AD732" s="12"/>
      <c r="AE732" s="13"/>
      <c r="AF732" s="14">
        <v>5.0137999999999998</v>
      </c>
      <c r="AG732" s="133"/>
      <c r="AI732" s="84"/>
      <c r="AL732" s="64">
        <v>4.1718060166666664</v>
      </c>
      <c r="AM732" s="56">
        <v>14.719999999999979</v>
      </c>
      <c r="AN732" s="56">
        <v>16.699999999999982</v>
      </c>
      <c r="AO732" s="62">
        <v>22.94</v>
      </c>
      <c r="AQ732" s="64">
        <v>4.0811984333333333</v>
      </c>
      <c r="AR732" s="56">
        <v>14.219999999999899</v>
      </c>
      <c r="AS732" s="56">
        <v>15.63999999999997</v>
      </c>
      <c r="AT732" s="62">
        <v>19.739999999999998</v>
      </c>
      <c r="AV732" s="64">
        <v>3.7266594999999998</v>
      </c>
      <c r="AW732" s="56">
        <v>13.700000000000051</v>
      </c>
      <c r="AX732" s="56">
        <v>15.140000000000059</v>
      </c>
      <c r="AY732" s="62">
        <v>19.899999999999981</v>
      </c>
      <c r="BA732" s="64">
        <v>3.184216366666667</v>
      </c>
      <c r="BB732" s="56">
        <v>16.559999999999949</v>
      </c>
      <c r="BC732" s="56">
        <v>19.079999999999941</v>
      </c>
      <c r="BD732" s="62">
        <v>31.199999999999939</v>
      </c>
      <c r="BF732" s="64">
        <v>2.9370056999999998</v>
      </c>
      <c r="BG732" s="56">
        <v>20.26000000000003</v>
      </c>
      <c r="BH732" s="56">
        <v>27.080000000000041</v>
      </c>
      <c r="BI732" s="62">
        <v>55.680000000000078</v>
      </c>
      <c r="BJ732" s="70"/>
      <c r="BK732" s="51"/>
    </row>
    <row r="733" spans="1:63" x14ac:dyDescent="0.4">
      <c r="A733" s="11" t="s">
        <v>810</v>
      </c>
      <c r="B733" s="4"/>
      <c r="C733" s="4"/>
      <c r="D733" s="4"/>
      <c r="E733" s="12"/>
      <c r="G733" s="147" t="s">
        <v>810</v>
      </c>
      <c r="H733" s="159">
        <v>69.944999999999993</v>
      </c>
      <c r="I733" s="153">
        <v>70.39</v>
      </c>
      <c r="J733" s="153">
        <v>70.39</v>
      </c>
      <c r="K733" s="153">
        <v>70.37</v>
      </c>
      <c r="L733" s="153">
        <v>70.31</v>
      </c>
      <c r="M733" s="80">
        <f t="shared" si="22"/>
        <v>70.39</v>
      </c>
      <c r="N733" s="80">
        <f t="shared" si="23"/>
        <v>70.31</v>
      </c>
      <c r="O733" s="153">
        <v>21.2</v>
      </c>
      <c r="P733" s="153">
        <v>21.13</v>
      </c>
      <c r="Q733" s="153">
        <v>21.15</v>
      </c>
      <c r="R733" s="153">
        <v>21.06</v>
      </c>
      <c r="S733" s="4"/>
      <c r="U733" s="147" t="s">
        <v>810</v>
      </c>
      <c r="V733" s="11"/>
      <c r="W733" s="4"/>
      <c r="X733" s="12"/>
      <c r="Y733" s="14"/>
      <c r="Z733" s="4"/>
      <c r="AA733" s="13"/>
      <c r="AB733" s="11"/>
      <c r="AC733" s="4"/>
      <c r="AD733" s="12"/>
      <c r="AE733" s="13"/>
      <c r="AF733" s="14">
        <v>5.0153999999999996</v>
      </c>
      <c r="AG733" s="133"/>
      <c r="AI733" s="84"/>
      <c r="AL733" s="64">
        <v>4.1727882999999997</v>
      </c>
      <c r="AM733" s="56">
        <v>13.940000000000021</v>
      </c>
      <c r="AN733" s="56">
        <v>15.87999999999994</v>
      </c>
      <c r="AO733" s="62">
        <v>21.95999999999998</v>
      </c>
      <c r="AQ733" s="64">
        <v>4.0827969833333322</v>
      </c>
      <c r="AR733" s="56">
        <v>13.61999999999988</v>
      </c>
      <c r="AS733" s="56">
        <v>15.019999999999991</v>
      </c>
      <c r="AT733" s="62">
        <v>19.019999999999989</v>
      </c>
      <c r="AV733" s="64">
        <v>3.7288570000000001</v>
      </c>
      <c r="AW733" s="56">
        <v>13.3</v>
      </c>
      <c r="AX733" s="56">
        <v>14.719999999999979</v>
      </c>
      <c r="AY733" s="62">
        <v>19.399999999999999</v>
      </c>
      <c r="BA733" s="64">
        <v>3.1852103333333339</v>
      </c>
      <c r="BB733" s="56">
        <v>16.139999999999951</v>
      </c>
      <c r="BC733" s="56">
        <v>18.559999999999999</v>
      </c>
      <c r="BD733" s="62">
        <v>30.41999999999998</v>
      </c>
      <c r="BF733" s="64">
        <v>2.926836283333333</v>
      </c>
      <c r="BG733" s="56">
        <v>19.80000000000004</v>
      </c>
      <c r="BH733" s="56">
        <v>26.6</v>
      </c>
      <c r="BI733" s="62">
        <v>55.839999999999982</v>
      </c>
      <c r="BJ733" s="70"/>
      <c r="BK733" s="51"/>
    </row>
    <row r="734" spans="1:63" x14ac:dyDescent="0.4">
      <c r="A734" s="11" t="s">
        <v>811</v>
      </c>
      <c r="B734" s="4"/>
      <c r="C734" s="4"/>
      <c r="D734" s="4"/>
      <c r="E734" s="12"/>
      <c r="G734" s="147" t="s">
        <v>811</v>
      </c>
      <c r="H734" s="159">
        <v>70.046999999999997</v>
      </c>
      <c r="I734" s="153">
        <v>70.36</v>
      </c>
      <c r="J734" s="153">
        <v>70.33</v>
      </c>
      <c r="K734" s="153">
        <v>70.3</v>
      </c>
      <c r="L734" s="153">
        <v>70.38</v>
      </c>
      <c r="M734" s="80">
        <f t="shared" si="22"/>
        <v>70.38</v>
      </c>
      <c r="N734" s="80">
        <f t="shared" si="23"/>
        <v>70.3</v>
      </c>
      <c r="O734" s="153">
        <v>21.14</v>
      </c>
      <c r="P734" s="153">
        <v>21.08</v>
      </c>
      <c r="Q734" s="153">
        <v>21.12</v>
      </c>
      <c r="R734" s="153">
        <v>21.11</v>
      </c>
      <c r="S734" s="4"/>
      <c r="U734" s="147" t="s">
        <v>811</v>
      </c>
      <c r="V734" s="11"/>
      <c r="W734" s="4"/>
      <c r="X734" s="12"/>
      <c r="Y734" s="14"/>
      <c r="Z734" s="4"/>
      <c r="AA734" s="13"/>
      <c r="AB734" s="11"/>
      <c r="AC734" s="4"/>
      <c r="AD734" s="12"/>
      <c r="AE734" s="13"/>
      <c r="AF734" s="14">
        <v>5.0156000000000001</v>
      </c>
      <c r="AG734" s="133"/>
      <c r="AI734" s="84"/>
      <c r="AL734" s="64">
        <v>4.1724056333333328</v>
      </c>
      <c r="AM734" s="56">
        <v>13.879999999999979</v>
      </c>
      <c r="AN734" s="56">
        <v>15.819999999999901</v>
      </c>
      <c r="AO734" s="62">
        <v>21.94000000000003</v>
      </c>
      <c r="AQ734" s="64">
        <v>4.0824238999999993</v>
      </c>
      <c r="AR734" s="56">
        <v>13.59999999999992</v>
      </c>
      <c r="AS734" s="56">
        <v>14.99999999999986</v>
      </c>
      <c r="AT734" s="62">
        <v>18.99999999999995</v>
      </c>
      <c r="AV734" s="64">
        <v>3.729075466666667</v>
      </c>
      <c r="AW734" s="56">
        <v>13.22000000000001</v>
      </c>
      <c r="AX734" s="56">
        <v>14.619999999999941</v>
      </c>
      <c r="AY734" s="62">
        <v>19.299999999999962</v>
      </c>
      <c r="BA734" s="64">
        <v>3.1863480833333329</v>
      </c>
      <c r="BB734" s="56">
        <v>15.880000000000029</v>
      </c>
      <c r="BC734" s="56">
        <v>18.299999999999979</v>
      </c>
      <c r="BD734" s="62">
        <v>30.120000000000061</v>
      </c>
      <c r="BF734" s="64">
        <v>2.9276776999999998</v>
      </c>
      <c r="BG734" s="56">
        <v>19.599999999999969</v>
      </c>
      <c r="BH734" s="56">
        <v>26.52000000000001</v>
      </c>
      <c r="BI734" s="62">
        <v>56.099999999999987</v>
      </c>
      <c r="BJ734" s="70"/>
      <c r="BK734" s="51"/>
    </row>
    <row r="735" spans="1:63" x14ac:dyDescent="0.4">
      <c r="A735" s="11" t="s">
        <v>812</v>
      </c>
      <c r="B735" s="4"/>
      <c r="C735" s="4"/>
      <c r="D735" s="4"/>
      <c r="E735" s="12"/>
      <c r="G735" s="147" t="s">
        <v>812</v>
      </c>
      <c r="H735" s="159">
        <v>69.914000000000001</v>
      </c>
      <c r="I735" s="153">
        <v>70.27</v>
      </c>
      <c r="J735" s="153">
        <v>70.39</v>
      </c>
      <c r="K735" s="153">
        <v>70.33</v>
      </c>
      <c r="L735" s="153">
        <v>70.349999999999994</v>
      </c>
      <c r="M735" s="80">
        <f t="shared" si="22"/>
        <v>70.39</v>
      </c>
      <c r="N735" s="80">
        <f t="shared" si="23"/>
        <v>70.27</v>
      </c>
      <c r="O735" s="153">
        <v>21.19</v>
      </c>
      <c r="P735" s="153">
        <v>21.01</v>
      </c>
      <c r="Q735" s="153">
        <v>21.09</v>
      </c>
      <c r="R735" s="153">
        <v>21.07</v>
      </c>
      <c r="S735" s="4"/>
      <c r="U735" s="147" t="s">
        <v>812</v>
      </c>
      <c r="V735" s="11"/>
      <c r="W735" s="4"/>
      <c r="X735" s="12"/>
      <c r="Y735" s="14"/>
      <c r="Z735" s="4"/>
      <c r="AA735" s="13"/>
      <c r="AB735" s="11"/>
      <c r="AC735" s="4"/>
      <c r="AD735" s="12"/>
      <c r="AE735" s="13"/>
      <c r="AF735" s="14">
        <v>5.0022000000000002</v>
      </c>
      <c r="AG735" s="133"/>
      <c r="AI735" s="84"/>
      <c r="AL735" s="64">
        <v>4.1726879666666674</v>
      </c>
      <c r="AM735" s="56">
        <v>13.899999999999929</v>
      </c>
      <c r="AN735" s="56">
        <v>15.819999999999901</v>
      </c>
      <c r="AO735" s="62">
        <v>21.919999999999899</v>
      </c>
      <c r="AQ735" s="64">
        <v>4.0821377166666659</v>
      </c>
      <c r="AR735" s="56">
        <v>13.480000000000031</v>
      </c>
      <c r="AS735" s="56">
        <v>14.84000000000005</v>
      </c>
      <c r="AT735" s="62">
        <v>18.780000000000019</v>
      </c>
      <c r="AV735" s="64">
        <v>3.7287503166666669</v>
      </c>
      <c r="AW735" s="56">
        <v>12.98000000000004</v>
      </c>
      <c r="AX735" s="56">
        <v>14.380000000000059</v>
      </c>
      <c r="AY735" s="62">
        <v>19.000000000000039</v>
      </c>
      <c r="BA735" s="64">
        <v>3.1863538666666669</v>
      </c>
      <c r="BB735" s="56">
        <v>15.479999999999981</v>
      </c>
      <c r="BC735" s="56">
        <v>17.860000000000031</v>
      </c>
      <c r="BD735" s="62">
        <v>29.520000000000039</v>
      </c>
      <c r="BF735" s="64">
        <v>2.9249618499999999</v>
      </c>
      <c r="BG735" s="56">
        <v>19.21999999999997</v>
      </c>
      <c r="BH735" s="56">
        <v>25.999999999999979</v>
      </c>
      <c r="BI735" s="62">
        <v>55.560000000000009</v>
      </c>
      <c r="BJ735" s="70"/>
      <c r="BK735" s="51"/>
    </row>
    <row r="736" spans="1:63" x14ac:dyDescent="0.4">
      <c r="A736" s="11" t="s">
        <v>813</v>
      </c>
      <c r="B736" s="4"/>
      <c r="C736" s="4"/>
      <c r="D736" s="4"/>
      <c r="E736" s="12"/>
      <c r="G736" s="147" t="s">
        <v>813</v>
      </c>
      <c r="H736" s="159">
        <v>69.989999999999995</v>
      </c>
      <c r="I736" s="153">
        <v>70.36</v>
      </c>
      <c r="J736" s="153">
        <v>70.39</v>
      </c>
      <c r="K736" s="153">
        <v>70.349999999999994</v>
      </c>
      <c r="L736" s="153">
        <v>70.349999999999994</v>
      </c>
      <c r="M736" s="80">
        <f t="shared" si="22"/>
        <v>70.39</v>
      </c>
      <c r="N736" s="80">
        <f t="shared" si="23"/>
        <v>70.349999999999994</v>
      </c>
      <c r="O736" s="153">
        <v>21.15</v>
      </c>
      <c r="P736" s="153">
        <v>21.11</v>
      </c>
      <c r="Q736" s="153">
        <v>21.09</v>
      </c>
      <c r="R736" s="153">
        <v>21.08</v>
      </c>
      <c r="S736" s="4"/>
      <c r="U736" s="147" t="s">
        <v>813</v>
      </c>
      <c r="V736" s="11"/>
      <c r="W736" s="4"/>
      <c r="X736" s="12"/>
      <c r="Y736" s="14"/>
      <c r="Z736" s="4"/>
      <c r="AA736" s="13"/>
      <c r="AB736" s="11"/>
      <c r="AC736" s="4"/>
      <c r="AD736" s="12"/>
      <c r="AE736" s="13"/>
      <c r="AF736" s="14">
        <v>4.9931999999999999</v>
      </c>
      <c r="AG736" s="133"/>
      <c r="AI736" s="84"/>
      <c r="AL736" s="64">
        <v>4.1725301166666666</v>
      </c>
      <c r="AM736" s="56">
        <v>14.30000000000007</v>
      </c>
      <c r="AN736" s="56">
        <v>16.220000000000031</v>
      </c>
      <c r="AO736" s="62">
        <v>22.34000000000016</v>
      </c>
      <c r="AQ736" s="64">
        <v>4.0828393500000004</v>
      </c>
      <c r="AR736" s="56">
        <v>13.96000000000015</v>
      </c>
      <c r="AS736" s="56">
        <v>15.38000000000004</v>
      </c>
      <c r="AT736" s="62">
        <v>19.40000000000008</v>
      </c>
      <c r="AV736" s="64">
        <v>3.7285241</v>
      </c>
      <c r="AW736" s="56">
        <v>13.60000000000001</v>
      </c>
      <c r="AX736" s="56">
        <v>15.059999999999979</v>
      </c>
      <c r="AY736" s="62">
        <v>19.70000000000001</v>
      </c>
      <c r="BA736" s="64">
        <v>3.185419050000001</v>
      </c>
      <c r="BB736" s="56">
        <v>16.600000000000041</v>
      </c>
      <c r="BC736" s="56">
        <v>19.08000000000003</v>
      </c>
      <c r="BD736" s="62">
        <v>31.200000000000031</v>
      </c>
      <c r="BF736" s="64">
        <v>2.9405698666666669</v>
      </c>
      <c r="BG736" s="56">
        <v>20.29999999999994</v>
      </c>
      <c r="BH736" s="56">
        <v>27.27999999999993</v>
      </c>
      <c r="BI736" s="62">
        <v>56.179999999999993</v>
      </c>
      <c r="BJ736" s="70"/>
      <c r="BK736" s="51"/>
    </row>
    <row r="737" spans="1:63" x14ac:dyDescent="0.4">
      <c r="A737" s="11" t="s">
        <v>814</v>
      </c>
      <c r="B737" s="4"/>
      <c r="C737" s="4"/>
      <c r="D737" s="4"/>
      <c r="E737" s="12"/>
      <c r="G737" s="147" t="s">
        <v>814</v>
      </c>
      <c r="H737" s="159">
        <v>70.055999999999997</v>
      </c>
      <c r="I737" s="153">
        <v>70.28</v>
      </c>
      <c r="J737" s="153">
        <v>70.34</v>
      </c>
      <c r="K737" s="153">
        <v>70.290000000000006</v>
      </c>
      <c r="L737" s="153">
        <v>70.37</v>
      </c>
      <c r="M737" s="80">
        <f t="shared" si="22"/>
        <v>70.37</v>
      </c>
      <c r="N737" s="80">
        <f t="shared" si="23"/>
        <v>70.28</v>
      </c>
      <c r="O737" s="153">
        <v>21.14</v>
      </c>
      <c r="P737" s="153">
        <v>21.12</v>
      </c>
      <c r="Q737" s="153">
        <v>21.15</v>
      </c>
      <c r="R737" s="153">
        <v>21.1</v>
      </c>
      <c r="S737" s="4"/>
      <c r="U737" s="147" t="s">
        <v>814</v>
      </c>
      <c r="V737" s="11"/>
      <c r="W737" s="4"/>
      <c r="X737" s="12"/>
      <c r="Y737" s="14"/>
      <c r="Z737" s="4"/>
      <c r="AA737" s="13"/>
      <c r="AB737" s="11"/>
      <c r="AC737" s="4"/>
      <c r="AD737" s="12"/>
      <c r="AE737" s="13"/>
      <c r="AF737" s="14">
        <v>5.0034000000000001</v>
      </c>
      <c r="AG737" s="133"/>
      <c r="AI737" s="84"/>
      <c r="AL737" s="64">
        <v>4.1717151166666664</v>
      </c>
      <c r="AM737" s="56">
        <v>13.72</v>
      </c>
      <c r="AN737" s="56">
        <v>15.63999999999997</v>
      </c>
      <c r="AO737" s="62">
        <v>21.679999999999922</v>
      </c>
      <c r="AQ737" s="64">
        <v>4.0835362499999999</v>
      </c>
      <c r="AR737" s="56">
        <v>13.539999999999891</v>
      </c>
      <c r="AS737" s="56">
        <v>14.94</v>
      </c>
      <c r="AT737" s="62">
        <v>18.939999999999909</v>
      </c>
      <c r="AV737" s="64">
        <v>3.7302805999999999</v>
      </c>
      <c r="AW737" s="56">
        <v>13.12000000000006</v>
      </c>
      <c r="AX737" s="56">
        <v>14.52</v>
      </c>
      <c r="AY737" s="62">
        <v>19.160000000000021</v>
      </c>
      <c r="BA737" s="64">
        <v>3.1847922666666668</v>
      </c>
      <c r="BB737" s="56">
        <v>15.84000000000003</v>
      </c>
      <c r="BC737" s="56">
        <v>18.28000000000003</v>
      </c>
      <c r="BD737" s="62">
        <v>30.26</v>
      </c>
      <c r="BF737" s="64">
        <v>2.9377143166666668</v>
      </c>
      <c r="BG737" s="56">
        <v>19.56000000000007</v>
      </c>
      <c r="BH737" s="56">
        <v>26.420000000000069</v>
      </c>
      <c r="BI737" s="62">
        <v>55.400000000000027</v>
      </c>
      <c r="BJ737" s="70"/>
      <c r="BK737" s="51"/>
    </row>
    <row r="738" spans="1:63" x14ac:dyDescent="0.4">
      <c r="A738" s="11" t="s">
        <v>815</v>
      </c>
      <c r="B738" s="4"/>
      <c r="C738" s="4"/>
      <c r="D738" s="4"/>
      <c r="E738" s="12"/>
      <c r="G738" s="147" t="s">
        <v>815</v>
      </c>
      <c r="H738" s="159">
        <v>69.932000000000002</v>
      </c>
      <c r="I738" s="153">
        <v>70.34</v>
      </c>
      <c r="J738" s="153">
        <v>70.36</v>
      </c>
      <c r="K738" s="153">
        <v>70.28</v>
      </c>
      <c r="L738" s="153">
        <v>70.28</v>
      </c>
      <c r="M738" s="80">
        <f t="shared" si="22"/>
        <v>70.36</v>
      </c>
      <c r="N738" s="80">
        <f t="shared" si="23"/>
        <v>70.28</v>
      </c>
      <c r="O738" s="153">
        <v>21.13</v>
      </c>
      <c r="P738" s="153">
        <v>21.06</v>
      </c>
      <c r="Q738" s="153">
        <v>21.12</v>
      </c>
      <c r="R738" s="153">
        <v>21.08</v>
      </c>
      <c r="S738" s="4"/>
      <c r="U738" s="147" t="s">
        <v>815</v>
      </c>
      <c r="V738" s="11"/>
      <c r="W738" s="4"/>
      <c r="X738" s="12"/>
      <c r="Y738" s="14"/>
      <c r="Z738" s="4"/>
      <c r="AA738" s="13"/>
      <c r="AB738" s="11"/>
      <c r="AC738" s="4"/>
      <c r="AD738" s="12"/>
      <c r="AE738" s="13"/>
      <c r="AF738" s="14">
        <v>4.9947999999999997</v>
      </c>
      <c r="AG738" s="133"/>
      <c r="AI738" s="84"/>
      <c r="AL738" s="64">
        <v>4.1723604000000014</v>
      </c>
      <c r="AM738" s="56">
        <v>13.79999999999999</v>
      </c>
      <c r="AN738" s="56">
        <v>15.7</v>
      </c>
      <c r="AO738" s="62">
        <v>21.77999999999987</v>
      </c>
      <c r="AQ738" s="64">
        <v>4.0828267500000006</v>
      </c>
      <c r="AR738" s="56">
        <v>13.50000000000016</v>
      </c>
      <c r="AS738" s="56">
        <v>14.86000000000001</v>
      </c>
      <c r="AT738" s="62">
        <v>18.860000000000099</v>
      </c>
      <c r="AV738" s="64">
        <v>3.7287837000000001</v>
      </c>
      <c r="AW738" s="56">
        <v>13.09999999999993</v>
      </c>
      <c r="AX738" s="56">
        <v>14.48</v>
      </c>
      <c r="AY738" s="62">
        <v>19.119999999999941</v>
      </c>
      <c r="BA738" s="64">
        <v>3.1877922999999999</v>
      </c>
      <c r="BB738" s="56">
        <v>15.839999999999939</v>
      </c>
      <c r="BC738" s="56">
        <v>18.279999999999941</v>
      </c>
      <c r="BD738" s="62">
        <v>30.18000000000001</v>
      </c>
      <c r="BF738" s="64">
        <v>2.9480977666666668</v>
      </c>
      <c r="BG738" s="56">
        <v>19.439999999999991</v>
      </c>
      <c r="BH738" s="56">
        <v>26.29999999999999</v>
      </c>
      <c r="BI738" s="62">
        <v>54.499999999999993</v>
      </c>
      <c r="BJ738" s="70"/>
      <c r="BK738" s="51"/>
    </row>
    <row r="739" spans="1:63" x14ac:dyDescent="0.4">
      <c r="A739" s="11" t="s">
        <v>816</v>
      </c>
      <c r="B739" s="4"/>
      <c r="C739" s="4"/>
      <c r="D739" s="4"/>
      <c r="E739" s="12"/>
      <c r="G739" s="147" t="s">
        <v>816</v>
      </c>
      <c r="H739" s="159">
        <v>70.004999999999995</v>
      </c>
      <c r="I739" s="153">
        <v>70.36</v>
      </c>
      <c r="J739" s="153">
        <v>70.28</v>
      </c>
      <c r="K739" s="153">
        <v>70.28</v>
      </c>
      <c r="L739" s="153">
        <v>70.27</v>
      </c>
      <c r="M739" s="80">
        <f t="shared" si="22"/>
        <v>70.36</v>
      </c>
      <c r="N739" s="80">
        <f t="shared" si="23"/>
        <v>70.27</v>
      </c>
      <c r="O739" s="153">
        <v>21.12</v>
      </c>
      <c r="P739" s="153">
        <v>21.14</v>
      </c>
      <c r="Q739" s="153">
        <v>21.13</v>
      </c>
      <c r="R739" s="153">
        <v>21.11</v>
      </c>
      <c r="S739" s="4"/>
      <c r="U739" s="147" t="s">
        <v>816</v>
      </c>
      <c r="V739" s="11"/>
      <c r="W739" s="4"/>
      <c r="X739" s="12"/>
      <c r="Y739" s="14"/>
      <c r="Z739" s="4"/>
      <c r="AA739" s="13"/>
      <c r="AB739" s="11"/>
      <c r="AC739" s="4"/>
      <c r="AD739" s="12"/>
      <c r="AE739" s="13"/>
      <c r="AF739" s="14">
        <v>5.0193000000000003</v>
      </c>
      <c r="AG739" s="133"/>
      <c r="AI739" s="84"/>
      <c r="AL739" s="64">
        <v>4.1719316499999994</v>
      </c>
      <c r="AM739" s="56">
        <v>14.059999999999921</v>
      </c>
      <c r="AN739" s="56">
        <v>15.980000000000061</v>
      </c>
      <c r="AO739" s="62">
        <v>21.979999999999929</v>
      </c>
      <c r="AQ739" s="64">
        <v>4.0811139000000001</v>
      </c>
      <c r="AR739" s="56">
        <v>13.3799999999999</v>
      </c>
      <c r="AS739" s="56">
        <v>14.780000000000021</v>
      </c>
      <c r="AT739" s="62">
        <v>18.75999999999998</v>
      </c>
      <c r="AV739" s="64">
        <v>3.7275660500000001</v>
      </c>
      <c r="AW739" s="56">
        <v>12.98000000000004</v>
      </c>
      <c r="AX739" s="56">
        <v>14.360000000000021</v>
      </c>
      <c r="AY739" s="62">
        <v>19.019999999999989</v>
      </c>
      <c r="BA739" s="64">
        <v>3.181635983333333</v>
      </c>
      <c r="BB739" s="56">
        <v>15.54000000000002</v>
      </c>
      <c r="BC739" s="56">
        <v>18.00000000000006</v>
      </c>
      <c r="BD739" s="62">
        <v>29.95999999999999</v>
      </c>
      <c r="BF739" s="64">
        <v>2.935019383333334</v>
      </c>
      <c r="BG739" s="56">
        <v>19.040000000000031</v>
      </c>
      <c r="BH739" s="56">
        <v>25.660000000000061</v>
      </c>
      <c r="BI739" s="62">
        <v>54.100000000000037</v>
      </c>
      <c r="BJ739" s="70"/>
      <c r="BK739" s="51"/>
    </row>
    <row r="740" spans="1:63" x14ac:dyDescent="0.4">
      <c r="A740" s="11" t="s">
        <v>817</v>
      </c>
      <c r="B740" s="4"/>
      <c r="C740" s="4"/>
      <c r="D740" s="4"/>
      <c r="E740" s="12"/>
      <c r="G740" s="147" t="s">
        <v>817</v>
      </c>
      <c r="H740" s="159">
        <v>70.034999999999997</v>
      </c>
      <c r="I740" s="153">
        <v>70.39</v>
      </c>
      <c r="J740" s="153">
        <v>70.37</v>
      </c>
      <c r="K740" s="153">
        <v>70.319999999999993</v>
      </c>
      <c r="L740" s="153">
        <v>70.31</v>
      </c>
      <c r="M740" s="80">
        <f t="shared" si="22"/>
        <v>70.39</v>
      </c>
      <c r="N740" s="80">
        <f t="shared" si="23"/>
        <v>70.31</v>
      </c>
      <c r="O740" s="153">
        <v>21.2</v>
      </c>
      <c r="P740" s="153">
        <v>21.13</v>
      </c>
      <c r="Q740" s="153">
        <v>21.16</v>
      </c>
      <c r="R740" s="153">
        <v>21.1</v>
      </c>
      <c r="S740" s="4"/>
      <c r="U740" s="147" t="s">
        <v>817</v>
      </c>
      <c r="V740" s="11"/>
      <c r="W740" s="4"/>
      <c r="X740" s="12"/>
      <c r="Y740" s="14"/>
      <c r="Z740" s="4"/>
      <c r="AA740" s="13"/>
      <c r="AB740" s="11"/>
      <c r="AC740" s="4"/>
      <c r="AD740" s="12"/>
      <c r="AE740" s="13"/>
      <c r="AF740" s="14">
        <v>5.0098000000000003</v>
      </c>
      <c r="AG740" s="133"/>
      <c r="AI740" s="84"/>
      <c r="AL740" s="64">
        <v>4.1721240666666661</v>
      </c>
      <c r="AM740" s="56">
        <v>14.140000000000089</v>
      </c>
      <c r="AN740" s="56">
        <v>16.040000000000099</v>
      </c>
      <c r="AO740" s="62">
        <v>22.220000000000081</v>
      </c>
      <c r="AQ740" s="64">
        <v>4.0814492333333332</v>
      </c>
      <c r="AR740" s="56">
        <v>13.72</v>
      </c>
      <c r="AS740" s="56">
        <v>15.09999999999998</v>
      </c>
      <c r="AT740" s="62">
        <v>19.120000000000029</v>
      </c>
      <c r="AV740" s="64">
        <v>3.7273889333333341</v>
      </c>
      <c r="AW740" s="56">
        <v>13.26000000000001</v>
      </c>
      <c r="AX740" s="56">
        <v>14.65999999999994</v>
      </c>
      <c r="AY740" s="62">
        <v>19.32</v>
      </c>
      <c r="BA740" s="64">
        <v>3.1876104000000001</v>
      </c>
      <c r="BB740" s="56">
        <v>15.97999999999997</v>
      </c>
      <c r="BC740" s="56">
        <v>18.379999999999971</v>
      </c>
      <c r="BD740" s="62">
        <v>30.19999999999996</v>
      </c>
      <c r="BF740" s="64">
        <v>2.935603683333333</v>
      </c>
      <c r="BG740" s="56">
        <v>19.559999999999981</v>
      </c>
      <c r="BH740" s="56">
        <v>26.18</v>
      </c>
      <c r="BI740" s="62">
        <v>54.720000000000013</v>
      </c>
      <c r="BJ740" s="69"/>
      <c r="BK740" s="51"/>
    </row>
    <row r="741" spans="1:63" x14ac:dyDescent="0.4">
      <c r="A741" s="11" t="s">
        <v>818</v>
      </c>
      <c r="B741" s="4"/>
      <c r="C741" s="4"/>
      <c r="D741" s="4"/>
      <c r="E741" s="12"/>
      <c r="G741" s="147" t="s">
        <v>818</v>
      </c>
      <c r="H741" s="159">
        <v>70.144999999999996</v>
      </c>
      <c r="I741" s="153">
        <v>70.319999999999993</v>
      </c>
      <c r="J741" s="153">
        <v>70.37</v>
      </c>
      <c r="K741" s="153">
        <v>70.36</v>
      </c>
      <c r="L741" s="153">
        <v>70.290000000000006</v>
      </c>
      <c r="M741" s="80">
        <f t="shared" si="22"/>
        <v>70.37</v>
      </c>
      <c r="N741" s="80">
        <f t="shared" si="23"/>
        <v>70.290000000000006</v>
      </c>
      <c r="O741" s="153">
        <v>21.14</v>
      </c>
      <c r="P741" s="153">
        <v>21.18</v>
      </c>
      <c r="Q741" s="153">
        <v>21.12</v>
      </c>
      <c r="R741" s="153">
        <v>21.03</v>
      </c>
      <c r="S741" s="4"/>
      <c r="U741" s="147" t="s">
        <v>818</v>
      </c>
      <c r="V741" s="11"/>
      <c r="W741" s="4"/>
      <c r="X741" s="12"/>
      <c r="Y741" s="14"/>
      <c r="Z741" s="4"/>
      <c r="AA741" s="13"/>
      <c r="AB741" s="11"/>
      <c r="AC741" s="4"/>
      <c r="AD741" s="12"/>
      <c r="AE741" s="13"/>
      <c r="AF741" s="14">
        <v>4.9958999999999998</v>
      </c>
      <c r="AG741" s="133"/>
      <c r="AI741" s="84"/>
      <c r="AL741" s="64">
        <v>4.1724808666666657</v>
      </c>
      <c r="AM741" s="56">
        <v>14.50000000000014</v>
      </c>
      <c r="AN741" s="56">
        <v>16.400000000000151</v>
      </c>
      <c r="AO741" s="62">
        <v>22.480000000000011</v>
      </c>
      <c r="AQ741" s="64">
        <v>4.0805343833333332</v>
      </c>
      <c r="AR741" s="56">
        <v>13.979999999999929</v>
      </c>
      <c r="AS741" s="56">
        <v>15.37999999999986</v>
      </c>
      <c r="AT741" s="62">
        <v>19.419999999999948</v>
      </c>
      <c r="AV741" s="64">
        <v>3.7263661166666671</v>
      </c>
      <c r="AW741" s="56">
        <v>13.72</v>
      </c>
      <c r="AX741" s="56">
        <v>15.16000000000002</v>
      </c>
      <c r="AY741" s="62">
        <v>19.880000000000031</v>
      </c>
      <c r="BA741" s="64">
        <v>3.1818954000000002</v>
      </c>
      <c r="BB741" s="56">
        <v>16.340000000000021</v>
      </c>
      <c r="BC741" s="56">
        <v>18.780000000000019</v>
      </c>
      <c r="BD741" s="62">
        <v>30.68</v>
      </c>
      <c r="BF741" s="64">
        <v>2.926800483333333</v>
      </c>
      <c r="BG741" s="56">
        <v>20.080000000000009</v>
      </c>
      <c r="BH741" s="56">
        <v>26.820000000000022</v>
      </c>
      <c r="BI741" s="62">
        <v>55.74000000000003</v>
      </c>
      <c r="BJ741" s="70"/>
      <c r="BK741" s="51"/>
    </row>
    <row r="742" spans="1:63" x14ac:dyDescent="0.4">
      <c r="A742" s="11" t="s">
        <v>819</v>
      </c>
      <c r="B742" s="4"/>
      <c r="C742" s="4"/>
      <c r="D742" s="4"/>
      <c r="E742" s="12"/>
      <c r="G742" s="147" t="s">
        <v>819</v>
      </c>
      <c r="H742" s="159">
        <v>69.935000000000002</v>
      </c>
      <c r="I742" s="153">
        <v>70.290000000000006</v>
      </c>
      <c r="J742" s="153">
        <v>70.28</v>
      </c>
      <c r="K742" s="153">
        <v>70.36</v>
      </c>
      <c r="L742" s="153">
        <v>70.37</v>
      </c>
      <c r="M742" s="80">
        <f t="shared" si="22"/>
        <v>70.37</v>
      </c>
      <c r="N742" s="80">
        <f t="shared" si="23"/>
        <v>70.28</v>
      </c>
      <c r="O742" s="153">
        <v>21.21</v>
      </c>
      <c r="P742" s="153">
        <v>21.14</v>
      </c>
      <c r="Q742" s="153">
        <v>21.04</v>
      </c>
      <c r="R742" s="153">
        <v>21.01</v>
      </c>
      <c r="S742" s="4"/>
      <c r="U742" s="147" t="s">
        <v>819</v>
      </c>
      <c r="V742" s="11"/>
      <c r="W742" s="4"/>
      <c r="X742" s="12"/>
      <c r="Y742" s="14"/>
      <c r="Z742" s="4"/>
      <c r="AA742" s="13"/>
      <c r="AB742" s="11"/>
      <c r="AC742" s="4"/>
      <c r="AD742" s="12"/>
      <c r="AE742" s="13"/>
      <c r="AF742" s="14">
        <v>5.0195999999999996</v>
      </c>
      <c r="AG742" s="133"/>
      <c r="AI742" s="84"/>
      <c r="AL742" s="64">
        <v>4.1720114500000003</v>
      </c>
      <c r="AM742" s="56">
        <v>15.13999999999989</v>
      </c>
      <c r="AN742" s="56">
        <v>17.140000000000018</v>
      </c>
      <c r="AO742" s="62">
        <v>23.339999999999961</v>
      </c>
      <c r="AQ742" s="64">
        <v>4.082005783333333</v>
      </c>
      <c r="AR742" s="56">
        <v>14.63999999999999</v>
      </c>
      <c r="AS742" s="56">
        <v>16.14000000000004</v>
      </c>
      <c r="AT742" s="62">
        <v>20.379999999999932</v>
      </c>
      <c r="AV742" s="64">
        <v>3.7290215</v>
      </c>
      <c r="AW742" s="56">
        <v>14.21999999999999</v>
      </c>
      <c r="AX742" s="56">
        <v>15.71999999999996</v>
      </c>
      <c r="AY742" s="62">
        <v>20.599999999999952</v>
      </c>
      <c r="BA742" s="64">
        <v>3.1850769333333342</v>
      </c>
      <c r="BB742" s="56">
        <v>16.98000000000004</v>
      </c>
      <c r="BC742" s="56">
        <v>19.559999999999981</v>
      </c>
      <c r="BD742" s="62">
        <v>31.799999999999962</v>
      </c>
      <c r="BF742" s="64">
        <v>2.93451</v>
      </c>
      <c r="BG742" s="56">
        <v>20.840000000000011</v>
      </c>
      <c r="BH742" s="56">
        <v>27.740000000000009</v>
      </c>
      <c r="BI742" s="62">
        <v>57.019999999999982</v>
      </c>
      <c r="BJ742" s="70"/>
      <c r="BK742" s="51"/>
    </row>
    <row r="743" spans="1:63" x14ac:dyDescent="0.4">
      <c r="A743" s="11" t="s">
        <v>820</v>
      </c>
      <c r="B743" s="4"/>
      <c r="C743" s="4"/>
      <c r="D743" s="4"/>
      <c r="E743" s="12"/>
      <c r="G743" s="147" t="s">
        <v>820</v>
      </c>
      <c r="H743" s="159">
        <v>69.959999999999994</v>
      </c>
      <c r="I743" s="153">
        <v>70.3</v>
      </c>
      <c r="J743" s="153">
        <v>70.27</v>
      </c>
      <c r="K743" s="153">
        <v>70.28</v>
      </c>
      <c r="L743" s="153">
        <v>70.400000000000006</v>
      </c>
      <c r="M743" s="80">
        <f t="shared" si="22"/>
        <v>70.400000000000006</v>
      </c>
      <c r="N743" s="80">
        <f t="shared" si="23"/>
        <v>70.27</v>
      </c>
      <c r="O743" s="153">
        <v>21.17</v>
      </c>
      <c r="P743" s="153">
        <v>21.07</v>
      </c>
      <c r="Q743" s="153">
        <v>21.12</v>
      </c>
      <c r="R743" s="153">
        <v>21.08</v>
      </c>
      <c r="S743" s="4"/>
      <c r="U743" s="147" t="s">
        <v>820</v>
      </c>
      <c r="V743" s="11"/>
      <c r="W743" s="4"/>
      <c r="X743" s="12"/>
      <c r="Y743" s="14"/>
      <c r="Z743" s="4"/>
      <c r="AA743" s="13"/>
      <c r="AB743" s="11"/>
      <c r="AC743" s="4"/>
      <c r="AD743" s="12"/>
      <c r="AE743" s="13"/>
      <c r="AF743" s="14">
        <v>5.0163000000000002</v>
      </c>
      <c r="AG743" s="133"/>
      <c r="AI743" s="84"/>
      <c r="AL743" s="64">
        <v>4.1728346500000004</v>
      </c>
      <c r="AM743" s="56">
        <v>14.03999999999996</v>
      </c>
      <c r="AN743" s="56">
        <v>15.939999999999969</v>
      </c>
      <c r="AO743" s="62">
        <v>22.100000000000009</v>
      </c>
      <c r="AQ743" s="64">
        <v>4.0808726999999996</v>
      </c>
      <c r="AR743" s="56">
        <v>13.439999999999941</v>
      </c>
      <c r="AS743" s="56">
        <v>14.799999999999971</v>
      </c>
      <c r="AT743" s="62">
        <v>18.77999999999993</v>
      </c>
      <c r="AV743" s="64">
        <v>3.7267030833333332</v>
      </c>
      <c r="AW743" s="56">
        <v>13.019999999999939</v>
      </c>
      <c r="AX743" s="56">
        <v>14.400000000000009</v>
      </c>
      <c r="AY743" s="62">
        <v>19.019999999999989</v>
      </c>
      <c r="BA743" s="64">
        <v>3.1870383166666669</v>
      </c>
      <c r="BB743" s="56">
        <v>15.74</v>
      </c>
      <c r="BC743" s="56">
        <v>18.15999999999995</v>
      </c>
      <c r="BD743" s="62">
        <v>29.84</v>
      </c>
      <c r="BF743" s="64">
        <v>2.9284270000000001</v>
      </c>
      <c r="BG743" s="56">
        <v>19.439999999999991</v>
      </c>
      <c r="BH743" s="56">
        <v>26.52000000000001</v>
      </c>
      <c r="BI743" s="62">
        <v>56.080000000000041</v>
      </c>
      <c r="BJ743" s="70"/>
      <c r="BK743" s="51"/>
    </row>
    <row r="744" spans="1:63" x14ac:dyDescent="0.4">
      <c r="A744" s="11" t="s">
        <v>821</v>
      </c>
      <c r="B744" s="4"/>
      <c r="C744" s="4"/>
      <c r="D744" s="4"/>
      <c r="E744" s="12"/>
      <c r="G744" s="147" t="s">
        <v>821</v>
      </c>
      <c r="H744" s="159">
        <v>69.938999999999993</v>
      </c>
      <c r="I744" s="153">
        <v>70.31</v>
      </c>
      <c r="J744" s="153">
        <v>70.37</v>
      </c>
      <c r="K744" s="153">
        <v>70.349999999999994</v>
      </c>
      <c r="L744" s="153">
        <v>70.319999999999993</v>
      </c>
      <c r="M744" s="80">
        <f t="shared" si="22"/>
        <v>70.37</v>
      </c>
      <c r="N744" s="80">
        <f t="shared" si="23"/>
        <v>70.31</v>
      </c>
      <c r="O744" s="153">
        <v>21.09</v>
      </c>
      <c r="P744" s="153">
        <v>21.15</v>
      </c>
      <c r="Q744" s="153">
        <v>21.13</v>
      </c>
      <c r="R744" s="153">
        <v>21.12</v>
      </c>
      <c r="S744" s="4"/>
      <c r="U744" s="147" t="s">
        <v>821</v>
      </c>
      <c r="V744" s="11"/>
      <c r="W744" s="4"/>
      <c r="X744" s="12"/>
      <c r="Y744" s="14"/>
      <c r="Z744" s="4"/>
      <c r="AA744" s="13"/>
      <c r="AB744" s="11"/>
      <c r="AC744" s="4"/>
      <c r="AD744" s="12"/>
      <c r="AE744" s="13"/>
      <c r="AF744" s="14">
        <v>5.0072000000000001</v>
      </c>
      <c r="AG744" s="133"/>
      <c r="AI744" s="84"/>
      <c r="AL744" s="64">
        <v>4.1726066833333331</v>
      </c>
      <c r="AM744" s="56">
        <v>14.280000000000109</v>
      </c>
      <c r="AN744" s="56">
        <v>16.17999999999995</v>
      </c>
      <c r="AO744" s="62">
        <v>22.339999999999979</v>
      </c>
      <c r="AQ744" s="64">
        <v>4.0809710333333342</v>
      </c>
      <c r="AR744" s="56">
        <v>13.66000000000014</v>
      </c>
      <c r="AS744" s="56">
        <v>15.04000000000012</v>
      </c>
      <c r="AT744" s="62">
        <v>19.06000000000008</v>
      </c>
      <c r="AV744" s="64">
        <v>3.7273492500000009</v>
      </c>
      <c r="AW744" s="56">
        <v>13.27999999999996</v>
      </c>
      <c r="AX744" s="56">
        <v>14.67999999999998</v>
      </c>
      <c r="AY744" s="62">
        <v>19.36</v>
      </c>
      <c r="BA744" s="64">
        <v>3.185692383333333</v>
      </c>
      <c r="BB744" s="56">
        <v>15.940000000000071</v>
      </c>
      <c r="BC744" s="56">
        <v>18.360000000000021</v>
      </c>
      <c r="BD744" s="62">
        <v>30.140000000000011</v>
      </c>
      <c r="BF744" s="64">
        <v>2.9280727500000001</v>
      </c>
      <c r="BG744" s="56">
        <v>19.739999999999998</v>
      </c>
      <c r="BH744" s="56">
        <v>26.53999999999996</v>
      </c>
      <c r="BI744" s="62">
        <v>55.859999999999928</v>
      </c>
      <c r="BJ744" s="70"/>
      <c r="BK744" s="51"/>
    </row>
    <row r="745" spans="1:63" x14ac:dyDescent="0.4">
      <c r="A745" s="11" t="s">
        <v>822</v>
      </c>
      <c r="B745" s="4"/>
      <c r="C745" s="4"/>
      <c r="D745" s="4"/>
      <c r="E745" s="12"/>
      <c r="G745" s="147" t="s">
        <v>822</v>
      </c>
      <c r="H745" s="159">
        <v>69.936999999999998</v>
      </c>
      <c r="I745" s="153">
        <v>70.3</v>
      </c>
      <c r="J745" s="153">
        <v>70.290000000000006</v>
      </c>
      <c r="K745" s="153">
        <v>70.349999999999994</v>
      </c>
      <c r="L745" s="153">
        <v>70.37</v>
      </c>
      <c r="M745" s="80">
        <f t="shared" si="22"/>
        <v>70.37</v>
      </c>
      <c r="N745" s="80">
        <f t="shared" si="23"/>
        <v>70.290000000000006</v>
      </c>
      <c r="O745" s="153">
        <v>21.21</v>
      </c>
      <c r="P745" s="153">
        <v>21.04</v>
      </c>
      <c r="Q745" s="153">
        <v>21.13</v>
      </c>
      <c r="R745" s="153">
        <v>21.06</v>
      </c>
      <c r="S745" s="4"/>
      <c r="U745" s="147" t="s">
        <v>822</v>
      </c>
      <c r="V745" s="11"/>
      <c r="W745" s="4"/>
      <c r="X745" s="12"/>
      <c r="Y745" s="14"/>
      <c r="Z745" s="4"/>
      <c r="AA745" s="13"/>
      <c r="AB745" s="11"/>
      <c r="AC745" s="4"/>
      <c r="AD745" s="12"/>
      <c r="AE745" s="13"/>
      <c r="AF745" s="14">
        <v>4.9892000000000003</v>
      </c>
      <c r="AG745" s="133"/>
      <c r="AI745" s="84"/>
      <c r="AL745" s="64">
        <v>4.1723105</v>
      </c>
      <c r="AM745" s="56">
        <v>14.76000000000006</v>
      </c>
      <c r="AN745" s="56">
        <v>16.699999999999982</v>
      </c>
      <c r="AO745" s="62">
        <v>22.879999999999971</v>
      </c>
      <c r="AQ745" s="64">
        <v>4.0812808999999994</v>
      </c>
      <c r="AR745" s="56">
        <v>14.32000000000002</v>
      </c>
      <c r="AS745" s="56">
        <v>15.759999999999859</v>
      </c>
      <c r="AT745" s="62">
        <v>19.879999999999939</v>
      </c>
      <c r="AV745" s="64">
        <v>3.7279320666666669</v>
      </c>
      <c r="AW745" s="56">
        <v>13.980000000000009</v>
      </c>
      <c r="AX745" s="56">
        <v>15.460000000000029</v>
      </c>
      <c r="AY745" s="62">
        <v>20.26000000000003</v>
      </c>
      <c r="BA745" s="64">
        <v>3.1853723</v>
      </c>
      <c r="BB745" s="56">
        <v>16.400000000000059</v>
      </c>
      <c r="BC745" s="56">
        <v>18.86000000000001</v>
      </c>
      <c r="BD745" s="62">
        <v>30.76000000000008</v>
      </c>
      <c r="BF745" s="64">
        <v>2.9265922999999998</v>
      </c>
      <c r="BG745" s="56">
        <v>20.239999999999991</v>
      </c>
      <c r="BH745" s="56">
        <v>27.06</v>
      </c>
      <c r="BI745" s="62">
        <v>56.559999999999988</v>
      </c>
      <c r="BJ745" s="70"/>
      <c r="BK745" s="51"/>
    </row>
    <row r="746" spans="1:63" x14ac:dyDescent="0.4">
      <c r="A746" s="11" t="s">
        <v>823</v>
      </c>
      <c r="B746" s="4"/>
      <c r="C746" s="4"/>
      <c r="D746" s="4"/>
      <c r="E746" s="12"/>
      <c r="G746" s="147" t="s">
        <v>823</v>
      </c>
      <c r="H746" s="159">
        <v>70.091999999999999</v>
      </c>
      <c r="I746" s="153">
        <v>70.349999999999994</v>
      </c>
      <c r="J746" s="153">
        <v>70.34</v>
      </c>
      <c r="K746" s="153">
        <v>70.28</v>
      </c>
      <c r="L746" s="153">
        <v>70.400000000000006</v>
      </c>
      <c r="M746" s="80">
        <f t="shared" si="22"/>
        <v>70.400000000000006</v>
      </c>
      <c r="N746" s="80">
        <f t="shared" si="23"/>
        <v>70.28</v>
      </c>
      <c r="O746" s="153">
        <v>21.17</v>
      </c>
      <c r="P746" s="153">
        <v>21.1</v>
      </c>
      <c r="Q746" s="153">
        <v>21.13</v>
      </c>
      <c r="R746" s="153">
        <v>21.12</v>
      </c>
      <c r="S746" s="4"/>
      <c r="U746" s="147" t="s">
        <v>823</v>
      </c>
      <c r="V746" s="11"/>
      <c r="W746" s="4"/>
      <c r="X746" s="12"/>
      <c r="Y746" s="14"/>
      <c r="Z746" s="4"/>
      <c r="AA746" s="13"/>
      <c r="AB746" s="11"/>
      <c r="AC746" s="4"/>
      <c r="AD746" s="12"/>
      <c r="AE746" s="13"/>
      <c r="AF746" s="14">
        <v>4.9901</v>
      </c>
      <c r="AG746" s="133"/>
      <c r="AI746" s="84"/>
      <c r="AL746" s="64">
        <v>4.1724216166666661</v>
      </c>
      <c r="AM746" s="56">
        <v>14.25999999999998</v>
      </c>
      <c r="AN746" s="56">
        <v>16.17999999999995</v>
      </c>
      <c r="AO746" s="62">
        <v>22.279999999999941</v>
      </c>
      <c r="AQ746" s="64">
        <v>4.0813075333333328</v>
      </c>
      <c r="AR746" s="56">
        <v>13.69999999999987</v>
      </c>
      <c r="AS746" s="56">
        <v>15.09999999999998</v>
      </c>
      <c r="AT746" s="62">
        <v>19.139999999999979</v>
      </c>
      <c r="AV746" s="64">
        <v>3.726714733333333</v>
      </c>
      <c r="AW746" s="56">
        <v>13.319999999999951</v>
      </c>
      <c r="AX746" s="56">
        <v>14.719999999999979</v>
      </c>
      <c r="AY746" s="62">
        <v>19.399999999999999</v>
      </c>
      <c r="BA746" s="64">
        <v>3.1821890499999999</v>
      </c>
      <c r="BB746" s="56">
        <v>16.239999999999991</v>
      </c>
      <c r="BC746" s="56">
        <v>18.74000000000002</v>
      </c>
      <c r="BD746" s="62">
        <v>30.879999999999971</v>
      </c>
      <c r="BF746" s="64">
        <v>2.945921283333333</v>
      </c>
      <c r="BG746" s="56">
        <v>19.739999999999998</v>
      </c>
      <c r="BH746" s="56">
        <v>26.560000000000009</v>
      </c>
      <c r="BI746" s="62">
        <v>54.579999999999977</v>
      </c>
      <c r="BJ746" s="70"/>
      <c r="BK746" s="51"/>
    </row>
    <row r="747" spans="1:63" x14ac:dyDescent="0.4">
      <c r="A747" s="11" t="s">
        <v>824</v>
      </c>
      <c r="B747" s="4"/>
      <c r="C747" s="4"/>
      <c r="D747" s="4"/>
      <c r="E747" s="12"/>
      <c r="G747" s="147" t="s">
        <v>824</v>
      </c>
      <c r="H747" s="159">
        <v>69.977999999999994</v>
      </c>
      <c r="I747" s="153">
        <v>70.37</v>
      </c>
      <c r="J747" s="153">
        <v>70.31</v>
      </c>
      <c r="K747" s="153">
        <v>70.400000000000006</v>
      </c>
      <c r="L747" s="153">
        <v>70.349999999999994</v>
      </c>
      <c r="M747" s="80">
        <f t="shared" si="22"/>
        <v>70.400000000000006</v>
      </c>
      <c r="N747" s="80">
        <f t="shared" si="23"/>
        <v>70.31</v>
      </c>
      <c r="O747" s="153">
        <v>21.19</v>
      </c>
      <c r="P747" s="153">
        <v>21.1</v>
      </c>
      <c r="Q747" s="153">
        <v>21.14</v>
      </c>
      <c r="R747" s="153">
        <v>21.06</v>
      </c>
      <c r="S747" s="4"/>
      <c r="U747" s="147" t="s">
        <v>824</v>
      </c>
      <c r="V747" s="11"/>
      <c r="W747" s="4"/>
      <c r="X747" s="12"/>
      <c r="Y747" s="14"/>
      <c r="Z747" s="4"/>
      <c r="AA747" s="13"/>
      <c r="AB747" s="11"/>
      <c r="AC747" s="4"/>
      <c r="AD747" s="12"/>
      <c r="AE747" s="13"/>
      <c r="AF747" s="14">
        <v>4.9958999999999998</v>
      </c>
      <c r="AG747" s="133"/>
      <c r="AI747" s="84"/>
      <c r="AL747" s="64">
        <v>4.1720563499999992</v>
      </c>
      <c r="AM747" s="56">
        <v>14.56</v>
      </c>
      <c r="AN747" s="56">
        <v>16.54</v>
      </c>
      <c r="AO747" s="62">
        <v>22.480000000000011</v>
      </c>
      <c r="AQ747" s="64">
        <v>4.0816885999999988</v>
      </c>
      <c r="AR747" s="56">
        <v>14.33999999999997</v>
      </c>
      <c r="AS747" s="56">
        <v>15.819999999999901</v>
      </c>
      <c r="AT747" s="62">
        <v>20.05999999999997</v>
      </c>
      <c r="AV747" s="64">
        <v>3.7291111166666662</v>
      </c>
      <c r="AW747" s="56">
        <v>13.839999999999989</v>
      </c>
      <c r="AX747" s="56">
        <v>15.32</v>
      </c>
      <c r="AY747" s="62">
        <v>20.16</v>
      </c>
      <c r="BA747" s="64">
        <v>3.185637933333334</v>
      </c>
      <c r="BB747" s="56">
        <v>16.54</v>
      </c>
      <c r="BC747" s="56">
        <v>19.059999999999992</v>
      </c>
      <c r="BD747" s="62">
        <v>31.13999999999999</v>
      </c>
      <c r="BF747" s="64">
        <v>2.93766265</v>
      </c>
      <c r="BG747" s="56">
        <v>20.27999999999999</v>
      </c>
      <c r="BH747" s="56">
        <v>27.06</v>
      </c>
      <c r="BI747" s="62">
        <v>55.980000000000011</v>
      </c>
      <c r="BJ747" s="70"/>
      <c r="BK747" s="51"/>
    </row>
    <row r="748" spans="1:63" x14ac:dyDescent="0.4">
      <c r="A748" s="11" t="s">
        <v>825</v>
      </c>
      <c r="B748" s="4"/>
      <c r="C748" s="4"/>
      <c r="D748" s="4"/>
      <c r="E748" s="12"/>
      <c r="G748" s="147" t="s">
        <v>825</v>
      </c>
      <c r="H748" s="159">
        <v>70.037999999999997</v>
      </c>
      <c r="I748" s="153">
        <v>70.349999999999994</v>
      </c>
      <c r="J748" s="153">
        <v>70.37</v>
      </c>
      <c r="K748" s="153">
        <v>70.38</v>
      </c>
      <c r="L748" s="153">
        <v>70.36</v>
      </c>
      <c r="M748" s="80">
        <f t="shared" si="22"/>
        <v>70.38</v>
      </c>
      <c r="N748" s="80">
        <f t="shared" si="23"/>
        <v>70.349999999999994</v>
      </c>
      <c r="O748" s="153">
        <v>21.16</v>
      </c>
      <c r="P748" s="153">
        <v>21.1</v>
      </c>
      <c r="Q748" s="153">
        <v>21.11</v>
      </c>
      <c r="R748" s="153">
        <v>21.03</v>
      </c>
      <c r="S748" s="4"/>
      <c r="U748" s="147" t="s">
        <v>825</v>
      </c>
      <c r="V748" s="11"/>
      <c r="W748" s="4"/>
      <c r="X748" s="12"/>
      <c r="Y748" s="14"/>
      <c r="Z748" s="4"/>
      <c r="AA748" s="13"/>
      <c r="AB748" s="11"/>
      <c r="AC748" s="4"/>
      <c r="AD748" s="12"/>
      <c r="AE748" s="13"/>
      <c r="AF748" s="14">
        <v>4.9924999999999997</v>
      </c>
      <c r="AG748" s="133"/>
      <c r="AI748" s="84"/>
      <c r="AL748" s="64">
        <v>4.1726493833333338</v>
      </c>
      <c r="AM748" s="56">
        <v>14.179999999999991</v>
      </c>
      <c r="AN748" s="56">
        <v>16.12000000000009</v>
      </c>
      <c r="AO748" s="62">
        <v>22.240000000000041</v>
      </c>
      <c r="AQ748" s="64">
        <v>4.0830632333333332</v>
      </c>
      <c r="AR748" s="56">
        <v>13.81999999999994</v>
      </c>
      <c r="AS748" s="56">
        <v>15.199999999999919</v>
      </c>
      <c r="AT748" s="62">
        <v>19.32</v>
      </c>
      <c r="AV748" s="64">
        <v>3.7291203999999998</v>
      </c>
      <c r="AW748" s="56">
        <v>13.45999999999998</v>
      </c>
      <c r="AX748" s="56">
        <v>14.880000000000051</v>
      </c>
      <c r="AY748" s="62">
        <v>19.599999999999969</v>
      </c>
      <c r="BA748" s="64">
        <v>3.185780750000001</v>
      </c>
      <c r="BB748" s="56">
        <v>15.940000000000071</v>
      </c>
      <c r="BC748" s="56">
        <v>18.420000000000059</v>
      </c>
      <c r="BD748" s="62">
        <v>30.420000000000069</v>
      </c>
      <c r="BF748" s="64">
        <v>2.9448395500000002</v>
      </c>
      <c r="BG748" s="56">
        <v>19.49999999999994</v>
      </c>
      <c r="BH748" s="56">
        <v>26.29999999999999</v>
      </c>
      <c r="BI748" s="62">
        <v>54.519999999999953</v>
      </c>
      <c r="BJ748" s="70"/>
      <c r="BK748" s="51"/>
    </row>
    <row r="749" spans="1:63" x14ac:dyDescent="0.4">
      <c r="A749" s="11" t="s">
        <v>826</v>
      </c>
      <c r="B749" s="4"/>
      <c r="C749" s="4"/>
      <c r="D749" s="4"/>
      <c r="E749" s="12"/>
      <c r="G749" s="147" t="s">
        <v>826</v>
      </c>
      <c r="H749" s="159">
        <v>70.025000000000006</v>
      </c>
      <c r="I749" s="153">
        <v>70.290000000000006</v>
      </c>
      <c r="J749" s="153">
        <v>70.31</v>
      </c>
      <c r="K749" s="153">
        <v>70.39</v>
      </c>
      <c r="L749" s="153">
        <v>70.3</v>
      </c>
      <c r="M749" s="80">
        <f t="shared" si="22"/>
        <v>70.39</v>
      </c>
      <c r="N749" s="80">
        <f t="shared" si="23"/>
        <v>70.290000000000006</v>
      </c>
      <c r="O749" s="153">
        <v>21.2</v>
      </c>
      <c r="P749" s="153">
        <v>21.08</v>
      </c>
      <c r="Q749" s="153">
        <v>21.14</v>
      </c>
      <c r="R749" s="153">
        <v>20.99</v>
      </c>
      <c r="S749" s="4"/>
      <c r="U749" s="147" t="s">
        <v>826</v>
      </c>
      <c r="V749" s="11"/>
      <c r="W749" s="4"/>
      <c r="X749" s="12"/>
      <c r="Y749" s="14"/>
      <c r="Z749" s="4"/>
      <c r="AA749" s="13"/>
      <c r="AB749" s="11"/>
      <c r="AC749" s="4"/>
      <c r="AD749" s="12"/>
      <c r="AE749" s="13"/>
      <c r="AF749" s="14">
        <v>5.0220000000000002</v>
      </c>
      <c r="AG749" s="133"/>
      <c r="AI749" s="84"/>
      <c r="AL749" s="64">
        <v>4.1720321666666669</v>
      </c>
      <c r="AM749" s="56">
        <v>13.959999999999971</v>
      </c>
      <c r="AN749" s="56">
        <v>15.87999999999994</v>
      </c>
      <c r="AO749" s="62">
        <v>21.899999999999942</v>
      </c>
      <c r="AQ749" s="64">
        <v>4.0822782999999996</v>
      </c>
      <c r="AR749" s="56">
        <v>13.49999999999998</v>
      </c>
      <c r="AS749" s="56">
        <v>14.920000000000041</v>
      </c>
      <c r="AT749" s="62">
        <v>18.919999999999959</v>
      </c>
      <c r="AV749" s="64">
        <v>3.728937666666666</v>
      </c>
      <c r="AW749" s="56">
        <v>13.079999999999981</v>
      </c>
      <c r="AX749" s="56">
        <v>14.48</v>
      </c>
      <c r="AY749" s="62">
        <v>19.120000000000029</v>
      </c>
      <c r="BA749" s="64">
        <v>3.183175916666666</v>
      </c>
      <c r="BB749" s="56">
        <v>15.81999999999999</v>
      </c>
      <c r="BC749" s="56">
        <v>18.24000000000003</v>
      </c>
      <c r="BD749" s="62">
        <v>30.19999999999996</v>
      </c>
      <c r="BF749" s="64">
        <v>2.9377048333333331</v>
      </c>
      <c r="BG749" s="56">
        <v>19.399999999999999</v>
      </c>
      <c r="BH749" s="56">
        <v>26.31999999999994</v>
      </c>
      <c r="BI749" s="62">
        <v>55.140000000000008</v>
      </c>
      <c r="BJ749" s="70"/>
      <c r="BK749" s="51"/>
    </row>
    <row r="750" spans="1:63" x14ac:dyDescent="0.4">
      <c r="A750" s="11" t="s">
        <v>827</v>
      </c>
      <c r="B750" s="4"/>
      <c r="C750" s="4"/>
      <c r="D750" s="4"/>
      <c r="E750" s="12"/>
      <c r="G750" s="147" t="s">
        <v>827</v>
      </c>
      <c r="H750" s="159">
        <v>69.867000000000004</v>
      </c>
      <c r="I750" s="153">
        <v>70.319999999999993</v>
      </c>
      <c r="J750" s="153">
        <v>70.33</v>
      </c>
      <c r="K750" s="153">
        <v>70.33</v>
      </c>
      <c r="L750" s="153">
        <v>70.349999999999994</v>
      </c>
      <c r="M750" s="80">
        <f t="shared" si="22"/>
        <v>70.349999999999994</v>
      </c>
      <c r="N750" s="80">
        <f t="shared" si="23"/>
        <v>70.319999999999993</v>
      </c>
      <c r="O750" s="153">
        <v>21.19</v>
      </c>
      <c r="P750" s="153">
        <v>21.06</v>
      </c>
      <c r="Q750" s="153">
        <v>21.1</v>
      </c>
      <c r="R750" s="153">
        <v>21.02</v>
      </c>
      <c r="S750" s="4"/>
      <c r="U750" s="147" t="s">
        <v>827</v>
      </c>
      <c r="V750" s="11"/>
      <c r="W750" s="4"/>
      <c r="X750" s="12"/>
      <c r="Y750" s="14"/>
      <c r="Z750" s="4"/>
      <c r="AA750" s="13"/>
      <c r="AB750" s="11"/>
      <c r="AC750" s="4"/>
      <c r="AD750" s="12"/>
      <c r="AE750" s="13"/>
      <c r="AF750" s="14">
        <v>5.0044000000000004</v>
      </c>
      <c r="AG750" s="133"/>
      <c r="AI750" s="84"/>
      <c r="AL750" s="64">
        <v>4.172641566666667</v>
      </c>
      <c r="AM750" s="56">
        <v>13.840000000000069</v>
      </c>
      <c r="AN750" s="56">
        <v>15.71999999999996</v>
      </c>
      <c r="AO750" s="62">
        <v>21.899999999999942</v>
      </c>
      <c r="AQ750" s="64">
        <v>4.0818931333333328</v>
      </c>
      <c r="AR750" s="56">
        <v>13.419999999999989</v>
      </c>
      <c r="AS750" s="56">
        <v>14.8200000000001</v>
      </c>
      <c r="AT750" s="62">
        <v>18.800000000000061</v>
      </c>
      <c r="AV750" s="64">
        <v>3.728440533333333</v>
      </c>
      <c r="AW750" s="56">
        <v>13.03999999999998</v>
      </c>
      <c r="AX750" s="56">
        <v>14.44000000000001</v>
      </c>
      <c r="AY750" s="62">
        <v>19.079999999999941</v>
      </c>
      <c r="BA750" s="64">
        <v>3.1902850833333329</v>
      </c>
      <c r="BB750" s="56">
        <v>15.560000000000059</v>
      </c>
      <c r="BC750" s="56">
        <v>17.91999999999998</v>
      </c>
      <c r="BD750" s="62">
        <v>29.560000000000031</v>
      </c>
      <c r="BF750" s="64">
        <v>2.9328959166666668</v>
      </c>
      <c r="BG750" s="56">
        <v>19.139999999999979</v>
      </c>
      <c r="BH750" s="56">
        <v>25.879999999999988</v>
      </c>
      <c r="BI750" s="62">
        <v>54.84</v>
      </c>
      <c r="BJ750" s="70"/>
      <c r="BK750" s="51"/>
    </row>
    <row r="751" spans="1:63" x14ac:dyDescent="0.4">
      <c r="A751" s="11" t="s">
        <v>828</v>
      </c>
      <c r="B751" s="4"/>
      <c r="C751" s="4"/>
      <c r="D751" s="4"/>
      <c r="E751" s="12"/>
      <c r="G751" s="147" t="s">
        <v>828</v>
      </c>
      <c r="H751" s="159">
        <v>70.034000000000006</v>
      </c>
      <c r="I751" s="153">
        <v>70.39</v>
      </c>
      <c r="J751" s="153">
        <v>70.3</v>
      </c>
      <c r="K751" s="153">
        <v>70.290000000000006</v>
      </c>
      <c r="L751" s="153">
        <v>70.3</v>
      </c>
      <c r="M751" s="80">
        <f t="shared" si="22"/>
        <v>70.39</v>
      </c>
      <c r="N751" s="80">
        <f t="shared" si="23"/>
        <v>70.290000000000006</v>
      </c>
      <c r="O751" s="153">
        <v>21.18</v>
      </c>
      <c r="P751" s="153">
        <v>21.14</v>
      </c>
      <c r="Q751" s="153">
        <v>21.13</v>
      </c>
      <c r="R751" s="153">
        <v>21.04</v>
      </c>
      <c r="S751" s="4"/>
      <c r="U751" s="147" t="s">
        <v>828</v>
      </c>
      <c r="V751" s="11"/>
      <c r="W751" s="4"/>
      <c r="X751" s="12"/>
      <c r="Y751" s="14"/>
      <c r="Z751" s="4"/>
      <c r="AA751" s="13"/>
      <c r="AB751" s="11"/>
      <c r="AC751" s="4"/>
      <c r="AD751" s="12"/>
      <c r="AE751" s="13"/>
      <c r="AF751" s="14">
        <v>5.0006000000000004</v>
      </c>
      <c r="AG751" s="133"/>
      <c r="AI751" s="84"/>
      <c r="AL751" s="64">
        <v>4.1716623166666666</v>
      </c>
      <c r="AM751" s="56">
        <v>14.519999999999911</v>
      </c>
      <c r="AN751" s="56">
        <v>16.460000000000012</v>
      </c>
      <c r="AO751" s="62">
        <v>22.65999999999995</v>
      </c>
      <c r="AQ751" s="64">
        <v>4.0818036166666669</v>
      </c>
      <c r="AR751" s="56">
        <v>14.220000000000081</v>
      </c>
      <c r="AS751" s="56">
        <v>15.62000000000001</v>
      </c>
      <c r="AT751" s="62">
        <v>19.720000000000049</v>
      </c>
      <c r="AV751" s="64">
        <v>3.7272225666666658</v>
      </c>
      <c r="AW751" s="56">
        <v>13.79999999999999</v>
      </c>
      <c r="AX751" s="56">
        <v>15.220000000000059</v>
      </c>
      <c r="AY751" s="62">
        <v>20.000000000000021</v>
      </c>
      <c r="BA751" s="64">
        <v>3.184908099999999</v>
      </c>
      <c r="BB751" s="56">
        <v>16.439999999999969</v>
      </c>
      <c r="BC751" s="56">
        <v>18.89999999999992</v>
      </c>
      <c r="BD751" s="62">
        <v>30.899999999999931</v>
      </c>
      <c r="BF751" s="64">
        <v>2.9308819833333328</v>
      </c>
      <c r="BG751" s="56">
        <v>20.2</v>
      </c>
      <c r="BH751" s="56">
        <v>27.179999999999978</v>
      </c>
      <c r="BI751" s="62">
        <v>56.620000000000033</v>
      </c>
      <c r="BJ751" s="70"/>
      <c r="BK751" s="51"/>
    </row>
    <row r="752" spans="1:63" x14ac:dyDescent="0.4">
      <c r="A752" s="11" t="s">
        <v>829</v>
      </c>
      <c r="B752" s="4"/>
      <c r="C752" s="4"/>
      <c r="D752" s="4"/>
      <c r="E752" s="12"/>
      <c r="G752" s="147" t="s">
        <v>829</v>
      </c>
      <c r="H752" s="159">
        <v>70.088999999999999</v>
      </c>
      <c r="I752" s="153">
        <v>70.39</v>
      </c>
      <c r="J752" s="153">
        <v>70.349999999999994</v>
      </c>
      <c r="K752" s="153">
        <v>70.31</v>
      </c>
      <c r="L752" s="153">
        <v>70.38</v>
      </c>
      <c r="M752" s="80">
        <f t="shared" si="22"/>
        <v>70.39</v>
      </c>
      <c r="N752" s="80">
        <f t="shared" si="23"/>
        <v>70.31</v>
      </c>
      <c r="O752" s="153">
        <v>21.16</v>
      </c>
      <c r="P752" s="153">
        <v>21.07</v>
      </c>
      <c r="Q752" s="153">
        <v>21.13</v>
      </c>
      <c r="R752" s="153">
        <v>21.1</v>
      </c>
      <c r="S752" s="4"/>
      <c r="U752" s="147" t="s">
        <v>829</v>
      </c>
      <c r="V752" s="11"/>
      <c r="W752" s="4"/>
      <c r="X752" s="12"/>
      <c r="Y752" s="14"/>
      <c r="Z752" s="4"/>
      <c r="AA752" s="13"/>
      <c r="AB752" s="11"/>
      <c r="AC752" s="4"/>
      <c r="AD752" s="12"/>
      <c r="AE752" s="13"/>
      <c r="AF752" s="14">
        <v>5.0011000000000001</v>
      </c>
      <c r="AG752" s="133"/>
      <c r="AI752" s="84"/>
      <c r="AL752" s="64">
        <v>4.1723505333333328</v>
      </c>
      <c r="AM752" s="56">
        <v>13.679999999999909</v>
      </c>
      <c r="AN752" s="56">
        <v>15.62000000000001</v>
      </c>
      <c r="AO752" s="62">
        <v>21.72000000000001</v>
      </c>
      <c r="AQ752" s="64">
        <v>4.0834309999999991</v>
      </c>
      <c r="AR752" s="56">
        <v>13.679999999999909</v>
      </c>
      <c r="AS752" s="56">
        <v>15.08000000000003</v>
      </c>
      <c r="AT752" s="62">
        <v>19.120000000000029</v>
      </c>
      <c r="AV752" s="64">
        <v>3.7296754000000001</v>
      </c>
      <c r="AW752" s="56">
        <v>13.34</v>
      </c>
      <c r="AX752" s="56">
        <v>14.77999999999993</v>
      </c>
      <c r="AY752" s="62">
        <v>19.47999999999999</v>
      </c>
      <c r="BA752" s="64">
        <v>3.1860842833333329</v>
      </c>
      <c r="BB752" s="56">
        <v>16.02000000000006</v>
      </c>
      <c r="BC752" s="56">
        <v>18.440000000000008</v>
      </c>
      <c r="BD752" s="62">
        <v>30.320000000000039</v>
      </c>
      <c r="BF752" s="64">
        <v>2.9322020166666669</v>
      </c>
      <c r="BG752" s="56">
        <v>19.61999999999993</v>
      </c>
      <c r="BH752" s="56">
        <v>26.339999999999989</v>
      </c>
      <c r="BI752" s="62">
        <v>55.140000000000008</v>
      </c>
      <c r="BJ752" s="70"/>
      <c r="BK752" s="51"/>
    </row>
    <row r="753" spans="1:63" x14ac:dyDescent="0.4">
      <c r="A753" s="11" t="s">
        <v>830</v>
      </c>
      <c r="B753" s="4"/>
      <c r="C753" s="4"/>
      <c r="D753" s="4"/>
      <c r="E753" s="12"/>
      <c r="G753" s="147" t="s">
        <v>830</v>
      </c>
      <c r="H753" s="159">
        <v>69.91</v>
      </c>
      <c r="I753" s="153">
        <v>70.38</v>
      </c>
      <c r="J753" s="153">
        <v>70.38</v>
      </c>
      <c r="K753" s="153">
        <v>70.39</v>
      </c>
      <c r="L753" s="153">
        <v>70.3</v>
      </c>
      <c r="M753" s="80">
        <f t="shared" si="22"/>
        <v>70.39</v>
      </c>
      <c r="N753" s="80">
        <f t="shared" si="23"/>
        <v>70.3</v>
      </c>
      <c r="O753" s="153">
        <v>21.19</v>
      </c>
      <c r="P753" s="153">
        <v>21.02</v>
      </c>
      <c r="Q753" s="153">
        <v>21.11</v>
      </c>
      <c r="R753" s="153">
        <v>21.09</v>
      </c>
      <c r="S753" s="4"/>
      <c r="U753" s="147" t="s">
        <v>830</v>
      </c>
      <c r="V753" s="11"/>
      <c r="W753" s="4"/>
      <c r="X753" s="12"/>
      <c r="Y753" s="14"/>
      <c r="Z753" s="4"/>
      <c r="AA753" s="13"/>
      <c r="AB753" s="11"/>
      <c r="AC753" s="4"/>
      <c r="AD753" s="12"/>
      <c r="AE753" s="13"/>
      <c r="AF753" s="14">
        <v>5.0114000000000001</v>
      </c>
      <c r="AG753" s="133"/>
      <c r="AI753" s="84"/>
      <c r="AL753" s="64">
        <v>4.1720237166666667</v>
      </c>
      <c r="AM753" s="56">
        <v>14.13999999999991</v>
      </c>
      <c r="AN753" s="56">
        <v>16.059999999999871</v>
      </c>
      <c r="AO753" s="62">
        <v>22.159999999999869</v>
      </c>
      <c r="AQ753" s="64">
        <v>4.0824950666666648</v>
      </c>
      <c r="AR753" s="56">
        <v>13.899999999999929</v>
      </c>
      <c r="AS753" s="56">
        <v>15.299999999999869</v>
      </c>
      <c r="AT753" s="62">
        <v>19.339999999999961</v>
      </c>
      <c r="AV753" s="64">
        <v>3.7285131833333329</v>
      </c>
      <c r="AW753" s="56">
        <v>13.58000000000006</v>
      </c>
      <c r="AX753" s="56">
        <v>15.019999999999991</v>
      </c>
      <c r="AY753" s="62">
        <v>19.78</v>
      </c>
      <c r="BA753" s="64">
        <v>3.1848067333333341</v>
      </c>
      <c r="BB753" s="56">
        <v>16.239999999999991</v>
      </c>
      <c r="BC753" s="56">
        <v>18.679999999999989</v>
      </c>
      <c r="BD753" s="62">
        <v>30.560000000000009</v>
      </c>
      <c r="BF753" s="64">
        <v>2.92832165</v>
      </c>
      <c r="BG753" s="56">
        <v>19.979999999999979</v>
      </c>
      <c r="BH753" s="56">
        <v>26.660000000000039</v>
      </c>
      <c r="BI753" s="62">
        <v>55.64</v>
      </c>
      <c r="BJ753" s="70"/>
      <c r="BK753" s="51"/>
    </row>
    <row r="754" spans="1:63" x14ac:dyDescent="0.4">
      <c r="A754" s="11" t="s">
        <v>831</v>
      </c>
      <c r="B754" s="4"/>
      <c r="C754" s="4"/>
      <c r="D754" s="4"/>
      <c r="E754" s="12"/>
      <c r="G754" s="147" t="s">
        <v>831</v>
      </c>
      <c r="H754" s="159">
        <v>69.930999999999997</v>
      </c>
      <c r="I754" s="153">
        <v>70.37</v>
      </c>
      <c r="J754" s="153">
        <v>70.33</v>
      </c>
      <c r="K754" s="153">
        <v>70.38</v>
      </c>
      <c r="L754" s="153">
        <v>70.36</v>
      </c>
      <c r="M754" s="80">
        <f t="shared" si="22"/>
        <v>70.38</v>
      </c>
      <c r="N754" s="80">
        <f t="shared" si="23"/>
        <v>70.33</v>
      </c>
      <c r="O754" s="153">
        <v>21.2</v>
      </c>
      <c r="P754" s="153">
        <v>21.08</v>
      </c>
      <c r="Q754" s="153">
        <v>21.12</v>
      </c>
      <c r="R754" s="153">
        <v>21.09</v>
      </c>
      <c r="S754" s="4"/>
      <c r="U754" s="147" t="s">
        <v>831</v>
      </c>
      <c r="V754" s="11"/>
      <c r="W754" s="4"/>
      <c r="X754" s="12"/>
      <c r="Y754" s="14"/>
      <c r="Z754" s="4"/>
      <c r="AA754" s="13"/>
      <c r="AB754" s="11"/>
      <c r="AC754" s="4"/>
      <c r="AD754" s="12"/>
      <c r="AE754" s="13"/>
      <c r="AF754" s="14">
        <v>5.01</v>
      </c>
      <c r="AG754" s="133"/>
      <c r="AI754" s="84"/>
      <c r="AL754" s="64">
        <v>4.1720493333333337</v>
      </c>
      <c r="AM754" s="56">
        <v>14.33999999999997</v>
      </c>
      <c r="AN754" s="56">
        <v>16.300000000000029</v>
      </c>
      <c r="AO754" s="62">
        <v>22.43999999999993</v>
      </c>
      <c r="AQ754" s="64">
        <v>4.0798889000000012</v>
      </c>
      <c r="AR754" s="56">
        <v>13.700000000000051</v>
      </c>
      <c r="AS754" s="56">
        <v>15.09999999999998</v>
      </c>
      <c r="AT754" s="62">
        <v>19.120000000000029</v>
      </c>
      <c r="AV754" s="64">
        <v>3.726515033333333</v>
      </c>
      <c r="AW754" s="56">
        <v>13.34</v>
      </c>
      <c r="AX754" s="56">
        <v>14.74000000000002</v>
      </c>
      <c r="AY754" s="62">
        <v>19.45999999999994</v>
      </c>
      <c r="BA754" s="64">
        <v>3.1850280666666659</v>
      </c>
      <c r="BB754" s="56">
        <v>16.180000000000039</v>
      </c>
      <c r="BC754" s="56">
        <v>18.63999999999999</v>
      </c>
      <c r="BD754" s="62">
        <v>30.480000000000022</v>
      </c>
      <c r="BF754" s="64">
        <v>2.9279366833333329</v>
      </c>
      <c r="BG754" s="56">
        <v>19.899999999999981</v>
      </c>
      <c r="BH754" s="56">
        <v>26.860000000000021</v>
      </c>
      <c r="BI754" s="62">
        <v>56.099999999999987</v>
      </c>
      <c r="BJ754" s="70"/>
      <c r="BK754" s="51"/>
    </row>
    <row r="755" spans="1:63" x14ac:dyDescent="0.4">
      <c r="A755" s="11" t="s">
        <v>832</v>
      </c>
      <c r="B755" s="4"/>
      <c r="C755" s="4"/>
      <c r="D755" s="4"/>
      <c r="E755" s="12"/>
      <c r="G755" s="147" t="s">
        <v>832</v>
      </c>
      <c r="H755" s="159">
        <v>69.975999999999999</v>
      </c>
      <c r="I755" s="153">
        <v>70.37</v>
      </c>
      <c r="J755" s="153">
        <v>70.36</v>
      </c>
      <c r="K755" s="153">
        <v>70.290000000000006</v>
      </c>
      <c r="L755" s="153">
        <v>70.34</v>
      </c>
      <c r="M755" s="80">
        <f t="shared" si="22"/>
        <v>70.37</v>
      </c>
      <c r="N755" s="80">
        <f t="shared" si="23"/>
        <v>70.290000000000006</v>
      </c>
      <c r="O755" s="153">
        <v>21.14</v>
      </c>
      <c r="P755" s="153">
        <v>21.17</v>
      </c>
      <c r="Q755" s="153">
        <v>21.13</v>
      </c>
      <c r="R755" s="153">
        <v>21.06</v>
      </c>
      <c r="S755" s="4"/>
      <c r="U755" s="147" t="s">
        <v>832</v>
      </c>
      <c r="V755" s="11"/>
      <c r="W755" s="4"/>
      <c r="X755" s="12"/>
      <c r="Y755" s="14"/>
      <c r="Z755" s="4"/>
      <c r="AA755" s="13"/>
      <c r="AB755" s="11"/>
      <c r="AC755" s="4"/>
      <c r="AD755" s="12"/>
      <c r="AE755" s="13"/>
      <c r="AF755" s="14">
        <v>5.0101000000000004</v>
      </c>
      <c r="AG755" s="133"/>
      <c r="AI755" s="84"/>
      <c r="AL755" s="64">
        <v>4.1717664833333332</v>
      </c>
      <c r="AM755" s="56">
        <v>14.35999999999993</v>
      </c>
      <c r="AN755" s="56">
        <v>16.319999999999979</v>
      </c>
      <c r="AO755" s="62">
        <v>22.47999999999983</v>
      </c>
      <c r="AQ755" s="64">
        <v>4.0816488833333331</v>
      </c>
      <c r="AR755" s="56">
        <v>13.959999999999971</v>
      </c>
      <c r="AS755" s="56">
        <v>15.37999999999986</v>
      </c>
      <c r="AT755" s="62">
        <v>19.479999999999901</v>
      </c>
      <c r="AV755" s="64">
        <v>3.7284500166666659</v>
      </c>
      <c r="AW755" s="56">
        <v>13.520000000000019</v>
      </c>
      <c r="AX755" s="56">
        <v>14.96000000000004</v>
      </c>
      <c r="AY755" s="62">
        <v>19.720000000000049</v>
      </c>
      <c r="BA755" s="64">
        <v>3.1859687000000001</v>
      </c>
      <c r="BB755" s="56">
        <v>15.97999999999997</v>
      </c>
      <c r="BC755" s="56">
        <v>18.440000000000008</v>
      </c>
      <c r="BD755" s="62">
        <v>30.22</v>
      </c>
      <c r="BF755" s="64">
        <v>2.926979283333333</v>
      </c>
      <c r="BG755" s="56">
        <v>19.720000000000049</v>
      </c>
      <c r="BH755" s="56">
        <v>26.580000000000052</v>
      </c>
      <c r="BI755" s="62">
        <v>56.06</v>
      </c>
      <c r="BJ755" s="70"/>
      <c r="BK755" s="51"/>
    </row>
    <row r="756" spans="1:63" x14ac:dyDescent="0.4">
      <c r="A756" s="11" t="s">
        <v>833</v>
      </c>
      <c r="B756" s="4"/>
      <c r="C756" s="4"/>
      <c r="D756" s="4"/>
      <c r="E756" s="12"/>
      <c r="G756" s="147" t="s">
        <v>833</v>
      </c>
      <c r="H756" s="159">
        <v>70.034000000000006</v>
      </c>
      <c r="I756" s="153">
        <v>70.400000000000006</v>
      </c>
      <c r="J756" s="153">
        <v>70.39</v>
      </c>
      <c r="K756" s="153">
        <v>70.28</v>
      </c>
      <c r="L756" s="153">
        <v>70.290000000000006</v>
      </c>
      <c r="M756" s="80">
        <f t="shared" si="22"/>
        <v>70.400000000000006</v>
      </c>
      <c r="N756" s="80">
        <f t="shared" si="23"/>
        <v>70.28</v>
      </c>
      <c r="O756" s="153">
        <v>21.19</v>
      </c>
      <c r="P756" s="153">
        <v>21.14</v>
      </c>
      <c r="Q756" s="153">
        <v>21.14</v>
      </c>
      <c r="R756" s="153">
        <v>21.03</v>
      </c>
      <c r="S756" s="4"/>
      <c r="U756" s="147" t="s">
        <v>833</v>
      </c>
      <c r="V756" s="11"/>
      <c r="W756" s="4"/>
      <c r="X756" s="12"/>
      <c r="Y756" s="14"/>
      <c r="Z756" s="4"/>
      <c r="AA756" s="13"/>
      <c r="AB756" s="11"/>
      <c r="AC756" s="4"/>
      <c r="AD756" s="12"/>
      <c r="AE756" s="13"/>
      <c r="AF756" s="14">
        <v>5.0000999999999998</v>
      </c>
      <c r="AG756" s="133"/>
      <c r="AI756" s="84"/>
      <c r="AL756" s="64">
        <v>4.1717504499999993</v>
      </c>
      <c r="AM756" s="56">
        <v>14.680000000000071</v>
      </c>
      <c r="AN756" s="56">
        <v>16.58000000000008</v>
      </c>
      <c r="AO756" s="62">
        <v>22.700000000000031</v>
      </c>
      <c r="AQ756" s="64">
        <v>4.0789827000000001</v>
      </c>
      <c r="AR756" s="56">
        <v>13.73999999999995</v>
      </c>
      <c r="AS756" s="56">
        <v>15.13999999999989</v>
      </c>
      <c r="AT756" s="62">
        <v>19.179999999999971</v>
      </c>
      <c r="AV756" s="64">
        <v>3.7248864166666671</v>
      </c>
      <c r="AW756" s="56">
        <v>13.44000000000003</v>
      </c>
      <c r="AX756" s="56">
        <v>14.820000000000009</v>
      </c>
      <c r="AY756" s="62">
        <v>19.519999999999978</v>
      </c>
      <c r="BA756" s="64">
        <v>3.1844167666666672</v>
      </c>
      <c r="BB756" s="56">
        <v>16.559999999999949</v>
      </c>
      <c r="BC756" s="56">
        <v>18.98</v>
      </c>
      <c r="BD756" s="62">
        <v>30.91999999999997</v>
      </c>
      <c r="BF756" s="64">
        <v>2.9400309999999998</v>
      </c>
      <c r="BG756" s="56">
        <v>20.16</v>
      </c>
      <c r="BH756" s="56">
        <v>27.219999999999981</v>
      </c>
      <c r="BI756" s="62">
        <v>55.64</v>
      </c>
      <c r="BJ756" s="70"/>
      <c r="BK756" s="51"/>
    </row>
    <row r="757" spans="1:63" x14ac:dyDescent="0.4">
      <c r="A757" s="11" t="s">
        <v>834</v>
      </c>
      <c r="B757" s="4"/>
      <c r="C757" s="4"/>
      <c r="D757" s="4"/>
      <c r="E757" s="12"/>
      <c r="G757" s="147" t="s">
        <v>834</v>
      </c>
      <c r="H757" s="159">
        <v>69.975999999999999</v>
      </c>
      <c r="I757" s="153">
        <v>70.290000000000006</v>
      </c>
      <c r="J757" s="153">
        <v>70.36</v>
      </c>
      <c r="K757" s="153">
        <v>70.38</v>
      </c>
      <c r="L757" s="153">
        <v>70.3</v>
      </c>
      <c r="M757" s="80">
        <f t="shared" si="22"/>
        <v>70.38</v>
      </c>
      <c r="N757" s="80">
        <f t="shared" si="23"/>
        <v>70.290000000000006</v>
      </c>
      <c r="O757" s="153">
        <v>21.2</v>
      </c>
      <c r="P757" s="153">
        <v>21.08</v>
      </c>
      <c r="Q757" s="153">
        <v>21.12</v>
      </c>
      <c r="R757" s="153">
        <v>21.05</v>
      </c>
      <c r="S757" s="4"/>
      <c r="U757" s="147" t="s">
        <v>834</v>
      </c>
      <c r="V757" s="11"/>
      <c r="W757" s="4"/>
      <c r="X757" s="12"/>
      <c r="Y757" s="14"/>
      <c r="Z757" s="4"/>
      <c r="AA757" s="13"/>
      <c r="AB757" s="11"/>
      <c r="AC757" s="4"/>
      <c r="AD757" s="12"/>
      <c r="AE757" s="13"/>
      <c r="AF757" s="14">
        <v>5.0003000000000002</v>
      </c>
      <c r="AG757" s="133"/>
      <c r="AI757" s="84"/>
      <c r="AL757" s="64">
        <v>4.1714912166666656</v>
      </c>
      <c r="AM757" s="56">
        <v>14.08000000000005</v>
      </c>
      <c r="AN757" s="56">
        <v>16.000000000000011</v>
      </c>
      <c r="AO757" s="62">
        <v>22.060000000000102</v>
      </c>
      <c r="AQ757" s="64">
        <v>4.0808106166666658</v>
      </c>
      <c r="AR757" s="56">
        <v>13.46000000000007</v>
      </c>
      <c r="AS757" s="56">
        <v>14.86000000000001</v>
      </c>
      <c r="AT757" s="62">
        <v>18.900000000000009</v>
      </c>
      <c r="AV757" s="64">
        <v>3.7270481833333329</v>
      </c>
      <c r="AW757" s="56">
        <v>13.079999999999981</v>
      </c>
      <c r="AX757" s="56">
        <v>14.48</v>
      </c>
      <c r="AY757" s="62">
        <v>19.159999999999929</v>
      </c>
      <c r="BA757" s="64">
        <v>3.1826632166666671</v>
      </c>
      <c r="BB757" s="56">
        <v>15.80000000000004</v>
      </c>
      <c r="BC757" s="56">
        <v>18.24000000000003</v>
      </c>
      <c r="BD757" s="62">
        <v>30.18000000000001</v>
      </c>
      <c r="BF757" s="64">
        <v>2.9361545666666671</v>
      </c>
      <c r="BG757" s="56">
        <v>19.519999999999978</v>
      </c>
      <c r="BH757" s="56">
        <v>26.52000000000001</v>
      </c>
      <c r="BI757" s="62">
        <v>55.539999999999957</v>
      </c>
      <c r="BJ757" s="70"/>
      <c r="BK757" s="51"/>
    </row>
    <row r="758" spans="1:63" x14ac:dyDescent="0.4">
      <c r="A758" s="11" t="s">
        <v>835</v>
      </c>
      <c r="B758" s="4"/>
      <c r="C758" s="4"/>
      <c r="D758" s="4"/>
      <c r="E758" s="12"/>
      <c r="G758" s="147" t="s">
        <v>835</v>
      </c>
      <c r="H758" s="159">
        <v>69.884</v>
      </c>
      <c r="I758" s="153">
        <v>70.34</v>
      </c>
      <c r="J758" s="153">
        <v>70.38</v>
      </c>
      <c r="K758" s="153">
        <v>70.37</v>
      </c>
      <c r="L758" s="153">
        <v>70.34</v>
      </c>
      <c r="M758" s="80">
        <f t="shared" si="22"/>
        <v>70.38</v>
      </c>
      <c r="N758" s="80">
        <f t="shared" si="23"/>
        <v>70.34</v>
      </c>
      <c r="O758" s="153">
        <v>21.1</v>
      </c>
      <c r="P758" s="153">
        <v>21.05</v>
      </c>
      <c r="Q758" s="153">
        <v>21.14</v>
      </c>
      <c r="R758" s="153">
        <v>21.1</v>
      </c>
      <c r="S758" s="4"/>
      <c r="U758" s="147" t="s">
        <v>835</v>
      </c>
      <c r="V758" s="11"/>
      <c r="W758" s="4"/>
      <c r="X758" s="12"/>
      <c r="Y758" s="14"/>
      <c r="Z758" s="4"/>
      <c r="AA758" s="13"/>
      <c r="AB758" s="11"/>
      <c r="AC758" s="4"/>
      <c r="AD758" s="12"/>
      <c r="AE758" s="13"/>
      <c r="AF758" s="14">
        <v>4.9939999999999998</v>
      </c>
      <c r="AG758" s="133"/>
      <c r="AI758" s="84"/>
      <c r="AL758" s="64">
        <v>4.1719767499999998</v>
      </c>
      <c r="AM758" s="56">
        <v>14.19999999999995</v>
      </c>
      <c r="AN758" s="56">
        <v>16.16</v>
      </c>
      <c r="AO758" s="62">
        <v>22.320000000000029</v>
      </c>
      <c r="AQ758" s="64">
        <v>4.0818220333333342</v>
      </c>
      <c r="AR758" s="56">
        <v>13.81999999999994</v>
      </c>
      <c r="AS758" s="56">
        <v>15.240000000000011</v>
      </c>
      <c r="AT758" s="62">
        <v>19.280000000000008</v>
      </c>
      <c r="AV758" s="64">
        <v>3.7275946499999999</v>
      </c>
      <c r="AW758" s="56">
        <v>13.480000000000031</v>
      </c>
      <c r="AX758" s="56">
        <v>14.87999999999996</v>
      </c>
      <c r="AY758" s="62">
        <v>19.58000000000002</v>
      </c>
      <c r="BA758" s="64">
        <v>3.18694305</v>
      </c>
      <c r="BB758" s="56">
        <v>16.479999999999961</v>
      </c>
      <c r="BC758" s="56">
        <v>18.98</v>
      </c>
      <c r="BD758" s="62">
        <v>31.03999999999996</v>
      </c>
      <c r="BF758" s="64">
        <v>2.9466572000000002</v>
      </c>
      <c r="BG758" s="56">
        <v>20.180000000000039</v>
      </c>
      <c r="BH758" s="56">
        <v>27.160000000000029</v>
      </c>
      <c r="BI758" s="62">
        <v>55.560000000000009</v>
      </c>
      <c r="BJ758" s="70"/>
      <c r="BK758" s="51"/>
    </row>
    <row r="759" spans="1:63" x14ac:dyDescent="0.4">
      <c r="A759" s="11" t="s">
        <v>836</v>
      </c>
      <c r="B759" s="4"/>
      <c r="C759" s="4"/>
      <c r="D759" s="4"/>
      <c r="E759" s="12"/>
      <c r="G759" s="147" t="s">
        <v>836</v>
      </c>
      <c r="H759" s="159">
        <v>69.959000000000003</v>
      </c>
      <c r="I759" s="153">
        <v>70.349999999999994</v>
      </c>
      <c r="J759" s="153">
        <v>70.34</v>
      </c>
      <c r="K759" s="153">
        <v>70.31</v>
      </c>
      <c r="L759" s="153">
        <v>70.34</v>
      </c>
      <c r="M759" s="80">
        <f t="shared" si="22"/>
        <v>70.349999999999994</v>
      </c>
      <c r="N759" s="80">
        <f t="shared" si="23"/>
        <v>70.31</v>
      </c>
      <c r="O759" s="153">
        <v>21.18</v>
      </c>
      <c r="P759" s="153">
        <v>21.15</v>
      </c>
      <c r="Q759" s="153">
        <v>21.15</v>
      </c>
      <c r="R759" s="153">
        <v>21.01</v>
      </c>
      <c r="S759" s="4"/>
      <c r="U759" s="147" t="s">
        <v>836</v>
      </c>
      <c r="V759" s="11"/>
      <c r="W759" s="4"/>
      <c r="X759" s="12"/>
      <c r="Y759" s="14"/>
      <c r="Z759" s="4"/>
      <c r="AA759" s="13"/>
      <c r="AB759" s="11"/>
      <c r="AC759" s="4"/>
      <c r="AD759" s="12"/>
      <c r="AE759" s="13"/>
      <c r="AF759" s="14">
        <v>5.0126999999999997</v>
      </c>
      <c r="AG759" s="133"/>
      <c r="AI759" s="84"/>
      <c r="AL759" s="64">
        <v>4.1717600666666668</v>
      </c>
      <c r="AM759" s="56">
        <v>14.619999999999861</v>
      </c>
      <c r="AN759" s="56">
        <v>16.519999999999872</v>
      </c>
      <c r="AO759" s="62">
        <v>22.619999999999859</v>
      </c>
      <c r="AQ759" s="64">
        <v>4.0799701333333331</v>
      </c>
      <c r="AR759" s="56">
        <v>13.78000000000004</v>
      </c>
      <c r="AS759" s="56">
        <v>15.17999999999997</v>
      </c>
      <c r="AT759" s="62">
        <v>19.240000000000009</v>
      </c>
      <c r="AV759" s="64">
        <v>3.724845816666666</v>
      </c>
      <c r="AW759" s="56">
        <v>13.399999999999951</v>
      </c>
      <c r="AX759" s="56">
        <v>14.820000000000009</v>
      </c>
      <c r="AY759" s="62">
        <v>19.519999999999978</v>
      </c>
      <c r="BA759" s="64">
        <v>3.179978216666667</v>
      </c>
      <c r="BB759" s="56">
        <v>16.420000000000009</v>
      </c>
      <c r="BC759" s="56">
        <v>18.920000000000051</v>
      </c>
      <c r="BD759" s="62">
        <v>31.080000000000041</v>
      </c>
      <c r="BF759" s="64">
        <v>2.9397176666666671</v>
      </c>
      <c r="BG759" s="56">
        <v>20.060000000000059</v>
      </c>
      <c r="BH759" s="56">
        <v>27.160000000000029</v>
      </c>
      <c r="BI759" s="62">
        <v>55.78000000000003</v>
      </c>
      <c r="BJ759" s="70"/>
      <c r="BK759" s="51"/>
    </row>
    <row r="760" spans="1:63" x14ac:dyDescent="0.4">
      <c r="A760" s="11" t="s">
        <v>837</v>
      </c>
      <c r="B760" s="4"/>
      <c r="C760" s="4"/>
      <c r="D760" s="4"/>
      <c r="E760" s="12"/>
      <c r="G760" s="147" t="s">
        <v>837</v>
      </c>
      <c r="H760" s="159">
        <v>70.055999999999997</v>
      </c>
      <c r="I760" s="153">
        <v>70.36</v>
      </c>
      <c r="J760" s="153">
        <v>70.38</v>
      </c>
      <c r="K760" s="153">
        <v>70.349999999999994</v>
      </c>
      <c r="L760" s="153">
        <v>70.37</v>
      </c>
      <c r="M760" s="80">
        <f t="shared" si="22"/>
        <v>70.38</v>
      </c>
      <c r="N760" s="80">
        <f t="shared" si="23"/>
        <v>70.349999999999994</v>
      </c>
      <c r="O760" s="153">
        <v>21.18</v>
      </c>
      <c r="P760" s="153">
        <v>21.13</v>
      </c>
      <c r="Q760" s="153">
        <v>21.16</v>
      </c>
      <c r="R760" s="153">
        <v>21.03</v>
      </c>
      <c r="S760" s="4"/>
      <c r="U760" s="147" t="s">
        <v>837</v>
      </c>
      <c r="V760" s="11"/>
      <c r="W760" s="4"/>
      <c r="X760" s="12"/>
      <c r="Y760" s="14"/>
      <c r="Z760" s="4"/>
      <c r="AA760" s="13"/>
      <c r="AB760" s="11"/>
      <c r="AC760" s="4"/>
      <c r="AD760" s="12"/>
      <c r="AE760" s="35"/>
      <c r="AF760" s="14">
        <v>5.0002000000000004</v>
      </c>
      <c r="AG760" s="133"/>
      <c r="AI760" s="84"/>
      <c r="AL760" s="64">
        <v>4.1716640833333329</v>
      </c>
      <c r="AM760" s="56">
        <v>13.940000000000021</v>
      </c>
      <c r="AN760" s="56">
        <v>15.819999999999901</v>
      </c>
      <c r="AO760" s="62">
        <v>21.95999999999998</v>
      </c>
      <c r="AQ760" s="64">
        <v>4.082657216666667</v>
      </c>
      <c r="AR760" s="56">
        <v>13.620000000000051</v>
      </c>
      <c r="AS760" s="56">
        <v>15.019999999999991</v>
      </c>
      <c r="AT760" s="62">
        <v>19.059999999999992</v>
      </c>
      <c r="AV760" s="64">
        <v>3.7284657499999989</v>
      </c>
      <c r="AW760" s="56">
        <v>13.26000000000001</v>
      </c>
      <c r="AX760" s="56">
        <v>14.66000000000003</v>
      </c>
      <c r="AY760" s="62">
        <v>19.380000000000042</v>
      </c>
      <c r="BA760" s="64">
        <v>3.188947483333334</v>
      </c>
      <c r="BB760" s="56">
        <v>15.81999999999999</v>
      </c>
      <c r="BC760" s="56">
        <v>18.259999999999991</v>
      </c>
      <c r="BD760" s="62">
        <v>30.020000000000021</v>
      </c>
      <c r="BF760" s="64">
        <v>2.9368905333333331</v>
      </c>
      <c r="BG760" s="56">
        <v>19.380000000000042</v>
      </c>
      <c r="BH760" s="56">
        <v>26.020000000000021</v>
      </c>
      <c r="BI760" s="62">
        <v>54.48000000000004</v>
      </c>
      <c r="BJ760" s="70"/>
      <c r="BK760" s="51"/>
    </row>
    <row r="761" spans="1:63" x14ac:dyDescent="0.4">
      <c r="A761" s="11" t="s">
        <v>838</v>
      </c>
      <c r="B761" s="4"/>
      <c r="C761" s="4"/>
      <c r="D761" s="4"/>
      <c r="E761" s="12"/>
      <c r="G761" s="147" t="s">
        <v>838</v>
      </c>
      <c r="H761" s="159">
        <v>69.905000000000001</v>
      </c>
      <c r="I761" s="153">
        <v>70.290000000000006</v>
      </c>
      <c r="J761" s="153">
        <v>70.33</v>
      </c>
      <c r="K761" s="153">
        <v>70.27</v>
      </c>
      <c r="L761" s="153">
        <v>70.3</v>
      </c>
      <c r="M761" s="80">
        <f t="shared" si="22"/>
        <v>70.33</v>
      </c>
      <c r="N761" s="80">
        <f t="shared" si="23"/>
        <v>70.27</v>
      </c>
      <c r="O761" s="153">
        <v>21.18</v>
      </c>
      <c r="P761" s="153">
        <v>21.1</v>
      </c>
      <c r="Q761" s="153">
        <v>21.12</v>
      </c>
      <c r="R761" s="153">
        <v>21.1</v>
      </c>
      <c r="S761" s="4"/>
      <c r="U761" s="147" t="s">
        <v>838</v>
      </c>
      <c r="V761" s="11"/>
      <c r="W761" s="4"/>
      <c r="X761" s="12"/>
      <c r="Y761" s="14"/>
      <c r="Z761" s="4"/>
      <c r="AA761" s="13"/>
      <c r="AB761" s="11"/>
      <c r="AC761" s="4"/>
      <c r="AD761" s="12"/>
      <c r="AE761" s="13"/>
      <c r="AF761" s="14">
        <v>5.0110000000000001</v>
      </c>
      <c r="AG761" s="133"/>
      <c r="AI761" s="84"/>
      <c r="AL761" s="64">
        <v>4.1719224500000003</v>
      </c>
      <c r="AM761" s="56">
        <v>14.059999999999921</v>
      </c>
      <c r="AN761" s="56">
        <v>16.000000000000011</v>
      </c>
      <c r="AO761" s="62">
        <v>22.119999999999958</v>
      </c>
      <c r="AQ761" s="64">
        <v>4.0831333833333341</v>
      </c>
      <c r="AR761" s="56">
        <v>13.979999999999929</v>
      </c>
      <c r="AS761" s="56">
        <v>15.41999999999994</v>
      </c>
      <c r="AT761" s="62">
        <v>19.500000000000028</v>
      </c>
      <c r="AV761" s="64">
        <v>3.7292041</v>
      </c>
      <c r="AW761" s="56">
        <v>13.77999999999995</v>
      </c>
      <c r="AX761" s="56">
        <v>15.21999999999997</v>
      </c>
      <c r="AY761" s="62">
        <v>19.999999999999929</v>
      </c>
      <c r="BA761" s="64">
        <v>3.1842716499999999</v>
      </c>
      <c r="BB761" s="56">
        <v>16.38000000000002</v>
      </c>
      <c r="BC761" s="56">
        <v>18.839999999999971</v>
      </c>
      <c r="BD761" s="62">
        <v>30.81999999999994</v>
      </c>
      <c r="BF761" s="64">
        <v>2.9303505666666672</v>
      </c>
      <c r="BG761" s="56">
        <v>20.05999999999997</v>
      </c>
      <c r="BH761" s="56">
        <v>26.859999999999928</v>
      </c>
      <c r="BI761" s="62">
        <v>55.940000000000012</v>
      </c>
      <c r="BJ761" s="70"/>
      <c r="BK761" s="51"/>
    </row>
    <row r="762" spans="1:63" x14ac:dyDescent="0.4">
      <c r="A762" s="11" t="s">
        <v>839</v>
      </c>
      <c r="B762" s="4"/>
      <c r="C762" s="4"/>
      <c r="D762" s="4"/>
      <c r="E762" s="12"/>
      <c r="G762" s="147" t="s">
        <v>839</v>
      </c>
      <c r="H762" s="159">
        <v>70.099999999999994</v>
      </c>
      <c r="I762" s="153">
        <v>70.36</v>
      </c>
      <c r="J762" s="153">
        <v>70.400000000000006</v>
      </c>
      <c r="K762" s="153">
        <v>70.28</v>
      </c>
      <c r="L762" s="153">
        <v>70.319999999999993</v>
      </c>
      <c r="M762" s="80">
        <f t="shared" si="22"/>
        <v>70.400000000000006</v>
      </c>
      <c r="N762" s="80">
        <f t="shared" si="23"/>
        <v>70.28</v>
      </c>
      <c r="O762" s="153">
        <v>21.16</v>
      </c>
      <c r="P762" s="153">
        <v>21.04</v>
      </c>
      <c r="Q762" s="153">
        <v>21.14</v>
      </c>
      <c r="R762" s="153">
        <v>21.07</v>
      </c>
      <c r="S762" s="4"/>
      <c r="U762" s="147" t="s">
        <v>839</v>
      </c>
      <c r="V762" s="11"/>
      <c r="W762" s="4"/>
      <c r="X762" s="12"/>
      <c r="Y762" s="14"/>
      <c r="Z762" s="4"/>
      <c r="AA762" s="13"/>
      <c r="AB762" s="11"/>
      <c r="AC762" s="4"/>
      <c r="AD762" s="12"/>
      <c r="AE762" s="13"/>
      <c r="AF762" s="14">
        <v>5.0194999999999999</v>
      </c>
      <c r="AG762" s="133"/>
      <c r="AI762" s="84"/>
      <c r="AL762" s="64">
        <v>4.1713579000000003</v>
      </c>
      <c r="AM762" s="56">
        <v>14.119999999999949</v>
      </c>
      <c r="AN762" s="56">
        <v>16.019999999999971</v>
      </c>
      <c r="AO762" s="62">
        <v>22.159999999999869</v>
      </c>
      <c r="AQ762" s="64">
        <v>4.0819763833333331</v>
      </c>
      <c r="AR762" s="56">
        <v>13.69999999999987</v>
      </c>
      <c r="AS762" s="56">
        <v>15.09999999999998</v>
      </c>
      <c r="AT762" s="62">
        <v>19.13999999999989</v>
      </c>
      <c r="AV762" s="64">
        <v>3.7276671000000001</v>
      </c>
      <c r="AW762" s="56">
        <v>13.34</v>
      </c>
      <c r="AX762" s="56">
        <v>14.77999999999993</v>
      </c>
      <c r="AY762" s="62">
        <v>19.519999999999978</v>
      </c>
      <c r="BA762" s="64">
        <v>3.185704433333334</v>
      </c>
      <c r="BB762" s="56">
        <v>16.199999999999989</v>
      </c>
      <c r="BC762" s="56">
        <v>18.660000000000029</v>
      </c>
      <c r="BD762" s="62">
        <v>30.6</v>
      </c>
      <c r="BF762" s="64">
        <v>2.9347186166666659</v>
      </c>
      <c r="BG762" s="56">
        <v>19.859999999999989</v>
      </c>
      <c r="BH762" s="56">
        <v>26.839999999999971</v>
      </c>
      <c r="BI762" s="62">
        <v>55.919999999999973</v>
      </c>
      <c r="BJ762" s="70"/>
      <c r="BK762" s="51"/>
    </row>
    <row r="763" spans="1:63" x14ac:dyDescent="0.4">
      <c r="A763" s="11" t="s">
        <v>840</v>
      </c>
      <c r="B763" s="4"/>
      <c r="C763" s="4"/>
      <c r="D763" s="4"/>
      <c r="E763" s="12"/>
      <c r="G763" s="147" t="s">
        <v>840</v>
      </c>
      <c r="H763" s="159">
        <v>70.031000000000006</v>
      </c>
      <c r="I763" s="153">
        <v>70.37</v>
      </c>
      <c r="J763" s="153">
        <v>70.3</v>
      </c>
      <c r="K763" s="153">
        <v>70.34</v>
      </c>
      <c r="L763" s="153">
        <v>70.37</v>
      </c>
      <c r="M763" s="80">
        <f t="shared" si="22"/>
        <v>70.37</v>
      </c>
      <c r="N763" s="80">
        <f t="shared" si="23"/>
        <v>70.3</v>
      </c>
      <c r="O763" s="153">
        <v>21.14</v>
      </c>
      <c r="P763" s="153">
        <v>20.99</v>
      </c>
      <c r="Q763" s="153">
        <v>21.14</v>
      </c>
      <c r="R763" s="153">
        <v>21.1</v>
      </c>
      <c r="S763" s="4"/>
      <c r="U763" s="147" t="s">
        <v>840</v>
      </c>
      <c r="V763" s="11"/>
      <c r="W763" s="4"/>
      <c r="X763" s="12"/>
      <c r="Y763" s="14"/>
      <c r="Z763" s="4"/>
      <c r="AA763" s="13"/>
      <c r="AB763" s="11"/>
      <c r="AC763" s="4"/>
      <c r="AD763" s="12"/>
      <c r="AE763" s="13"/>
      <c r="AF763" s="14">
        <v>5.0227000000000004</v>
      </c>
      <c r="AG763" s="133"/>
      <c r="AI763" s="84"/>
      <c r="AL763" s="64">
        <v>4.1718869333333339</v>
      </c>
      <c r="AM763" s="56">
        <v>13.920000000000069</v>
      </c>
      <c r="AN763" s="56">
        <v>15.82000000000008</v>
      </c>
      <c r="AO763" s="62">
        <v>21.879999999999988</v>
      </c>
      <c r="AQ763" s="64">
        <v>4.0819384333333328</v>
      </c>
      <c r="AR763" s="56">
        <v>13.459999999999891</v>
      </c>
      <c r="AS763" s="56">
        <v>14.84000000000005</v>
      </c>
      <c r="AT763" s="62">
        <v>18.86000000000001</v>
      </c>
      <c r="AV763" s="64">
        <v>3.7275920500000002</v>
      </c>
      <c r="AW763" s="56">
        <v>13.060000000000031</v>
      </c>
      <c r="AX763" s="56">
        <v>14.45999999999996</v>
      </c>
      <c r="AY763" s="62">
        <v>19.120000000000029</v>
      </c>
      <c r="BA763" s="64">
        <v>3.1812288</v>
      </c>
      <c r="BB763" s="56">
        <v>15.560000000000059</v>
      </c>
      <c r="BC763" s="56">
        <v>17.980000000000022</v>
      </c>
      <c r="BD763" s="62">
        <v>29.860000000000039</v>
      </c>
      <c r="BF763" s="64">
        <v>2.93145655</v>
      </c>
      <c r="BG763" s="56">
        <v>19.039999999999949</v>
      </c>
      <c r="BH763" s="56">
        <v>25.72000000000001</v>
      </c>
      <c r="BI763" s="62">
        <v>54.459999999999987</v>
      </c>
      <c r="BJ763" s="70"/>
      <c r="BK763" s="51"/>
    </row>
    <row r="764" spans="1:63" x14ac:dyDescent="0.4">
      <c r="A764" s="11" t="s">
        <v>841</v>
      </c>
      <c r="B764" s="4"/>
      <c r="C764" s="4"/>
      <c r="D764" s="4"/>
      <c r="E764" s="12"/>
      <c r="G764" s="147" t="s">
        <v>841</v>
      </c>
      <c r="H764" s="159">
        <v>69.903999999999996</v>
      </c>
      <c r="I764" s="153">
        <v>70.349999999999994</v>
      </c>
      <c r="J764" s="153">
        <v>70.290000000000006</v>
      </c>
      <c r="K764" s="153">
        <v>70.319999999999993</v>
      </c>
      <c r="L764" s="153">
        <v>70.37</v>
      </c>
      <c r="M764" s="80">
        <f t="shared" si="22"/>
        <v>70.37</v>
      </c>
      <c r="N764" s="80">
        <f t="shared" si="23"/>
        <v>70.290000000000006</v>
      </c>
      <c r="O764" s="153">
        <v>21.11</v>
      </c>
      <c r="P764" s="153">
        <v>21.08</v>
      </c>
      <c r="Q764" s="153">
        <v>21.09</v>
      </c>
      <c r="R764" s="153">
        <v>21.06</v>
      </c>
      <c r="S764" s="4"/>
      <c r="U764" s="147" t="s">
        <v>841</v>
      </c>
      <c r="V764" s="11"/>
      <c r="W764" s="4"/>
      <c r="X764" s="12"/>
      <c r="Y764" s="14"/>
      <c r="Z764" s="4"/>
      <c r="AA764" s="13"/>
      <c r="AB764" s="11"/>
      <c r="AC764" s="4"/>
      <c r="AD764" s="12"/>
      <c r="AE764" s="13"/>
      <c r="AF764" s="14">
        <v>5.032</v>
      </c>
      <c r="AG764" s="133"/>
      <c r="AI764" s="84"/>
      <c r="AL764" s="64">
        <v>4.1714940833333332</v>
      </c>
      <c r="AM764" s="56">
        <v>14.00000000000006</v>
      </c>
      <c r="AN764" s="56">
        <v>15.920000000000019</v>
      </c>
      <c r="AO764" s="62">
        <v>22.020000000000021</v>
      </c>
      <c r="AQ764" s="64">
        <v>4.0829911499999989</v>
      </c>
      <c r="AR764" s="56">
        <v>13.72</v>
      </c>
      <c r="AS764" s="56">
        <v>15.140000000000059</v>
      </c>
      <c r="AT764" s="62">
        <v>19.220000000000059</v>
      </c>
      <c r="AV764" s="64">
        <v>3.7293563166666659</v>
      </c>
      <c r="AW764" s="56">
        <v>13.400000000000031</v>
      </c>
      <c r="AX764" s="56">
        <v>14.780000000000021</v>
      </c>
      <c r="AY764" s="62">
        <v>19.519999999999978</v>
      </c>
      <c r="BA764" s="64">
        <v>3.1862111166666671</v>
      </c>
      <c r="BB764" s="56">
        <v>16.100000000000051</v>
      </c>
      <c r="BC764" s="56">
        <v>18.540000000000049</v>
      </c>
      <c r="BD764" s="62">
        <v>30.50000000000006</v>
      </c>
      <c r="BF764" s="64">
        <v>2.9359816666666672</v>
      </c>
      <c r="BG764" s="56">
        <v>19.799999999999951</v>
      </c>
      <c r="BH764" s="56">
        <v>26.65999999999995</v>
      </c>
      <c r="BI764" s="62">
        <v>55.539999999999957</v>
      </c>
      <c r="BJ764" s="69"/>
      <c r="BK764" s="51"/>
    </row>
    <row r="765" spans="1:63" x14ac:dyDescent="0.4">
      <c r="A765" s="11" t="s">
        <v>842</v>
      </c>
      <c r="B765" s="4"/>
      <c r="C765" s="4"/>
      <c r="D765" s="4"/>
      <c r="E765" s="12"/>
      <c r="G765" s="147" t="s">
        <v>842</v>
      </c>
      <c r="H765" s="159">
        <v>69.966999999999999</v>
      </c>
      <c r="I765" s="153">
        <v>70.34</v>
      </c>
      <c r="J765" s="153">
        <v>70.27</v>
      </c>
      <c r="K765" s="153">
        <v>70.37</v>
      </c>
      <c r="L765" s="153">
        <v>70.27</v>
      </c>
      <c r="M765" s="80">
        <f t="shared" si="22"/>
        <v>70.37</v>
      </c>
      <c r="N765" s="80">
        <f t="shared" si="23"/>
        <v>70.27</v>
      </c>
      <c r="O765" s="153">
        <v>21.17</v>
      </c>
      <c r="P765" s="153">
        <v>21.08</v>
      </c>
      <c r="Q765" s="153">
        <v>21.15</v>
      </c>
      <c r="R765" s="153">
        <v>21.11</v>
      </c>
      <c r="S765" s="4"/>
      <c r="U765" s="147" t="s">
        <v>842</v>
      </c>
      <c r="V765" s="11"/>
      <c r="W765" s="4"/>
      <c r="X765" s="12"/>
      <c r="Y765" s="14"/>
      <c r="Z765" s="4"/>
      <c r="AA765" s="13"/>
      <c r="AB765" s="11"/>
      <c r="AC765" s="4"/>
      <c r="AD765" s="12"/>
      <c r="AE765" s="13"/>
      <c r="AF765" s="14">
        <v>5.0202999999999998</v>
      </c>
      <c r="AG765" s="133"/>
      <c r="AI765" s="84"/>
      <c r="AL765" s="64">
        <v>4.1718282166666656</v>
      </c>
      <c r="AM765" s="56">
        <v>14.179999999999991</v>
      </c>
      <c r="AN765" s="56">
        <v>16.080000000000009</v>
      </c>
      <c r="AO765" s="62">
        <v>22.200000000000131</v>
      </c>
      <c r="AQ765" s="64">
        <v>4.0809631666666677</v>
      </c>
      <c r="AR765" s="56">
        <v>13.52000000000011</v>
      </c>
      <c r="AS765" s="56">
        <v>14.920000000000041</v>
      </c>
      <c r="AT765" s="62">
        <v>18.96000000000004</v>
      </c>
      <c r="AV765" s="64">
        <v>3.7267112</v>
      </c>
      <c r="AW765" s="56">
        <v>13.09999999999993</v>
      </c>
      <c r="AX765" s="56">
        <v>14.499999999999959</v>
      </c>
      <c r="AY765" s="62">
        <v>19.200000000000021</v>
      </c>
      <c r="BA765" s="64">
        <v>3.1830495666666661</v>
      </c>
      <c r="BB765" s="56">
        <v>15.55999999999997</v>
      </c>
      <c r="BC765" s="56">
        <v>17.999999999999972</v>
      </c>
      <c r="BD765" s="62">
        <v>29.799999999999919</v>
      </c>
      <c r="BF765" s="64">
        <v>2.9243399000000001</v>
      </c>
      <c r="BG765" s="56">
        <v>19.119999999999941</v>
      </c>
      <c r="BH765" s="56">
        <v>26.159999999999961</v>
      </c>
      <c r="BI765" s="62">
        <v>55.940000000000012</v>
      </c>
      <c r="BJ765" s="70"/>
      <c r="BK765" s="51"/>
    </row>
    <row r="766" spans="1:63" x14ac:dyDescent="0.4">
      <c r="A766" s="11" t="s">
        <v>843</v>
      </c>
      <c r="B766" s="4"/>
      <c r="C766" s="4"/>
      <c r="D766" s="4"/>
      <c r="E766" s="12"/>
      <c r="G766" s="147" t="s">
        <v>843</v>
      </c>
      <c r="H766" s="159">
        <v>70.087000000000003</v>
      </c>
      <c r="I766" s="153">
        <v>70.37</v>
      </c>
      <c r="J766" s="153">
        <v>70.3</v>
      </c>
      <c r="K766" s="153">
        <v>70.39</v>
      </c>
      <c r="L766" s="153">
        <v>70.319999999999993</v>
      </c>
      <c r="M766" s="80">
        <f t="shared" si="22"/>
        <v>70.39</v>
      </c>
      <c r="N766" s="80">
        <f t="shared" si="23"/>
        <v>70.3</v>
      </c>
      <c r="O766" s="153">
        <v>21.1</v>
      </c>
      <c r="P766" s="153">
        <v>21.13</v>
      </c>
      <c r="Q766" s="153">
        <v>21.11</v>
      </c>
      <c r="R766" s="153">
        <v>21.08</v>
      </c>
      <c r="S766" s="4"/>
      <c r="U766" s="147" t="s">
        <v>843</v>
      </c>
      <c r="V766" s="11"/>
      <c r="W766" s="4"/>
      <c r="X766" s="12"/>
      <c r="Y766" s="14"/>
      <c r="Z766" s="4"/>
      <c r="AA766" s="13"/>
      <c r="AB766" s="11"/>
      <c r="AC766" s="4"/>
      <c r="AD766" s="12"/>
      <c r="AE766" s="13"/>
      <c r="AF766" s="14">
        <v>5.0156000000000001</v>
      </c>
      <c r="AG766" s="133"/>
      <c r="AI766" s="84"/>
      <c r="AL766" s="64">
        <v>4.171356966666667</v>
      </c>
      <c r="AM766" s="56">
        <v>14.220000000000081</v>
      </c>
      <c r="AN766" s="56">
        <v>16.14000000000004</v>
      </c>
      <c r="AO766" s="62">
        <v>22.280000000000118</v>
      </c>
      <c r="AQ766" s="64">
        <v>4.0807690333333326</v>
      </c>
      <c r="AR766" s="56">
        <v>13.659999999999959</v>
      </c>
      <c r="AS766" s="56">
        <v>15.039999999999941</v>
      </c>
      <c r="AT766" s="62">
        <v>19.09999999999998</v>
      </c>
      <c r="AV766" s="64">
        <v>3.7263079166666668</v>
      </c>
      <c r="AW766" s="56">
        <v>13.26000000000001</v>
      </c>
      <c r="AX766" s="56">
        <v>14.66000000000003</v>
      </c>
      <c r="AY766" s="62">
        <v>19.36</v>
      </c>
      <c r="BA766" s="64">
        <v>3.1834463166666671</v>
      </c>
      <c r="BB766" s="56">
        <v>15.90000000000007</v>
      </c>
      <c r="BC766" s="56">
        <v>18.360000000000021</v>
      </c>
      <c r="BD766" s="62">
        <v>30.38000000000007</v>
      </c>
      <c r="BF766" s="64">
        <v>2.9484132166666659</v>
      </c>
      <c r="BG766" s="56">
        <v>19.460000000000029</v>
      </c>
      <c r="BH766" s="56">
        <v>26.28000000000004</v>
      </c>
      <c r="BI766" s="62">
        <v>54.260000000000019</v>
      </c>
      <c r="BJ766" s="70"/>
      <c r="BK766" s="51"/>
    </row>
    <row r="767" spans="1:63" x14ac:dyDescent="0.4">
      <c r="A767" s="11" t="s">
        <v>844</v>
      </c>
      <c r="B767" s="4"/>
      <c r="C767" s="4"/>
      <c r="D767" s="4"/>
      <c r="E767" s="12"/>
      <c r="G767" s="147" t="s">
        <v>844</v>
      </c>
      <c r="H767" s="159">
        <v>70.046999999999997</v>
      </c>
      <c r="I767" s="153">
        <v>70.31</v>
      </c>
      <c r="J767" s="153">
        <v>70.290000000000006</v>
      </c>
      <c r="K767" s="153">
        <v>70.31</v>
      </c>
      <c r="L767" s="153">
        <v>70.38</v>
      </c>
      <c r="M767" s="80">
        <f t="shared" si="22"/>
        <v>70.38</v>
      </c>
      <c r="N767" s="80">
        <f t="shared" si="23"/>
        <v>70.290000000000006</v>
      </c>
      <c r="O767" s="153">
        <v>21.17</v>
      </c>
      <c r="P767" s="153">
        <v>21.15</v>
      </c>
      <c r="Q767" s="153">
        <v>21.11</v>
      </c>
      <c r="R767" s="153">
        <v>21.05</v>
      </c>
      <c r="S767" s="4"/>
      <c r="U767" s="147" t="s">
        <v>844</v>
      </c>
      <c r="V767" s="11"/>
      <c r="W767" s="4"/>
      <c r="X767" s="12"/>
      <c r="Y767" s="14"/>
      <c r="Z767" s="4"/>
      <c r="AA767" s="13"/>
      <c r="AB767" s="11"/>
      <c r="AC767" s="4"/>
      <c r="AD767" s="12"/>
      <c r="AE767" s="13"/>
      <c r="AF767" s="14">
        <v>5.0079000000000002</v>
      </c>
      <c r="AG767" s="133"/>
      <c r="AI767" s="84"/>
      <c r="AL767" s="64">
        <v>4.1715832166666669</v>
      </c>
      <c r="AM767" s="56">
        <v>14.13999999999991</v>
      </c>
      <c r="AN767" s="56">
        <v>16.080000000000009</v>
      </c>
      <c r="AO767" s="62">
        <v>22.18</v>
      </c>
      <c r="AQ767" s="64">
        <v>4.0815850666666673</v>
      </c>
      <c r="AR767" s="56">
        <v>13.59999999999992</v>
      </c>
      <c r="AS767" s="56">
        <v>15.039999999999941</v>
      </c>
      <c r="AT767" s="62">
        <v>19.079999999999941</v>
      </c>
      <c r="AV767" s="64">
        <v>3.7284251333333329</v>
      </c>
      <c r="AW767" s="56">
        <v>13.27999999999996</v>
      </c>
      <c r="AX767" s="56">
        <v>14.67999999999998</v>
      </c>
      <c r="AY767" s="62">
        <v>19.399999999999999</v>
      </c>
      <c r="BA767" s="64">
        <v>3.1834491333333341</v>
      </c>
      <c r="BB767" s="56">
        <v>15.799999999999949</v>
      </c>
      <c r="BC767" s="56">
        <v>18.259999999999991</v>
      </c>
      <c r="BD767" s="62">
        <v>30.19999999999996</v>
      </c>
      <c r="BF767" s="64">
        <v>2.9335383833333339</v>
      </c>
      <c r="BG767" s="56">
        <v>19.420000000000041</v>
      </c>
      <c r="BH767" s="56">
        <v>26.06000000000002</v>
      </c>
      <c r="BI767" s="62">
        <v>54.82000000000005</v>
      </c>
      <c r="BJ767" s="70"/>
      <c r="BK767" s="51"/>
    </row>
    <row r="768" spans="1:63" x14ac:dyDescent="0.4">
      <c r="A768" s="11" t="s">
        <v>845</v>
      </c>
      <c r="B768" s="4"/>
      <c r="C768" s="4"/>
      <c r="D768" s="4"/>
      <c r="E768" s="12"/>
      <c r="G768" s="147" t="s">
        <v>845</v>
      </c>
      <c r="H768" s="159">
        <v>69.941000000000003</v>
      </c>
      <c r="I768" s="153">
        <v>70.400000000000006</v>
      </c>
      <c r="J768" s="153">
        <v>70.319999999999993</v>
      </c>
      <c r="K768" s="153">
        <v>70.33</v>
      </c>
      <c r="L768" s="153">
        <v>70.36</v>
      </c>
      <c r="M768" s="80">
        <f t="shared" si="22"/>
        <v>70.400000000000006</v>
      </c>
      <c r="N768" s="80">
        <f t="shared" si="23"/>
        <v>70.319999999999993</v>
      </c>
      <c r="O768" s="153">
        <v>21.2</v>
      </c>
      <c r="P768" s="153">
        <v>21.05</v>
      </c>
      <c r="Q768" s="153">
        <v>21.11</v>
      </c>
      <c r="R768" s="153">
        <v>21.07</v>
      </c>
      <c r="S768" s="4"/>
      <c r="U768" s="147" t="s">
        <v>845</v>
      </c>
      <c r="V768" s="11"/>
      <c r="W768" s="4"/>
      <c r="X768" s="12"/>
      <c r="Y768" s="14"/>
      <c r="Z768" s="4"/>
      <c r="AA768" s="13"/>
      <c r="AB768" s="11"/>
      <c r="AC768" s="4"/>
      <c r="AD768" s="12"/>
      <c r="AE768" s="13"/>
      <c r="AF768" s="14">
        <v>5.0251999999999999</v>
      </c>
      <c r="AG768" s="133"/>
      <c r="AI768" s="84"/>
      <c r="AL768" s="64">
        <v>4.1712692000000002</v>
      </c>
      <c r="AM768" s="56">
        <v>13.91999999999989</v>
      </c>
      <c r="AN768" s="56">
        <v>15.84000000000003</v>
      </c>
      <c r="AO768" s="62">
        <v>21.899999999999942</v>
      </c>
      <c r="AQ768" s="64">
        <v>4.0821792166666668</v>
      </c>
      <c r="AR768" s="56">
        <v>13.480000000000031</v>
      </c>
      <c r="AS768" s="56">
        <v>14.880000000000139</v>
      </c>
      <c r="AT768" s="62">
        <v>18.920000000000051</v>
      </c>
      <c r="AV768" s="64">
        <v>3.728645666666667</v>
      </c>
      <c r="AW768" s="56">
        <v>13.079999999999981</v>
      </c>
      <c r="AX768" s="56">
        <v>14.45999999999996</v>
      </c>
      <c r="AY768" s="62">
        <v>19.160000000000021</v>
      </c>
      <c r="BA768" s="64">
        <v>3.1817063333333331</v>
      </c>
      <c r="BB768" s="56">
        <v>15.7</v>
      </c>
      <c r="BC768" s="56">
        <v>18.119999999999958</v>
      </c>
      <c r="BD768" s="62">
        <v>30.100000000000019</v>
      </c>
      <c r="BF768" s="64">
        <v>2.9337119166666672</v>
      </c>
      <c r="BG768" s="56">
        <v>19.419999999999948</v>
      </c>
      <c r="BH768" s="56">
        <v>26.279999999999951</v>
      </c>
      <c r="BI768" s="62">
        <v>55.359999999999943</v>
      </c>
      <c r="BJ768" s="70"/>
      <c r="BK768" s="51"/>
    </row>
    <row r="769" spans="1:63" x14ac:dyDescent="0.4">
      <c r="A769" s="11" t="s">
        <v>846</v>
      </c>
      <c r="B769" s="4"/>
      <c r="C769" s="4"/>
      <c r="D769" s="4"/>
      <c r="E769" s="12"/>
      <c r="G769" s="147" t="s">
        <v>846</v>
      </c>
      <c r="H769" s="159">
        <v>69.915999999999997</v>
      </c>
      <c r="I769" s="153">
        <v>70.39</v>
      </c>
      <c r="J769" s="153">
        <v>70.349999999999994</v>
      </c>
      <c r="K769" s="153">
        <v>70.319999999999993</v>
      </c>
      <c r="L769" s="153">
        <v>70.319999999999993</v>
      </c>
      <c r="M769" s="80">
        <f t="shared" si="22"/>
        <v>70.39</v>
      </c>
      <c r="N769" s="80">
        <f t="shared" si="23"/>
        <v>70.319999999999993</v>
      </c>
      <c r="O769" s="153">
        <v>21.21</v>
      </c>
      <c r="P769" s="153">
        <v>21.17</v>
      </c>
      <c r="Q769" s="153">
        <v>21.14</v>
      </c>
      <c r="R769" s="153">
        <v>21.04</v>
      </c>
      <c r="S769" s="4"/>
      <c r="U769" s="147" t="s">
        <v>846</v>
      </c>
      <c r="V769" s="11"/>
      <c r="W769" s="4"/>
      <c r="X769" s="12"/>
      <c r="Y769" s="14"/>
      <c r="Z769" s="4"/>
      <c r="AA769" s="13"/>
      <c r="AB769" s="11"/>
      <c r="AC769" s="4"/>
      <c r="AD769" s="12"/>
      <c r="AE769" s="13"/>
      <c r="AF769" s="14">
        <v>5.0415999999999999</v>
      </c>
      <c r="AG769" s="133"/>
      <c r="AI769" s="84"/>
      <c r="AL769" s="64">
        <v>4.1714086666666672</v>
      </c>
      <c r="AM769" s="56">
        <v>14.239999999999849</v>
      </c>
      <c r="AN769" s="56">
        <v>16.16</v>
      </c>
      <c r="AO769" s="62">
        <v>22.259999999999991</v>
      </c>
      <c r="AQ769" s="64">
        <v>4.0815261499999993</v>
      </c>
      <c r="AR769" s="56">
        <v>13.78000000000004</v>
      </c>
      <c r="AS769" s="56">
        <v>15.17999999999997</v>
      </c>
      <c r="AT769" s="62">
        <v>19.240000000000009</v>
      </c>
      <c r="AV769" s="64">
        <v>3.7270590833333328</v>
      </c>
      <c r="AW769" s="56">
        <v>13.44000000000003</v>
      </c>
      <c r="AX769" s="56">
        <v>14.86000000000001</v>
      </c>
      <c r="AY769" s="62">
        <v>19.599999999999969</v>
      </c>
      <c r="BA769" s="64">
        <v>3.183810633333334</v>
      </c>
      <c r="BB769" s="56">
        <v>16.54</v>
      </c>
      <c r="BC769" s="56">
        <v>19.08000000000003</v>
      </c>
      <c r="BD769" s="62">
        <v>31.24000000000002</v>
      </c>
      <c r="BF769" s="64">
        <v>2.9440805499999998</v>
      </c>
      <c r="BG769" s="56">
        <v>20.420000000000019</v>
      </c>
      <c r="BH769" s="56">
        <v>27.44</v>
      </c>
      <c r="BI769" s="62">
        <v>56.040000000000049</v>
      </c>
      <c r="BJ769" s="70"/>
      <c r="BK769" s="51"/>
    </row>
    <row r="770" spans="1:63" x14ac:dyDescent="0.4">
      <c r="A770" s="11" t="s">
        <v>847</v>
      </c>
      <c r="B770" s="4"/>
      <c r="C770" s="4"/>
      <c r="D770" s="4"/>
      <c r="E770" s="12"/>
      <c r="G770" s="147" t="s">
        <v>847</v>
      </c>
      <c r="H770" s="159">
        <v>69.968000000000004</v>
      </c>
      <c r="I770" s="153">
        <v>70.36</v>
      </c>
      <c r="J770" s="153">
        <v>70.27</v>
      </c>
      <c r="K770" s="153">
        <v>70.349999999999994</v>
      </c>
      <c r="L770" s="153">
        <v>70.319999999999993</v>
      </c>
      <c r="M770" s="80">
        <f t="shared" si="22"/>
        <v>70.36</v>
      </c>
      <c r="N770" s="80">
        <f t="shared" si="23"/>
        <v>70.27</v>
      </c>
      <c r="O770" s="153">
        <v>21.18</v>
      </c>
      <c r="P770" s="153">
        <v>21.06</v>
      </c>
      <c r="Q770" s="153">
        <v>21.07</v>
      </c>
      <c r="R770" s="153">
        <v>21.03</v>
      </c>
      <c r="S770" s="4"/>
      <c r="U770" s="147" t="s">
        <v>847</v>
      </c>
      <c r="V770" s="11"/>
      <c r="W770" s="4"/>
      <c r="X770" s="12"/>
      <c r="Y770" s="14"/>
      <c r="Z770" s="4"/>
      <c r="AA770" s="13"/>
      <c r="AB770" s="11"/>
      <c r="AC770" s="4"/>
      <c r="AD770" s="12"/>
      <c r="AE770" s="13"/>
      <c r="AF770" s="14">
        <v>5.0373999999999999</v>
      </c>
      <c r="AG770" s="133"/>
      <c r="AI770" s="84"/>
      <c r="AL770" s="64">
        <v>4.1716005166666674</v>
      </c>
      <c r="AM770" s="56">
        <v>14.32000000000002</v>
      </c>
      <c r="AN770" s="56">
        <v>16.239999999999991</v>
      </c>
      <c r="AO770" s="62">
        <v>22.43999999999993</v>
      </c>
      <c r="AQ770" s="64">
        <v>4.0813473499999997</v>
      </c>
      <c r="AR770" s="56">
        <v>13.79999999999999</v>
      </c>
      <c r="AS770" s="56">
        <v>15.200000000000101</v>
      </c>
      <c r="AT770" s="62">
        <v>19.260000000000051</v>
      </c>
      <c r="AV770" s="64">
        <v>3.7269057833333332</v>
      </c>
      <c r="AW770" s="56">
        <v>13.49999999999998</v>
      </c>
      <c r="AX770" s="56">
        <v>14.919999999999961</v>
      </c>
      <c r="AY770" s="62">
        <v>19.639999999999969</v>
      </c>
      <c r="BA770" s="64">
        <v>3.1868140666666669</v>
      </c>
      <c r="BB770" s="56">
        <v>16.29999999999994</v>
      </c>
      <c r="BC770" s="56">
        <v>18.719999999999981</v>
      </c>
      <c r="BD770" s="62">
        <v>30.64</v>
      </c>
      <c r="BF770" s="64">
        <v>2.934394366666667</v>
      </c>
      <c r="BG770" s="56">
        <v>18.24000000000003</v>
      </c>
      <c r="BH770" s="56">
        <v>26.259999999999991</v>
      </c>
      <c r="BI770" s="62">
        <v>55.079999999999977</v>
      </c>
      <c r="BJ770" s="70"/>
      <c r="BK770" s="51"/>
    </row>
    <row r="771" spans="1:63" x14ac:dyDescent="0.4">
      <c r="A771" s="11" t="s">
        <v>848</v>
      </c>
      <c r="B771" s="4"/>
      <c r="C771" s="4"/>
      <c r="D771" s="4"/>
      <c r="E771" s="12"/>
      <c r="G771" s="147" t="s">
        <v>848</v>
      </c>
      <c r="H771" s="159">
        <v>70.037000000000006</v>
      </c>
      <c r="I771" s="153">
        <v>70.37</v>
      </c>
      <c r="J771" s="153">
        <v>70.28</v>
      </c>
      <c r="K771" s="153">
        <v>70.349999999999994</v>
      </c>
      <c r="L771" s="153">
        <v>70.33</v>
      </c>
      <c r="M771" s="80">
        <f t="shared" si="22"/>
        <v>70.37</v>
      </c>
      <c r="N771" s="80">
        <f t="shared" si="23"/>
        <v>70.28</v>
      </c>
      <c r="O771" s="153">
        <v>21.21</v>
      </c>
      <c r="P771" s="153">
        <v>21.08</v>
      </c>
      <c r="Q771" s="153">
        <v>21.11</v>
      </c>
      <c r="R771" s="153">
        <v>21.08</v>
      </c>
      <c r="S771" s="4"/>
      <c r="U771" s="147" t="s">
        <v>848</v>
      </c>
      <c r="V771" s="11"/>
      <c r="W771" s="4"/>
      <c r="X771" s="12"/>
      <c r="Y771" s="14"/>
      <c r="Z771" s="4"/>
      <c r="AA771" s="13"/>
      <c r="AB771" s="11"/>
      <c r="AC771" s="4"/>
      <c r="AD771" s="12"/>
      <c r="AE771" s="13"/>
      <c r="AF771" s="14">
        <v>5.0274000000000001</v>
      </c>
      <c r="AG771" s="133"/>
      <c r="AI771" s="84"/>
      <c r="AL771" s="64">
        <v>4.1716576500000002</v>
      </c>
      <c r="AM771" s="56">
        <v>14.41999999999997</v>
      </c>
      <c r="AN771" s="56">
        <v>16.319999999999979</v>
      </c>
      <c r="AO771" s="62">
        <v>22.499999999999961</v>
      </c>
      <c r="AQ771" s="64">
        <v>4.0806570999999998</v>
      </c>
      <c r="AR771" s="56">
        <v>13.72</v>
      </c>
      <c r="AS771" s="56">
        <v>15.09999999999998</v>
      </c>
      <c r="AT771" s="62">
        <v>19.160000000000021</v>
      </c>
      <c r="AV771" s="64">
        <v>3.7260298333333339</v>
      </c>
      <c r="AW771" s="56">
        <v>13.400000000000031</v>
      </c>
      <c r="AX771" s="56">
        <v>14.780000000000021</v>
      </c>
      <c r="AY771" s="62">
        <v>19.520000000000071</v>
      </c>
      <c r="BA771" s="64">
        <v>3.1842948166666671</v>
      </c>
      <c r="BB771" s="56">
        <v>16.359999999999971</v>
      </c>
      <c r="BC771" s="56">
        <v>18.839999999999971</v>
      </c>
      <c r="BD771" s="62">
        <v>30.81999999999994</v>
      </c>
      <c r="BF771" s="64">
        <v>2.9346875666666659</v>
      </c>
      <c r="BG771" s="56">
        <v>20.099999999999959</v>
      </c>
      <c r="BH771" s="56">
        <v>27.00000000000005</v>
      </c>
      <c r="BI771" s="62">
        <v>56.200000000000031</v>
      </c>
      <c r="BJ771" s="70"/>
      <c r="BK771" s="51"/>
    </row>
    <row r="772" spans="1:63" x14ac:dyDescent="0.4">
      <c r="A772" s="11" t="s">
        <v>849</v>
      </c>
      <c r="B772" s="4"/>
      <c r="C772" s="4"/>
      <c r="D772" s="4"/>
      <c r="E772" s="12"/>
      <c r="G772" s="147" t="s">
        <v>849</v>
      </c>
      <c r="H772" s="159">
        <v>70.034999999999997</v>
      </c>
      <c r="I772" s="153">
        <v>70.349999999999994</v>
      </c>
      <c r="J772" s="153">
        <v>70.28</v>
      </c>
      <c r="K772" s="153">
        <v>70.349999999999994</v>
      </c>
      <c r="L772" s="153">
        <v>70.34</v>
      </c>
      <c r="M772" s="80">
        <f t="shared" si="22"/>
        <v>70.349999999999994</v>
      </c>
      <c r="N772" s="80">
        <f t="shared" si="23"/>
        <v>70.28</v>
      </c>
      <c r="O772" s="153">
        <v>21.18</v>
      </c>
      <c r="P772" s="153">
        <v>21.04</v>
      </c>
      <c r="Q772" s="153">
        <v>21.15</v>
      </c>
      <c r="R772" s="153">
        <v>21.06</v>
      </c>
      <c r="S772" s="4"/>
      <c r="U772" s="147" t="s">
        <v>849</v>
      </c>
      <c r="V772" s="11"/>
      <c r="W772" s="4"/>
      <c r="X772" s="12"/>
      <c r="Y772" s="14"/>
      <c r="Z772" s="4"/>
      <c r="AA772" s="13"/>
      <c r="AB772" s="11"/>
      <c r="AC772" s="4"/>
      <c r="AD772" s="12"/>
      <c r="AE772" s="13"/>
      <c r="AF772" s="14">
        <v>5.0284000000000004</v>
      </c>
      <c r="AG772" s="133"/>
      <c r="AI772" s="84"/>
      <c r="AL772" s="64">
        <v>4.1721471000000001</v>
      </c>
      <c r="AM772" s="56">
        <v>14.040000000000139</v>
      </c>
      <c r="AN772" s="56">
        <v>15.960000000000109</v>
      </c>
      <c r="AO772" s="62">
        <v>22.040000000000148</v>
      </c>
      <c r="AQ772" s="64">
        <v>4.0829514833333338</v>
      </c>
      <c r="AR772" s="56">
        <v>13.78000000000004</v>
      </c>
      <c r="AS772" s="56">
        <v>15.17999999999997</v>
      </c>
      <c r="AT772" s="62">
        <v>19.240000000000009</v>
      </c>
      <c r="AV772" s="64">
        <v>3.72853755</v>
      </c>
      <c r="AW772" s="56">
        <v>13.759999999999989</v>
      </c>
      <c r="AX772" s="56">
        <v>15.20000000000001</v>
      </c>
      <c r="AY772" s="62">
        <v>19.980000000000061</v>
      </c>
      <c r="BA772" s="64">
        <v>3.18439695</v>
      </c>
      <c r="BB772" s="56">
        <v>16.440000000000051</v>
      </c>
      <c r="BC772" s="56">
        <v>18.880000000000049</v>
      </c>
      <c r="BD772" s="62">
        <v>30.879999999999971</v>
      </c>
      <c r="BF772" s="64">
        <v>2.933878733333334</v>
      </c>
      <c r="BG772" s="56">
        <v>20.12</v>
      </c>
      <c r="BH772" s="56">
        <v>26.75999999999998</v>
      </c>
      <c r="BI772" s="62">
        <v>55.400000000000027</v>
      </c>
      <c r="BJ772" s="70"/>
      <c r="BK772" s="51"/>
    </row>
    <row r="773" spans="1:63" x14ac:dyDescent="0.4">
      <c r="A773" s="11" t="s">
        <v>850</v>
      </c>
      <c r="B773" s="4"/>
      <c r="C773" s="4"/>
      <c r="D773" s="4"/>
      <c r="E773" s="12"/>
      <c r="G773" s="147" t="s">
        <v>850</v>
      </c>
      <c r="H773" s="159">
        <v>70.018000000000001</v>
      </c>
      <c r="I773" s="153">
        <v>70.34</v>
      </c>
      <c r="J773" s="153">
        <v>70.349999999999994</v>
      </c>
      <c r="K773" s="153">
        <v>70.36</v>
      </c>
      <c r="L773" s="153">
        <v>70.37</v>
      </c>
      <c r="M773" s="80">
        <f t="shared" si="22"/>
        <v>70.37</v>
      </c>
      <c r="N773" s="80">
        <f t="shared" si="23"/>
        <v>70.34</v>
      </c>
      <c r="O773" s="153">
        <v>21.1</v>
      </c>
      <c r="P773" s="153">
        <v>21.15</v>
      </c>
      <c r="Q773" s="153">
        <v>21.16</v>
      </c>
      <c r="R773" s="153">
        <v>21.08</v>
      </c>
      <c r="S773" s="4"/>
      <c r="U773" s="147" t="s">
        <v>850</v>
      </c>
      <c r="V773" s="11"/>
      <c r="W773" s="4"/>
      <c r="X773" s="12"/>
      <c r="Y773" s="14"/>
      <c r="Z773" s="4"/>
      <c r="AA773" s="13"/>
      <c r="AB773" s="11"/>
      <c r="AC773" s="4"/>
      <c r="AD773" s="12"/>
      <c r="AE773" s="13"/>
      <c r="AF773" s="14">
        <v>5.0357000000000003</v>
      </c>
      <c r="AG773" s="133"/>
      <c r="AI773" s="84"/>
      <c r="AL773" s="64">
        <v>4.1720042499999996</v>
      </c>
      <c r="AM773" s="56">
        <v>14.119999999999949</v>
      </c>
      <c r="AN773" s="56">
        <v>16.039999999999921</v>
      </c>
      <c r="AO773" s="62">
        <v>22.159999999999869</v>
      </c>
      <c r="AQ773" s="64">
        <v>4.0820446499999994</v>
      </c>
      <c r="AR773" s="56">
        <v>13.81999999999994</v>
      </c>
      <c r="AS773" s="56">
        <v>15.21999999999988</v>
      </c>
      <c r="AT773" s="62">
        <v>19.279999999999919</v>
      </c>
      <c r="AV773" s="64">
        <v>3.7278413999999991</v>
      </c>
      <c r="AW773" s="56">
        <v>13.520000000000019</v>
      </c>
      <c r="AX773" s="56">
        <v>14.96000000000004</v>
      </c>
      <c r="AY773" s="62">
        <v>19.71999999999996</v>
      </c>
      <c r="BA773" s="64">
        <v>3.1835503333333328</v>
      </c>
      <c r="BB773" s="56">
        <v>16.14000000000004</v>
      </c>
      <c r="BC773" s="56">
        <v>18.599999999999991</v>
      </c>
      <c r="BD773" s="62">
        <v>30.50000000000006</v>
      </c>
      <c r="BF773" s="64">
        <v>2.928174016666667</v>
      </c>
      <c r="BG773" s="56">
        <v>19.960000000000019</v>
      </c>
      <c r="BH773" s="56">
        <v>26.660000000000039</v>
      </c>
      <c r="BI773" s="62">
        <v>55.820000000000022</v>
      </c>
      <c r="BJ773" s="70"/>
      <c r="BK773" s="51"/>
    </row>
    <row r="774" spans="1:63" x14ac:dyDescent="0.4">
      <c r="A774" s="11" t="s">
        <v>851</v>
      </c>
      <c r="B774" s="4"/>
      <c r="C774" s="4"/>
      <c r="D774" s="4"/>
      <c r="E774" s="12"/>
      <c r="G774" s="147" t="s">
        <v>851</v>
      </c>
      <c r="H774" s="159">
        <v>69.97</v>
      </c>
      <c r="I774" s="153">
        <v>70.31</v>
      </c>
      <c r="J774" s="153">
        <v>70.38</v>
      </c>
      <c r="K774" s="153">
        <v>70.33</v>
      </c>
      <c r="L774" s="153">
        <v>70.28</v>
      </c>
      <c r="M774" s="80">
        <f t="shared" ref="M774:M837" si="24">MAX(I774:L774)</f>
        <v>70.38</v>
      </c>
      <c r="N774" s="80">
        <f t="shared" ref="N774:N837" si="25">MIN(I774:L774)</f>
        <v>70.28</v>
      </c>
      <c r="O774" s="153">
        <v>21.17</v>
      </c>
      <c r="P774" s="153">
        <v>21.1</v>
      </c>
      <c r="Q774" s="153">
        <v>21.17</v>
      </c>
      <c r="R774" s="153">
        <v>21.08</v>
      </c>
      <c r="S774" s="4"/>
      <c r="U774" s="147" t="s">
        <v>851</v>
      </c>
      <c r="V774" s="11"/>
      <c r="W774" s="4"/>
      <c r="X774" s="12"/>
      <c r="Y774" s="14"/>
      <c r="Z774" s="4"/>
      <c r="AA774" s="13"/>
      <c r="AB774" s="11"/>
      <c r="AC774" s="4"/>
      <c r="AD774" s="12"/>
      <c r="AE774" s="13"/>
      <c r="AF774" s="14">
        <v>5.0294999999999996</v>
      </c>
      <c r="AG774" s="133"/>
      <c r="AI774" s="84"/>
      <c r="AL774" s="64">
        <v>4.1719557666666667</v>
      </c>
      <c r="AM774" s="56">
        <v>13.899999999999929</v>
      </c>
      <c r="AN774" s="56">
        <v>15.799999999999949</v>
      </c>
      <c r="AO774" s="62">
        <v>21.899999999999942</v>
      </c>
      <c r="AQ774" s="64">
        <v>4.0826098666666661</v>
      </c>
      <c r="AR774" s="56">
        <v>13.480000000000031</v>
      </c>
      <c r="AS774" s="56">
        <v>14.84000000000005</v>
      </c>
      <c r="AT774" s="62">
        <v>18.86000000000001</v>
      </c>
      <c r="AV774" s="64">
        <v>3.7289367833333329</v>
      </c>
      <c r="AW774" s="56">
        <v>13.060000000000031</v>
      </c>
      <c r="AX774" s="56">
        <v>14.44000000000001</v>
      </c>
      <c r="AY774" s="62">
        <v>19.09999999999998</v>
      </c>
      <c r="BA774" s="64">
        <v>3.1872786999999998</v>
      </c>
      <c r="BB774" s="56">
        <v>15.39999999999999</v>
      </c>
      <c r="BC774" s="56">
        <v>17.79999999999999</v>
      </c>
      <c r="BD774" s="62">
        <v>29.439999999999959</v>
      </c>
      <c r="BF774" s="64">
        <v>2.9314785333333342</v>
      </c>
      <c r="BG774" s="56">
        <v>19.059999999999992</v>
      </c>
      <c r="BH774" s="56">
        <v>25.8</v>
      </c>
      <c r="BI774" s="62">
        <v>54.8</v>
      </c>
      <c r="BJ774" s="70"/>
      <c r="BK774" s="51"/>
    </row>
    <row r="775" spans="1:63" x14ac:dyDescent="0.4">
      <c r="A775" s="11" t="s">
        <v>852</v>
      </c>
      <c r="B775" s="4"/>
      <c r="C775" s="4"/>
      <c r="D775" s="4"/>
      <c r="E775" s="12"/>
      <c r="G775" s="147" t="s">
        <v>852</v>
      </c>
      <c r="H775" s="159">
        <v>70.025000000000006</v>
      </c>
      <c r="I775" s="153">
        <v>70.28</v>
      </c>
      <c r="J775" s="153">
        <v>70.31</v>
      </c>
      <c r="K775" s="153">
        <v>70.37</v>
      </c>
      <c r="L775" s="153">
        <v>70.36</v>
      </c>
      <c r="M775" s="80">
        <f t="shared" si="24"/>
        <v>70.37</v>
      </c>
      <c r="N775" s="80">
        <f t="shared" si="25"/>
        <v>70.28</v>
      </c>
      <c r="O775" s="153">
        <v>21.15</v>
      </c>
      <c r="P775" s="153">
        <v>21.03</v>
      </c>
      <c r="Q775" s="153">
        <v>21.07</v>
      </c>
      <c r="R775" s="153">
        <v>21.03</v>
      </c>
      <c r="S775" s="4"/>
      <c r="U775" s="147" t="s">
        <v>852</v>
      </c>
      <c r="V775" s="11"/>
      <c r="W775" s="4"/>
      <c r="X775" s="12"/>
      <c r="Y775" s="14"/>
      <c r="Z775" s="4"/>
      <c r="AA775" s="13"/>
      <c r="AB775" s="11"/>
      <c r="AC775" s="4"/>
      <c r="AD775" s="12"/>
      <c r="AE775" s="13"/>
      <c r="AF775" s="14">
        <v>5.0284000000000004</v>
      </c>
      <c r="AG775" s="133"/>
      <c r="AI775" s="84"/>
      <c r="AL775" s="64">
        <v>4.1733217333333332</v>
      </c>
      <c r="AM775" s="56">
        <v>13.57999999999997</v>
      </c>
      <c r="AN775" s="56">
        <v>15.50000000000011</v>
      </c>
      <c r="AO775" s="62">
        <v>21.499999999999989</v>
      </c>
      <c r="AQ775" s="64">
        <v>4.0818655166666664</v>
      </c>
      <c r="AR775" s="56">
        <v>13.160000000000061</v>
      </c>
      <c r="AS775" s="56">
        <v>14.54000000000004</v>
      </c>
      <c r="AT775" s="62">
        <v>18.420000000000059</v>
      </c>
      <c r="AV775" s="64">
        <v>3.728772300000001</v>
      </c>
      <c r="AW775" s="56">
        <v>12.740000000000061</v>
      </c>
      <c r="AX775" s="56">
        <v>14.12000000000004</v>
      </c>
      <c r="AY775" s="62">
        <v>18.679999999999989</v>
      </c>
      <c r="BA775" s="64">
        <v>3.1871650499999991</v>
      </c>
      <c r="BB775" s="56">
        <v>15.140000000000059</v>
      </c>
      <c r="BC775" s="56">
        <v>17.500000000000071</v>
      </c>
      <c r="BD775" s="62">
        <v>29.04</v>
      </c>
      <c r="BF775" s="64">
        <v>2.91481265</v>
      </c>
      <c r="BG775" s="56">
        <v>19.21999999999997</v>
      </c>
      <c r="BH775" s="56">
        <v>26.07999999999997</v>
      </c>
      <c r="BI775" s="62">
        <v>56.759999999999962</v>
      </c>
      <c r="BJ775" s="70"/>
      <c r="BK775" s="51"/>
    </row>
    <row r="776" spans="1:63" x14ac:dyDescent="0.4">
      <c r="A776" s="11" t="s">
        <v>853</v>
      </c>
      <c r="B776" s="4"/>
      <c r="C776" s="4"/>
      <c r="D776" s="4"/>
      <c r="E776" s="12"/>
      <c r="G776" s="147" t="s">
        <v>853</v>
      </c>
      <c r="H776" s="159">
        <v>70.08</v>
      </c>
      <c r="I776" s="153">
        <v>70.37</v>
      </c>
      <c r="J776" s="153">
        <v>70.34</v>
      </c>
      <c r="K776" s="153">
        <v>70.33</v>
      </c>
      <c r="L776" s="153">
        <v>70.290000000000006</v>
      </c>
      <c r="M776" s="80">
        <f t="shared" si="24"/>
        <v>70.37</v>
      </c>
      <c r="N776" s="80">
        <f t="shared" si="25"/>
        <v>70.290000000000006</v>
      </c>
      <c r="O776" s="153">
        <v>21.18</v>
      </c>
      <c r="P776" s="153">
        <v>21.09</v>
      </c>
      <c r="Q776" s="153">
        <v>21.1</v>
      </c>
      <c r="R776" s="153">
        <v>21.04</v>
      </c>
      <c r="S776" s="4"/>
      <c r="U776" s="147" t="s">
        <v>853</v>
      </c>
      <c r="V776" s="11"/>
      <c r="W776" s="4"/>
      <c r="X776" s="12"/>
      <c r="Y776" s="14"/>
      <c r="Z776" s="4"/>
      <c r="AA776" s="13"/>
      <c r="AB776" s="11"/>
      <c r="AC776" s="4"/>
      <c r="AD776" s="12"/>
      <c r="AE776" s="13"/>
      <c r="AF776" s="14">
        <v>5.0152000000000001</v>
      </c>
      <c r="AG776" s="133"/>
      <c r="AI776" s="84"/>
      <c r="AL776" s="64">
        <v>4.1733534333333333</v>
      </c>
      <c r="AM776" s="56">
        <v>13.74000000000013</v>
      </c>
      <c r="AN776" s="56">
        <v>15.640000000000139</v>
      </c>
      <c r="AO776" s="62">
        <v>21.640000000000011</v>
      </c>
      <c r="AQ776" s="64">
        <v>4.0813220166666664</v>
      </c>
      <c r="AR776" s="56">
        <v>13.24000000000005</v>
      </c>
      <c r="AS776" s="56">
        <v>14.60000000000008</v>
      </c>
      <c r="AT776" s="62">
        <v>18.4800000000001</v>
      </c>
      <c r="AV776" s="64">
        <v>3.7274379</v>
      </c>
      <c r="AW776" s="56">
        <v>12.840000000000011</v>
      </c>
      <c r="AX776" s="56">
        <v>14.21999999999999</v>
      </c>
      <c r="AY776" s="62">
        <v>18.75999999999998</v>
      </c>
      <c r="BA776" s="64">
        <v>3.1864166833333329</v>
      </c>
      <c r="BB776" s="56">
        <v>15.439999999999991</v>
      </c>
      <c r="BC776" s="56">
        <v>17.860000000000031</v>
      </c>
      <c r="BD776" s="62">
        <v>29.560000000000031</v>
      </c>
      <c r="BF776" s="64">
        <v>2.9308279499999998</v>
      </c>
      <c r="BG776" s="56">
        <v>19.399999999999999</v>
      </c>
      <c r="BH776" s="56">
        <v>26.360000000000031</v>
      </c>
      <c r="BI776" s="62">
        <v>55.619999999999962</v>
      </c>
      <c r="BJ776" s="70"/>
      <c r="BK776" s="51"/>
    </row>
    <row r="777" spans="1:63" x14ac:dyDescent="0.4">
      <c r="A777" s="11" t="s">
        <v>854</v>
      </c>
      <c r="B777" s="4"/>
      <c r="C777" s="4"/>
      <c r="D777" s="4"/>
      <c r="E777" s="12"/>
      <c r="G777" s="147" t="s">
        <v>854</v>
      </c>
      <c r="H777" s="159">
        <v>69.914000000000001</v>
      </c>
      <c r="I777" s="153">
        <v>70.31</v>
      </c>
      <c r="J777" s="153">
        <v>70.33</v>
      </c>
      <c r="K777" s="153">
        <v>70.28</v>
      </c>
      <c r="L777" s="153">
        <v>70.3</v>
      </c>
      <c r="M777" s="80">
        <f t="shared" si="24"/>
        <v>70.33</v>
      </c>
      <c r="N777" s="80">
        <f t="shared" si="25"/>
        <v>70.28</v>
      </c>
      <c r="O777" s="153">
        <v>21.21</v>
      </c>
      <c r="P777" s="153">
        <v>21.13</v>
      </c>
      <c r="Q777" s="153">
        <v>21.15</v>
      </c>
      <c r="R777" s="153">
        <v>21.12</v>
      </c>
      <c r="S777" s="4"/>
      <c r="U777" s="147" t="s">
        <v>854</v>
      </c>
      <c r="V777" s="11"/>
      <c r="W777" s="4"/>
      <c r="X777" s="12"/>
      <c r="Y777" s="14"/>
      <c r="Z777" s="4"/>
      <c r="AA777" s="13"/>
      <c r="AB777" s="11"/>
      <c r="AC777" s="4"/>
      <c r="AD777" s="12"/>
      <c r="AE777" s="13"/>
      <c r="AF777" s="14">
        <v>5.016</v>
      </c>
      <c r="AG777" s="133"/>
      <c r="AI777" s="84"/>
      <c r="AL777" s="64">
        <v>4.1732092166666659</v>
      </c>
      <c r="AM777" s="56">
        <v>13.759999999999909</v>
      </c>
      <c r="AN777" s="56">
        <v>15.63999999999997</v>
      </c>
      <c r="AO777" s="62">
        <v>21.55999999999985</v>
      </c>
      <c r="AQ777" s="64">
        <v>4.0815224499999996</v>
      </c>
      <c r="AR777" s="56">
        <v>13.05999999999994</v>
      </c>
      <c r="AS777" s="56">
        <v>14.43999999999992</v>
      </c>
      <c r="AT777" s="62">
        <v>18.31999999999994</v>
      </c>
      <c r="AV777" s="64">
        <v>3.7281573333333329</v>
      </c>
      <c r="AW777" s="56">
        <v>12.660000000000069</v>
      </c>
      <c r="AX777" s="56">
        <v>14.060000000000009</v>
      </c>
      <c r="AY777" s="62">
        <v>18.580000000000041</v>
      </c>
      <c r="BA777" s="64">
        <v>3.1826288666666671</v>
      </c>
      <c r="BB777" s="56">
        <v>15.20000000000001</v>
      </c>
      <c r="BC777" s="56">
        <v>17.57999999999997</v>
      </c>
      <c r="BD777" s="62">
        <v>29.319999999999968</v>
      </c>
      <c r="BF777" s="64">
        <v>2.9213091499999999</v>
      </c>
      <c r="BG777" s="56">
        <v>19.220000000000059</v>
      </c>
      <c r="BH777" s="56">
        <v>26.020000000000021</v>
      </c>
      <c r="BI777" s="62">
        <v>56.00000000000005</v>
      </c>
      <c r="BJ777" s="70"/>
      <c r="BK777" s="51"/>
    </row>
    <row r="778" spans="1:63" x14ac:dyDescent="0.4">
      <c r="A778" s="11" t="s">
        <v>855</v>
      </c>
      <c r="B778" s="4"/>
      <c r="C778" s="4"/>
      <c r="D778" s="4"/>
      <c r="E778" s="12"/>
      <c r="G778" s="147" t="s">
        <v>855</v>
      </c>
      <c r="H778" s="159">
        <v>70.242999999999995</v>
      </c>
      <c r="I778" s="153">
        <v>70.349999999999994</v>
      </c>
      <c r="J778" s="153">
        <v>70.37</v>
      </c>
      <c r="K778" s="153">
        <v>70.400000000000006</v>
      </c>
      <c r="L778" s="153">
        <v>70.39</v>
      </c>
      <c r="M778" s="80">
        <f t="shared" si="24"/>
        <v>70.400000000000006</v>
      </c>
      <c r="N778" s="80">
        <f t="shared" si="25"/>
        <v>70.349999999999994</v>
      </c>
      <c r="O778" s="153">
        <v>21.15</v>
      </c>
      <c r="P778" s="153">
        <v>21.06</v>
      </c>
      <c r="Q778" s="153">
        <v>21.13</v>
      </c>
      <c r="R778" s="153">
        <v>21.03</v>
      </c>
      <c r="S778" s="4"/>
      <c r="U778" s="147" t="s">
        <v>855</v>
      </c>
      <c r="V778" s="11"/>
      <c r="W778" s="4"/>
      <c r="X778" s="12"/>
      <c r="Y778" s="14"/>
      <c r="Z778" s="4"/>
      <c r="AA778" s="13"/>
      <c r="AB778" s="11"/>
      <c r="AC778" s="4"/>
      <c r="AD778" s="12"/>
      <c r="AE778" s="13"/>
      <c r="AF778" s="14">
        <v>5.0266000000000002</v>
      </c>
      <c r="AG778" s="133"/>
      <c r="AI778" s="84"/>
      <c r="AL778" s="64">
        <v>4.1731897333333334</v>
      </c>
      <c r="AM778" s="56">
        <v>13.679999999999909</v>
      </c>
      <c r="AN778" s="56">
        <v>15.62000000000001</v>
      </c>
      <c r="AO778" s="62">
        <v>21.539999999999889</v>
      </c>
      <c r="AQ778" s="64">
        <v>4.0818965499999988</v>
      </c>
      <c r="AR778" s="56">
        <v>13.11999999999998</v>
      </c>
      <c r="AS778" s="56">
        <v>14.52000000000009</v>
      </c>
      <c r="AT778" s="62">
        <v>18.379999999999971</v>
      </c>
      <c r="AV778" s="64">
        <v>3.7283968166666668</v>
      </c>
      <c r="AW778" s="56">
        <v>12.73999999999997</v>
      </c>
      <c r="AX778" s="56">
        <v>14.14</v>
      </c>
      <c r="AY778" s="62">
        <v>18.679999999999989</v>
      </c>
      <c r="BA778" s="64">
        <v>3.1833364666666659</v>
      </c>
      <c r="BB778" s="56">
        <v>15.28</v>
      </c>
      <c r="BC778" s="56">
        <v>17.68000000000001</v>
      </c>
      <c r="BD778" s="62">
        <v>29.42</v>
      </c>
      <c r="BF778" s="64">
        <v>2.9240222666666669</v>
      </c>
      <c r="BG778" s="56">
        <v>19.119999999999941</v>
      </c>
      <c r="BH778" s="56">
        <v>26.039999999999971</v>
      </c>
      <c r="BI778" s="62">
        <v>55.739999999999952</v>
      </c>
      <c r="BJ778" s="70"/>
      <c r="BK778" s="51"/>
    </row>
    <row r="779" spans="1:63" x14ac:dyDescent="0.4">
      <c r="A779" s="11" t="s">
        <v>856</v>
      </c>
      <c r="B779" s="4"/>
      <c r="C779" s="4"/>
      <c r="D779" s="4"/>
      <c r="E779" s="12"/>
      <c r="G779" s="147" t="s">
        <v>856</v>
      </c>
      <c r="H779" s="159">
        <v>70.075999999999993</v>
      </c>
      <c r="I779" s="153">
        <v>70.349999999999994</v>
      </c>
      <c r="J779" s="153">
        <v>70.319999999999993</v>
      </c>
      <c r="K779" s="153">
        <v>70.349999999999994</v>
      </c>
      <c r="L779" s="153">
        <v>70.37</v>
      </c>
      <c r="M779" s="80">
        <f t="shared" si="24"/>
        <v>70.37</v>
      </c>
      <c r="N779" s="80">
        <f t="shared" si="25"/>
        <v>70.319999999999993</v>
      </c>
      <c r="O779" s="153">
        <v>21.22</v>
      </c>
      <c r="P779" s="153">
        <v>21.18</v>
      </c>
      <c r="Q779" s="153">
        <v>21.14</v>
      </c>
      <c r="R779" s="153">
        <v>21.02</v>
      </c>
      <c r="S779" s="4"/>
      <c r="U779" s="147" t="s">
        <v>856</v>
      </c>
      <c r="V779" s="11"/>
      <c r="W779" s="4"/>
      <c r="X779" s="12"/>
      <c r="Y779" s="14"/>
      <c r="Z779" s="4"/>
      <c r="AA779" s="13"/>
      <c r="AB779" s="11"/>
      <c r="AC779" s="4"/>
      <c r="AD779" s="12"/>
      <c r="AE779" s="13"/>
      <c r="AF779" s="14">
        <v>5.0415000000000001</v>
      </c>
      <c r="AG779" s="133"/>
      <c r="AI779" s="84"/>
      <c r="AL779" s="64">
        <v>4.1735150833333332</v>
      </c>
      <c r="AM779" s="56">
        <v>13.759999999999909</v>
      </c>
      <c r="AN779" s="56">
        <v>15.680000000000049</v>
      </c>
      <c r="AO779" s="62">
        <v>21.659999999999972</v>
      </c>
      <c r="AQ779" s="64">
        <v>4.0825164166666656</v>
      </c>
      <c r="AR779" s="56">
        <v>13.439999999999941</v>
      </c>
      <c r="AS779" s="56">
        <v>14.839999999999881</v>
      </c>
      <c r="AT779" s="62">
        <v>18.759999999999891</v>
      </c>
      <c r="AV779" s="64">
        <v>3.7285309999999998</v>
      </c>
      <c r="AW779" s="56">
        <v>13.12000000000006</v>
      </c>
      <c r="AX779" s="56">
        <v>14.56</v>
      </c>
      <c r="AY779" s="62">
        <v>19.160000000000021</v>
      </c>
      <c r="BA779" s="64">
        <v>3.1848969500000002</v>
      </c>
      <c r="BB779" s="56">
        <v>16.199999999999989</v>
      </c>
      <c r="BC779" s="56">
        <v>18.679999999999989</v>
      </c>
      <c r="BD779" s="62">
        <v>30.619999999999958</v>
      </c>
      <c r="BF779" s="64">
        <v>2.9277717499999998</v>
      </c>
      <c r="BG779" s="56">
        <v>20.219999999999949</v>
      </c>
      <c r="BH779" s="56">
        <v>27.15999999999994</v>
      </c>
      <c r="BI779" s="62">
        <v>56.639999999999979</v>
      </c>
      <c r="BJ779" s="70"/>
      <c r="BK779" s="51"/>
    </row>
    <row r="780" spans="1:63" x14ac:dyDescent="0.4">
      <c r="A780" s="11" t="s">
        <v>857</v>
      </c>
      <c r="B780" s="4"/>
      <c r="C780" s="4"/>
      <c r="D780" s="4"/>
      <c r="E780" s="12"/>
      <c r="G780" s="147" t="s">
        <v>857</v>
      </c>
      <c r="H780" s="159">
        <v>70.102000000000004</v>
      </c>
      <c r="I780" s="153">
        <v>70.290000000000006</v>
      </c>
      <c r="J780" s="153">
        <v>70.319999999999993</v>
      </c>
      <c r="K780" s="153">
        <v>70.38</v>
      </c>
      <c r="L780" s="153">
        <v>70.319999999999993</v>
      </c>
      <c r="M780" s="80">
        <f t="shared" si="24"/>
        <v>70.38</v>
      </c>
      <c r="N780" s="80">
        <f t="shared" si="25"/>
        <v>70.290000000000006</v>
      </c>
      <c r="O780" s="153">
        <v>21.2</v>
      </c>
      <c r="P780" s="153">
        <v>21.08</v>
      </c>
      <c r="Q780" s="153">
        <v>21.15</v>
      </c>
      <c r="R780" s="153">
        <v>21.1</v>
      </c>
      <c r="S780" s="4"/>
      <c r="U780" s="147" t="s">
        <v>857</v>
      </c>
      <c r="V780" s="11"/>
      <c r="W780" s="4"/>
      <c r="X780" s="12"/>
      <c r="Y780" s="14"/>
      <c r="Z780" s="4"/>
      <c r="AA780" s="13"/>
      <c r="AB780" s="11"/>
      <c r="AC780" s="4"/>
      <c r="AD780" s="12"/>
      <c r="AE780" s="13"/>
      <c r="AF780" s="14">
        <v>5.0232000000000001</v>
      </c>
      <c r="AG780" s="133"/>
      <c r="AI780" s="84"/>
      <c r="AL780" s="64">
        <v>4.1735654999999996</v>
      </c>
      <c r="AM780" s="56">
        <v>14.839999999999881</v>
      </c>
      <c r="AN780" s="56">
        <v>16.85999999999996</v>
      </c>
      <c r="AO780" s="62">
        <v>23.039999999999949</v>
      </c>
      <c r="AQ780" s="64">
        <v>4.0814754000000004</v>
      </c>
      <c r="AR780" s="56">
        <v>14.41999999999997</v>
      </c>
      <c r="AS780" s="56">
        <v>15.90000000000007</v>
      </c>
      <c r="AT780" s="62">
        <v>19.960000000000019</v>
      </c>
      <c r="AV780" s="64">
        <v>3.7293248999999999</v>
      </c>
      <c r="AW780" s="56">
        <v>13.99999999999997</v>
      </c>
      <c r="AX780" s="56">
        <v>15.50000000000002</v>
      </c>
      <c r="AY780" s="62">
        <v>20.300000000000029</v>
      </c>
      <c r="BA780" s="64">
        <v>3.1922818500000001</v>
      </c>
      <c r="BB780" s="56">
        <v>16.239999999999991</v>
      </c>
      <c r="BC780" s="56">
        <v>18.63999999999999</v>
      </c>
      <c r="BD780" s="62">
        <v>30.26</v>
      </c>
      <c r="BF780" s="64">
        <v>2.9187853499999998</v>
      </c>
      <c r="BG780" s="56">
        <v>20.359999999999982</v>
      </c>
      <c r="BH780" s="56">
        <v>27.200000000000021</v>
      </c>
      <c r="BI780" s="62">
        <v>57.179999999999957</v>
      </c>
      <c r="BJ780" s="70"/>
      <c r="BK780" s="51"/>
    </row>
    <row r="781" spans="1:63" x14ac:dyDescent="0.4">
      <c r="A781" s="11" t="s">
        <v>858</v>
      </c>
      <c r="B781" s="4"/>
      <c r="C781" s="4"/>
      <c r="D781" s="4"/>
      <c r="E781" s="12"/>
      <c r="G781" s="147" t="s">
        <v>858</v>
      </c>
      <c r="H781" s="159">
        <v>70.054000000000002</v>
      </c>
      <c r="I781" s="153">
        <v>70.34</v>
      </c>
      <c r="J781" s="153">
        <v>70.349999999999994</v>
      </c>
      <c r="K781" s="153">
        <v>70.290000000000006</v>
      </c>
      <c r="L781" s="153">
        <v>70.319999999999993</v>
      </c>
      <c r="M781" s="80">
        <f t="shared" si="24"/>
        <v>70.349999999999994</v>
      </c>
      <c r="N781" s="80">
        <f t="shared" si="25"/>
        <v>70.290000000000006</v>
      </c>
      <c r="O781" s="153">
        <v>21.21</v>
      </c>
      <c r="P781" s="153">
        <v>21.03</v>
      </c>
      <c r="Q781" s="153">
        <v>21.14</v>
      </c>
      <c r="R781" s="153">
        <v>21.07</v>
      </c>
      <c r="S781" s="4"/>
      <c r="U781" s="147" t="s">
        <v>858</v>
      </c>
      <c r="V781" s="11"/>
      <c r="W781" s="4"/>
      <c r="X781" s="12"/>
      <c r="Y781" s="14"/>
      <c r="Z781" s="4"/>
      <c r="AA781" s="13"/>
      <c r="AB781" s="11"/>
      <c r="AC781" s="4"/>
      <c r="AD781" s="12"/>
      <c r="AE781" s="13"/>
      <c r="AF781" s="14">
        <v>5.0308999999999999</v>
      </c>
      <c r="AG781" s="133"/>
      <c r="AI781" s="84"/>
      <c r="AL781" s="64">
        <v>4.1739702666666672</v>
      </c>
      <c r="AM781" s="56">
        <v>13.600000000000099</v>
      </c>
      <c r="AN781" s="56">
        <v>15.520000000000071</v>
      </c>
      <c r="AO781" s="62">
        <v>21.460000000000079</v>
      </c>
      <c r="AQ781" s="64">
        <v>4.0826353000000006</v>
      </c>
      <c r="AR781" s="56">
        <v>13.29999999999991</v>
      </c>
      <c r="AS781" s="56">
        <v>14.700000000000021</v>
      </c>
      <c r="AT781" s="62">
        <v>18.599999999999991</v>
      </c>
      <c r="AV781" s="64">
        <v>3.729101866666666</v>
      </c>
      <c r="AW781" s="56">
        <v>13.02000000000003</v>
      </c>
      <c r="AX781" s="56">
        <v>14.42000000000005</v>
      </c>
      <c r="AY781" s="62">
        <v>19.019999999999989</v>
      </c>
      <c r="BA781" s="64">
        <v>3.1843606166666669</v>
      </c>
      <c r="BB781" s="56">
        <v>15.80000000000004</v>
      </c>
      <c r="BC781" s="56">
        <v>18.200000000000038</v>
      </c>
      <c r="BD781" s="62">
        <v>29.94000000000003</v>
      </c>
      <c r="BF781" s="64">
        <v>2.9131396833333341</v>
      </c>
      <c r="BG781" s="56">
        <v>19.759999999999959</v>
      </c>
      <c r="BH781" s="56">
        <v>26.619999999999951</v>
      </c>
      <c r="BI781" s="62">
        <v>57.059999999999981</v>
      </c>
      <c r="BJ781" s="70"/>
      <c r="BK781" s="51"/>
    </row>
    <row r="782" spans="1:63" x14ac:dyDescent="0.4">
      <c r="A782" s="11" t="s">
        <v>859</v>
      </c>
      <c r="B782" s="4"/>
      <c r="C782" s="4"/>
      <c r="D782" s="4"/>
      <c r="E782" s="12"/>
      <c r="G782" s="147" t="s">
        <v>859</v>
      </c>
      <c r="H782" s="159">
        <v>69.965000000000003</v>
      </c>
      <c r="I782" s="153">
        <v>70.31</v>
      </c>
      <c r="J782" s="153">
        <v>70.27</v>
      </c>
      <c r="K782" s="153">
        <v>70.27</v>
      </c>
      <c r="L782" s="153">
        <v>70.38</v>
      </c>
      <c r="M782" s="80">
        <f t="shared" si="24"/>
        <v>70.38</v>
      </c>
      <c r="N782" s="80">
        <f t="shared" si="25"/>
        <v>70.27</v>
      </c>
      <c r="O782" s="153">
        <v>21.2</v>
      </c>
      <c r="P782" s="153">
        <v>21.02</v>
      </c>
      <c r="Q782" s="153">
        <v>21.13</v>
      </c>
      <c r="R782" s="153">
        <v>21.1</v>
      </c>
      <c r="S782" s="4"/>
      <c r="U782" s="147" t="s">
        <v>859</v>
      </c>
      <c r="V782" s="11"/>
      <c r="W782" s="4"/>
      <c r="X782" s="12"/>
      <c r="Y782" s="14"/>
      <c r="Z782" s="4"/>
      <c r="AA782" s="13"/>
      <c r="AB782" s="11"/>
      <c r="AC782" s="4"/>
      <c r="AD782" s="12"/>
      <c r="AE782" s="13"/>
      <c r="AF782" s="14">
        <v>5.0267999999999997</v>
      </c>
      <c r="AG782" s="133"/>
      <c r="AI782" s="84"/>
      <c r="AL782" s="64">
        <v>4.1737510499999999</v>
      </c>
      <c r="AM782" s="56">
        <v>13.52000000000011</v>
      </c>
      <c r="AN782" s="56">
        <v>15.440000000000079</v>
      </c>
      <c r="AO782" s="62">
        <v>21.419999999999991</v>
      </c>
      <c r="AQ782" s="64">
        <v>4.0823592500000014</v>
      </c>
      <c r="AR782" s="56">
        <v>13.29999999999991</v>
      </c>
      <c r="AS782" s="56">
        <v>14.700000000000021</v>
      </c>
      <c r="AT782" s="62">
        <v>18.599999999999991</v>
      </c>
      <c r="AV782" s="64">
        <v>3.7292933666666661</v>
      </c>
      <c r="AW782" s="56">
        <v>13.03999999999998</v>
      </c>
      <c r="AX782" s="56">
        <v>14.48</v>
      </c>
      <c r="AY782" s="62">
        <v>19.059999999999992</v>
      </c>
      <c r="BA782" s="64">
        <v>3.1866606000000002</v>
      </c>
      <c r="BB782" s="56">
        <v>15.660000000000011</v>
      </c>
      <c r="BC782" s="56">
        <v>18.02000000000001</v>
      </c>
      <c r="BD782" s="62">
        <v>29.61999999999998</v>
      </c>
      <c r="BF782" s="64">
        <v>2.9106863666666669</v>
      </c>
      <c r="BG782" s="56">
        <v>19.620000000000019</v>
      </c>
      <c r="BH782" s="56">
        <v>26.41999999999998</v>
      </c>
      <c r="BI782" s="62">
        <v>56.960000000000029</v>
      </c>
      <c r="BJ782" s="70"/>
      <c r="BK782" s="51"/>
    </row>
    <row r="783" spans="1:63" x14ac:dyDescent="0.4">
      <c r="A783" s="11" t="s">
        <v>860</v>
      </c>
      <c r="B783" s="4"/>
      <c r="C783" s="4"/>
      <c r="D783" s="4"/>
      <c r="E783" s="12"/>
      <c r="G783" s="147" t="s">
        <v>860</v>
      </c>
      <c r="H783" s="159">
        <v>69.924999999999997</v>
      </c>
      <c r="I783" s="153">
        <v>70.31</v>
      </c>
      <c r="J783" s="153">
        <v>70.34</v>
      </c>
      <c r="K783" s="153">
        <v>70.31</v>
      </c>
      <c r="L783" s="153">
        <v>70.39</v>
      </c>
      <c r="M783" s="80">
        <f t="shared" si="24"/>
        <v>70.39</v>
      </c>
      <c r="N783" s="80">
        <f t="shared" si="25"/>
        <v>70.31</v>
      </c>
      <c r="O783" s="153">
        <v>21.16</v>
      </c>
      <c r="P783" s="153">
        <v>21.04</v>
      </c>
      <c r="Q783" s="153">
        <v>21.16</v>
      </c>
      <c r="R783" s="153">
        <v>21.1</v>
      </c>
      <c r="S783" s="4"/>
      <c r="U783" s="147" t="s">
        <v>860</v>
      </c>
      <c r="V783" s="11"/>
      <c r="W783" s="4"/>
      <c r="X783" s="12"/>
      <c r="Y783" s="14"/>
      <c r="Z783" s="4"/>
      <c r="AA783" s="13"/>
      <c r="AB783" s="11"/>
      <c r="AC783" s="4"/>
      <c r="AD783" s="12"/>
      <c r="AE783" s="13"/>
      <c r="AF783" s="14">
        <v>5.0350999999999999</v>
      </c>
      <c r="AG783" s="133"/>
      <c r="AI783" s="84"/>
      <c r="AL783" s="64">
        <v>4.1730056166666669</v>
      </c>
      <c r="AM783" s="56">
        <v>13.439999999999941</v>
      </c>
      <c r="AN783" s="56">
        <v>15.33999999999995</v>
      </c>
      <c r="AO783" s="62">
        <v>21.32000000000005</v>
      </c>
      <c r="AQ783" s="64">
        <v>4.0837962999999986</v>
      </c>
      <c r="AR783" s="56">
        <v>13.51999999999993</v>
      </c>
      <c r="AS783" s="56">
        <v>14.94</v>
      </c>
      <c r="AT783" s="62">
        <v>18.84000000000006</v>
      </c>
      <c r="AV783" s="64">
        <v>3.7306815000000002</v>
      </c>
      <c r="AW783" s="56">
        <v>13.26000000000001</v>
      </c>
      <c r="AX783" s="56">
        <v>14.67999999999998</v>
      </c>
      <c r="AY783" s="62">
        <v>19.32</v>
      </c>
      <c r="BA783" s="64">
        <v>3.1883074166666669</v>
      </c>
      <c r="BB783" s="56">
        <v>15.899999999999981</v>
      </c>
      <c r="BC783" s="56">
        <v>18.259999999999991</v>
      </c>
      <c r="BD783" s="62">
        <v>29.919999999999991</v>
      </c>
      <c r="BF783" s="64">
        <v>2.9177769166666669</v>
      </c>
      <c r="BG783" s="56">
        <v>19.879999999999939</v>
      </c>
      <c r="BH783" s="56">
        <v>26.619999999999951</v>
      </c>
      <c r="BI783" s="62">
        <v>56.700000000000017</v>
      </c>
      <c r="BJ783" s="70"/>
      <c r="BK783" s="51"/>
    </row>
    <row r="784" spans="1:63" x14ac:dyDescent="0.4">
      <c r="A784" s="11" t="s">
        <v>861</v>
      </c>
      <c r="B784" s="4"/>
      <c r="C784" s="4"/>
      <c r="D784" s="4"/>
      <c r="E784" s="12"/>
      <c r="G784" s="147" t="s">
        <v>861</v>
      </c>
      <c r="H784" s="159">
        <v>70.012</v>
      </c>
      <c r="I784" s="153">
        <v>70.3</v>
      </c>
      <c r="J784" s="153">
        <v>70.33</v>
      </c>
      <c r="K784" s="153">
        <v>70.38</v>
      </c>
      <c r="L784" s="153">
        <v>70.38</v>
      </c>
      <c r="M784" s="80">
        <f t="shared" si="24"/>
        <v>70.38</v>
      </c>
      <c r="N784" s="80">
        <f t="shared" si="25"/>
        <v>70.3</v>
      </c>
      <c r="O784" s="153">
        <v>21.17</v>
      </c>
      <c r="P784" s="153">
        <v>21.12</v>
      </c>
      <c r="Q784" s="153">
        <v>21.14</v>
      </c>
      <c r="R784" s="153">
        <v>21.13</v>
      </c>
      <c r="S784" s="4"/>
      <c r="U784" s="147" t="s">
        <v>861</v>
      </c>
      <c r="V784" s="11"/>
      <c r="W784" s="4"/>
      <c r="X784" s="12"/>
      <c r="Y784" s="14"/>
      <c r="Z784" s="4"/>
      <c r="AA784" s="13"/>
      <c r="AB784" s="11"/>
      <c r="AC784" s="4"/>
      <c r="AD784" s="12"/>
      <c r="AE784" s="13"/>
      <c r="AF784" s="14">
        <v>5.032</v>
      </c>
      <c r="AG784" s="133"/>
      <c r="AI784" s="84"/>
      <c r="AL784" s="64">
        <v>4.1734287500000002</v>
      </c>
      <c r="AM784" s="56">
        <v>13.49999999999998</v>
      </c>
      <c r="AN784" s="56">
        <v>15.39999999999999</v>
      </c>
      <c r="AO784" s="62">
        <v>21.380000000000091</v>
      </c>
      <c r="AQ784" s="64">
        <v>4.0811565666666674</v>
      </c>
      <c r="AR784" s="56">
        <v>12.999999999999901</v>
      </c>
      <c r="AS784" s="56">
        <v>14.35999999999993</v>
      </c>
      <c r="AT784" s="62">
        <v>18.19999999999995</v>
      </c>
      <c r="AV784" s="64">
        <v>3.7284266666666661</v>
      </c>
      <c r="AW784" s="56">
        <v>12.599999999999939</v>
      </c>
      <c r="AX784" s="56">
        <v>13.980000000000009</v>
      </c>
      <c r="AY784" s="62">
        <v>18.499999999999961</v>
      </c>
      <c r="BA784" s="64">
        <v>3.187598949999999</v>
      </c>
      <c r="BB784" s="56">
        <v>14.86000000000001</v>
      </c>
      <c r="BC784" s="56">
        <v>17.20000000000006</v>
      </c>
      <c r="BD784" s="62">
        <v>28.560000000000048</v>
      </c>
      <c r="BF784" s="64">
        <v>2.9075228499999999</v>
      </c>
      <c r="BG784" s="56">
        <v>18.880000000000049</v>
      </c>
      <c r="BH784" s="56">
        <v>25.780000000000051</v>
      </c>
      <c r="BI784" s="62">
        <v>56.899999999999991</v>
      </c>
      <c r="BJ784" s="70"/>
      <c r="BK784" s="51"/>
    </row>
    <row r="785" spans="1:63" x14ac:dyDescent="0.4">
      <c r="A785" s="11" t="s">
        <v>862</v>
      </c>
      <c r="B785" s="4"/>
      <c r="C785" s="4"/>
      <c r="D785" s="4"/>
      <c r="E785" s="12"/>
      <c r="G785" s="147" t="s">
        <v>862</v>
      </c>
      <c r="H785" s="159">
        <v>70.08</v>
      </c>
      <c r="I785" s="153">
        <v>70.290000000000006</v>
      </c>
      <c r="J785" s="153">
        <v>70.37</v>
      </c>
      <c r="K785" s="153">
        <v>70.33</v>
      </c>
      <c r="L785" s="153">
        <v>70.33</v>
      </c>
      <c r="M785" s="80">
        <f t="shared" si="24"/>
        <v>70.37</v>
      </c>
      <c r="N785" s="80">
        <f t="shared" si="25"/>
        <v>70.290000000000006</v>
      </c>
      <c r="O785" s="153">
        <v>21.14</v>
      </c>
      <c r="P785" s="153">
        <v>21.11</v>
      </c>
      <c r="Q785" s="153">
        <v>21.12</v>
      </c>
      <c r="R785" s="153">
        <v>21.05</v>
      </c>
      <c r="S785" s="4"/>
      <c r="U785" s="147" t="s">
        <v>862</v>
      </c>
      <c r="V785" s="11"/>
      <c r="W785" s="4"/>
      <c r="X785" s="12"/>
      <c r="Y785" s="14"/>
      <c r="Z785" s="4"/>
      <c r="AA785" s="13"/>
      <c r="AB785" s="11"/>
      <c r="AC785" s="4"/>
      <c r="AD785" s="12"/>
      <c r="AE785" s="13"/>
      <c r="AF785" s="14">
        <v>5.0170000000000003</v>
      </c>
      <c r="AG785" s="133"/>
      <c r="AI785" s="84"/>
      <c r="AL785" s="64">
        <v>4.1732065166666663</v>
      </c>
      <c r="AM785" s="56">
        <v>13.69999999999987</v>
      </c>
      <c r="AN785" s="56">
        <v>15.579999999999931</v>
      </c>
      <c r="AO785" s="62">
        <v>21.55999999999985</v>
      </c>
      <c r="AQ785" s="64">
        <v>4.0809734666666673</v>
      </c>
      <c r="AR785" s="56">
        <v>13.100000000000019</v>
      </c>
      <c r="AS785" s="56">
        <v>14.48</v>
      </c>
      <c r="AT785" s="62">
        <v>18.32000000000011</v>
      </c>
      <c r="AV785" s="64">
        <v>3.7277003333333329</v>
      </c>
      <c r="AW785" s="56">
        <v>12.71999999999993</v>
      </c>
      <c r="AX785" s="56">
        <v>14.099999999999911</v>
      </c>
      <c r="AY785" s="62">
        <v>18.65999999999994</v>
      </c>
      <c r="BA785" s="64">
        <v>3.1849137833333332</v>
      </c>
      <c r="BB785" s="56">
        <v>15.09999999999998</v>
      </c>
      <c r="BC785" s="56">
        <v>17.45999999999999</v>
      </c>
      <c r="BD785" s="62">
        <v>28.939999999999969</v>
      </c>
      <c r="BF785" s="64">
        <v>2.9033280499999998</v>
      </c>
      <c r="BG785" s="56">
        <v>19.100000000000069</v>
      </c>
      <c r="BH785" s="56">
        <v>26.120000000000051</v>
      </c>
      <c r="BI785" s="62">
        <v>57.779999999999987</v>
      </c>
      <c r="BJ785" s="70"/>
      <c r="BK785" s="51"/>
    </row>
    <row r="786" spans="1:63" x14ac:dyDescent="0.4">
      <c r="A786" s="11" t="s">
        <v>863</v>
      </c>
      <c r="B786" s="4"/>
      <c r="C786" s="4"/>
      <c r="D786" s="4"/>
      <c r="E786" s="12"/>
      <c r="G786" s="147" t="s">
        <v>863</v>
      </c>
      <c r="H786" s="159">
        <v>70.147999999999996</v>
      </c>
      <c r="I786" s="153">
        <v>70.290000000000006</v>
      </c>
      <c r="J786" s="153">
        <v>70.28</v>
      </c>
      <c r="K786" s="153">
        <v>70.36</v>
      </c>
      <c r="L786" s="153">
        <v>70.33</v>
      </c>
      <c r="M786" s="80">
        <f t="shared" si="24"/>
        <v>70.36</v>
      </c>
      <c r="N786" s="80">
        <f t="shared" si="25"/>
        <v>70.28</v>
      </c>
      <c r="O786" s="153">
        <v>21.13</v>
      </c>
      <c r="P786" s="153">
        <v>21.16</v>
      </c>
      <c r="Q786" s="153">
        <v>21.12</v>
      </c>
      <c r="R786" s="153">
        <v>21.02</v>
      </c>
      <c r="S786" s="4"/>
      <c r="U786" s="147" t="s">
        <v>863</v>
      </c>
      <c r="V786" s="11"/>
      <c r="W786" s="4"/>
      <c r="X786" s="12"/>
      <c r="Y786" s="14"/>
      <c r="Z786" s="4"/>
      <c r="AA786" s="13"/>
      <c r="AB786" s="11"/>
      <c r="AC786" s="4"/>
      <c r="AD786" s="12"/>
      <c r="AE786" s="13"/>
      <c r="AF786" s="14">
        <v>5.0309999999999997</v>
      </c>
      <c r="AG786" s="133"/>
      <c r="AI786" s="84"/>
      <c r="AL786" s="64">
        <v>4.1731770333333333</v>
      </c>
      <c r="AM786" s="56">
        <v>14.48</v>
      </c>
      <c r="AN786" s="56">
        <v>16.460000000000012</v>
      </c>
      <c r="AO786" s="62">
        <v>22.379999999999889</v>
      </c>
      <c r="AQ786" s="64">
        <v>4.0810796500000004</v>
      </c>
      <c r="AR786" s="56">
        <v>14.08000000000005</v>
      </c>
      <c r="AS786" s="56">
        <v>15.55999999999997</v>
      </c>
      <c r="AT786" s="62">
        <v>19.680000000000049</v>
      </c>
      <c r="AV786" s="64">
        <v>3.7283216333333331</v>
      </c>
      <c r="AW786" s="56">
        <v>13.54000000000006</v>
      </c>
      <c r="AX786" s="56">
        <v>15.019999999999991</v>
      </c>
      <c r="AY786" s="62">
        <v>19.760000000000041</v>
      </c>
      <c r="BA786" s="64">
        <v>3.1854388500000002</v>
      </c>
      <c r="BB786" s="56">
        <v>16.199999999999989</v>
      </c>
      <c r="BC786" s="56">
        <v>18.660000000000029</v>
      </c>
      <c r="BD786" s="62">
        <v>30.6</v>
      </c>
      <c r="BF786" s="64">
        <v>2.9280027500000001</v>
      </c>
      <c r="BG786" s="56">
        <v>20.26000000000003</v>
      </c>
      <c r="BH786" s="56">
        <v>27.34000000000005</v>
      </c>
      <c r="BI786" s="62">
        <v>57.42000000000003</v>
      </c>
      <c r="BJ786" s="70"/>
      <c r="BK786" s="51"/>
    </row>
    <row r="787" spans="1:63" x14ac:dyDescent="0.4">
      <c r="A787" s="11" t="s">
        <v>864</v>
      </c>
      <c r="B787" s="4"/>
      <c r="C787" s="4"/>
      <c r="D787" s="4"/>
      <c r="E787" s="12"/>
      <c r="G787" s="147" t="s">
        <v>864</v>
      </c>
      <c r="H787" s="159">
        <v>70.141999999999996</v>
      </c>
      <c r="I787" s="153">
        <v>70.33</v>
      </c>
      <c r="J787" s="153">
        <v>70.36</v>
      </c>
      <c r="K787" s="153">
        <v>70.37</v>
      </c>
      <c r="L787" s="153">
        <v>70.290000000000006</v>
      </c>
      <c r="M787" s="80">
        <f t="shared" si="24"/>
        <v>70.37</v>
      </c>
      <c r="N787" s="80">
        <f t="shared" si="25"/>
        <v>70.290000000000006</v>
      </c>
      <c r="O787" s="153">
        <v>21.19</v>
      </c>
      <c r="P787" s="153">
        <v>21.06</v>
      </c>
      <c r="Q787" s="153">
        <v>21.14</v>
      </c>
      <c r="R787" s="153">
        <v>21.02</v>
      </c>
      <c r="S787" s="4"/>
      <c r="U787" s="147" t="s">
        <v>864</v>
      </c>
      <c r="V787" s="11"/>
      <c r="W787" s="4"/>
      <c r="X787" s="12"/>
      <c r="Y787" s="14"/>
      <c r="Z787" s="4"/>
      <c r="AA787" s="13"/>
      <c r="AB787" s="11"/>
      <c r="AC787" s="4"/>
      <c r="AD787" s="12"/>
      <c r="AE787" s="13"/>
      <c r="AF787" s="14">
        <v>5.0266000000000002</v>
      </c>
      <c r="AG787" s="133"/>
      <c r="AI787" s="84"/>
      <c r="AL787" s="64">
        <v>4.1727985333333333</v>
      </c>
      <c r="AM787" s="56">
        <v>14.499999999999959</v>
      </c>
      <c r="AN787" s="56">
        <v>16.479999999999961</v>
      </c>
      <c r="AO787" s="62">
        <v>22.599999999999909</v>
      </c>
      <c r="AQ787" s="64">
        <v>4.0816635833333326</v>
      </c>
      <c r="AR787" s="56">
        <v>14.15999999999986</v>
      </c>
      <c r="AS787" s="56">
        <v>15.63999999999997</v>
      </c>
      <c r="AT787" s="62">
        <v>19.759999999999959</v>
      </c>
      <c r="AV787" s="64">
        <v>3.72979035</v>
      </c>
      <c r="AW787" s="56">
        <v>13.44000000000003</v>
      </c>
      <c r="AX787" s="56">
        <v>14.9</v>
      </c>
      <c r="AY787" s="62">
        <v>19.620000000000019</v>
      </c>
      <c r="BA787" s="64">
        <v>3.1901747833333332</v>
      </c>
      <c r="BB787" s="56">
        <v>15.899999999999981</v>
      </c>
      <c r="BC787" s="56">
        <v>18.320000000000029</v>
      </c>
      <c r="BD787" s="62">
        <v>29.980000000000029</v>
      </c>
      <c r="BF787" s="64">
        <v>2.923016983333333</v>
      </c>
      <c r="BG787" s="56">
        <v>20.14000000000005</v>
      </c>
      <c r="BH787" s="56">
        <v>27.02</v>
      </c>
      <c r="BI787" s="62">
        <v>56.940000000000083</v>
      </c>
      <c r="BJ787" s="70"/>
      <c r="BK787" s="51"/>
    </row>
    <row r="788" spans="1:63" x14ac:dyDescent="0.4">
      <c r="A788" s="11" t="s">
        <v>865</v>
      </c>
      <c r="B788" s="4"/>
      <c r="C788" s="4"/>
      <c r="D788" s="4"/>
      <c r="E788" s="12"/>
      <c r="G788" s="147" t="s">
        <v>865</v>
      </c>
      <c r="H788" s="159">
        <v>70.082999999999998</v>
      </c>
      <c r="I788" s="153">
        <v>70.349999999999994</v>
      </c>
      <c r="J788" s="153">
        <v>70.290000000000006</v>
      </c>
      <c r="K788" s="153">
        <v>70.37</v>
      </c>
      <c r="L788" s="153">
        <v>70.36</v>
      </c>
      <c r="M788" s="80">
        <f t="shared" si="24"/>
        <v>70.37</v>
      </c>
      <c r="N788" s="80">
        <f t="shared" si="25"/>
        <v>70.290000000000006</v>
      </c>
      <c r="O788" s="153">
        <v>21.16</v>
      </c>
      <c r="P788" s="153">
        <v>21.09</v>
      </c>
      <c r="Q788" s="153">
        <v>21.12</v>
      </c>
      <c r="R788" s="153">
        <v>21.06</v>
      </c>
      <c r="S788" s="4"/>
      <c r="U788" s="147" t="s">
        <v>865</v>
      </c>
      <c r="V788" s="11"/>
      <c r="W788" s="4"/>
      <c r="X788" s="12"/>
      <c r="Y788" s="14"/>
      <c r="Z788" s="4"/>
      <c r="AA788" s="13"/>
      <c r="AB788" s="11"/>
      <c r="AC788" s="4"/>
      <c r="AD788" s="12"/>
      <c r="AE788" s="13"/>
      <c r="AF788" s="14">
        <v>5.0221</v>
      </c>
      <c r="AG788" s="133"/>
      <c r="AI788" s="84"/>
      <c r="AL788" s="64">
        <v>4.1731193499999986</v>
      </c>
      <c r="AM788" s="56">
        <v>14.179999999999991</v>
      </c>
      <c r="AN788" s="56">
        <v>16.16</v>
      </c>
      <c r="AO788" s="62">
        <v>22.19999999999995</v>
      </c>
      <c r="AQ788" s="64">
        <v>4.0825282166666659</v>
      </c>
      <c r="AR788" s="56">
        <v>13.85999999999985</v>
      </c>
      <c r="AS788" s="56">
        <v>15.32</v>
      </c>
      <c r="AT788" s="62">
        <v>19.339999999999961</v>
      </c>
      <c r="AV788" s="64">
        <v>3.7308973333333331</v>
      </c>
      <c r="AW788" s="56">
        <v>13.14000000000002</v>
      </c>
      <c r="AX788" s="56">
        <v>14.57999999999995</v>
      </c>
      <c r="AY788" s="62">
        <v>19.200000000000021</v>
      </c>
      <c r="BA788" s="64">
        <v>3.1917375333333342</v>
      </c>
      <c r="BB788" s="56">
        <v>15.36</v>
      </c>
      <c r="BC788" s="56">
        <v>17.72</v>
      </c>
      <c r="BD788" s="62">
        <v>29.240000000000069</v>
      </c>
      <c r="BF788" s="64">
        <v>2.9227083500000002</v>
      </c>
      <c r="BG788" s="56">
        <v>19.439999999999991</v>
      </c>
      <c r="BH788" s="56">
        <v>26.29999999999999</v>
      </c>
      <c r="BI788" s="62">
        <v>56.400000000000013</v>
      </c>
      <c r="BJ788" s="70"/>
      <c r="BK788" s="51"/>
    </row>
    <row r="789" spans="1:63" x14ac:dyDescent="0.4">
      <c r="A789" s="11" t="s">
        <v>866</v>
      </c>
      <c r="B789" s="4"/>
      <c r="C789" s="4"/>
      <c r="D789" s="4"/>
      <c r="E789" s="12"/>
      <c r="G789" s="147" t="s">
        <v>866</v>
      </c>
      <c r="H789" s="159">
        <v>70.085999999999999</v>
      </c>
      <c r="I789" s="153">
        <v>70.39</v>
      </c>
      <c r="J789" s="153">
        <v>70.28</v>
      </c>
      <c r="K789" s="153">
        <v>70.28</v>
      </c>
      <c r="L789" s="153">
        <v>70.31</v>
      </c>
      <c r="M789" s="80">
        <f t="shared" si="24"/>
        <v>70.39</v>
      </c>
      <c r="N789" s="80">
        <f t="shared" si="25"/>
        <v>70.28</v>
      </c>
      <c r="O789" s="153">
        <v>21.21</v>
      </c>
      <c r="P789" s="153">
        <v>21.03</v>
      </c>
      <c r="Q789" s="153">
        <v>21.16</v>
      </c>
      <c r="R789" s="153">
        <v>21.09</v>
      </c>
      <c r="S789" s="4"/>
      <c r="U789" s="147" t="s">
        <v>866</v>
      </c>
      <c r="V789" s="11"/>
      <c r="W789" s="4"/>
      <c r="X789" s="12"/>
      <c r="Y789" s="14"/>
      <c r="Z789" s="4"/>
      <c r="AA789" s="13"/>
      <c r="AB789" s="11"/>
      <c r="AC789" s="4"/>
      <c r="AD789" s="12"/>
      <c r="AE789" s="13"/>
      <c r="AF789" s="14">
        <v>5.0171999999999999</v>
      </c>
      <c r="AG789" s="133"/>
      <c r="AI789" s="84"/>
      <c r="AL789" s="64">
        <v>4.1731202999999999</v>
      </c>
      <c r="AM789" s="56">
        <v>13.91999999999989</v>
      </c>
      <c r="AN789" s="56">
        <v>15.859999999999991</v>
      </c>
      <c r="AO789" s="62">
        <v>21.860000000000031</v>
      </c>
      <c r="AQ789" s="64">
        <v>4.0822680666666677</v>
      </c>
      <c r="AR789" s="56">
        <v>13.640000000000009</v>
      </c>
      <c r="AS789" s="56">
        <v>15.08000000000003</v>
      </c>
      <c r="AT789" s="62">
        <v>19.139999999999979</v>
      </c>
      <c r="AV789" s="64">
        <v>3.7300738999999989</v>
      </c>
      <c r="AW789" s="56">
        <v>13.160000000000061</v>
      </c>
      <c r="AX789" s="56">
        <v>14.60000000000008</v>
      </c>
      <c r="AY789" s="62">
        <v>19.280000000000008</v>
      </c>
      <c r="BA789" s="64">
        <v>3.1882599833333329</v>
      </c>
      <c r="BB789" s="56">
        <v>15.880000000000029</v>
      </c>
      <c r="BC789" s="56">
        <v>18.299999999999979</v>
      </c>
      <c r="BD789" s="62">
        <v>30.07999999999997</v>
      </c>
      <c r="BF789" s="64">
        <v>2.9244116833333331</v>
      </c>
      <c r="BG789" s="56">
        <v>20.14000000000005</v>
      </c>
      <c r="BH789" s="56">
        <v>27.040000000000038</v>
      </c>
      <c r="BI789" s="62">
        <v>57.08000000000002</v>
      </c>
      <c r="BJ789" s="69"/>
      <c r="BK789" s="51"/>
    </row>
    <row r="790" spans="1:63" x14ac:dyDescent="0.4">
      <c r="A790" s="11" t="s">
        <v>867</v>
      </c>
      <c r="B790" s="4"/>
      <c r="C790" s="4"/>
      <c r="D790" s="4"/>
      <c r="E790" s="12"/>
      <c r="G790" s="147" t="s">
        <v>867</v>
      </c>
      <c r="H790" s="159">
        <v>70.016000000000005</v>
      </c>
      <c r="I790" s="153">
        <v>70.3</v>
      </c>
      <c r="J790" s="153">
        <v>70.3</v>
      </c>
      <c r="K790" s="153">
        <v>70.39</v>
      </c>
      <c r="L790" s="153">
        <v>70.3</v>
      </c>
      <c r="M790" s="80">
        <f t="shared" si="24"/>
        <v>70.39</v>
      </c>
      <c r="N790" s="80">
        <f t="shared" si="25"/>
        <v>70.3</v>
      </c>
      <c r="O790" s="153">
        <v>21.14</v>
      </c>
      <c r="P790" s="153">
        <v>21.09</v>
      </c>
      <c r="Q790" s="153">
        <v>21.15</v>
      </c>
      <c r="R790" s="153">
        <v>21.06</v>
      </c>
      <c r="S790" s="4"/>
      <c r="U790" s="147" t="s">
        <v>867</v>
      </c>
      <c r="V790" s="11"/>
      <c r="W790" s="4"/>
      <c r="X790" s="12"/>
      <c r="Y790" s="14"/>
      <c r="Z790" s="4"/>
      <c r="AA790" s="13"/>
      <c r="AB790" s="11"/>
      <c r="AC790" s="4"/>
      <c r="AD790" s="12"/>
      <c r="AE790" s="13"/>
      <c r="AF790" s="14">
        <v>5.0101000000000004</v>
      </c>
      <c r="AG790" s="133"/>
      <c r="AI790" s="84"/>
      <c r="AL790" s="64">
        <v>4.173194183333333</v>
      </c>
      <c r="AM790" s="56">
        <v>14.459999999999869</v>
      </c>
      <c r="AN790" s="56">
        <v>16.43999999999988</v>
      </c>
      <c r="AO790" s="62">
        <v>22.43999999999993</v>
      </c>
      <c r="AQ790" s="64">
        <v>4.0813200333333324</v>
      </c>
      <c r="AR790" s="56">
        <v>14.20000000000012</v>
      </c>
      <c r="AS790" s="56">
        <v>15.680000000000049</v>
      </c>
      <c r="AT790" s="62">
        <v>19.80000000000004</v>
      </c>
      <c r="AV790" s="64">
        <v>3.7285629833333331</v>
      </c>
      <c r="AW790" s="56">
        <v>13.56000000000002</v>
      </c>
      <c r="AX790" s="56">
        <v>15.040000000000029</v>
      </c>
      <c r="AY790" s="62">
        <v>19.81999999999999</v>
      </c>
      <c r="BA790" s="64">
        <v>3.18586035</v>
      </c>
      <c r="BB790" s="56">
        <v>16.219999999999949</v>
      </c>
      <c r="BC790" s="56">
        <v>18.679999999999989</v>
      </c>
      <c r="BD790" s="62">
        <v>30.579999999999959</v>
      </c>
      <c r="BF790" s="64">
        <v>2.923477516666666</v>
      </c>
      <c r="BG790" s="56">
        <v>20.439999999999969</v>
      </c>
      <c r="BH790" s="56">
        <v>27.519999999999989</v>
      </c>
      <c r="BI790" s="62">
        <v>57.979999999999961</v>
      </c>
      <c r="BJ790" s="69"/>
      <c r="BK790" s="51"/>
    </row>
    <row r="791" spans="1:63" x14ac:dyDescent="0.4">
      <c r="A791" s="11" t="s">
        <v>868</v>
      </c>
      <c r="B791" s="4"/>
      <c r="C791" s="4"/>
      <c r="D791" s="4"/>
      <c r="E791" s="12"/>
      <c r="G791" s="147" t="s">
        <v>868</v>
      </c>
      <c r="H791" s="159">
        <v>70.052000000000007</v>
      </c>
      <c r="I791" s="153">
        <v>70.31</v>
      </c>
      <c r="J791" s="153">
        <v>70.37</v>
      </c>
      <c r="K791" s="153">
        <v>70.33</v>
      </c>
      <c r="L791" s="153">
        <v>70.37</v>
      </c>
      <c r="M791" s="80">
        <f t="shared" si="24"/>
        <v>70.37</v>
      </c>
      <c r="N791" s="80">
        <f t="shared" si="25"/>
        <v>70.31</v>
      </c>
      <c r="O791" s="153">
        <v>21.18</v>
      </c>
      <c r="P791" s="153">
        <v>21.12</v>
      </c>
      <c r="Q791" s="153">
        <v>21.12</v>
      </c>
      <c r="R791" s="153">
        <v>21.02</v>
      </c>
      <c r="S791" s="4"/>
      <c r="U791" s="147" t="s">
        <v>868</v>
      </c>
      <c r="V791" s="11"/>
      <c r="W791" s="4"/>
      <c r="X791" s="12"/>
      <c r="Y791" s="14"/>
      <c r="Z791" s="4"/>
      <c r="AA791" s="13"/>
      <c r="AB791" s="11"/>
      <c r="AC791" s="4"/>
      <c r="AD791" s="12"/>
      <c r="AE791" s="13"/>
      <c r="AF791" s="14">
        <v>5.0147000000000004</v>
      </c>
      <c r="AG791" s="133"/>
      <c r="AI791" s="84"/>
      <c r="AL791" s="64">
        <v>4.1736479833333338</v>
      </c>
      <c r="AM791" s="56">
        <v>14.739999999999929</v>
      </c>
      <c r="AN791" s="56">
        <v>16.739999999999888</v>
      </c>
      <c r="AO791" s="62">
        <v>22.779999999999841</v>
      </c>
      <c r="AQ791" s="64">
        <v>4.081619550000001</v>
      </c>
      <c r="AR791" s="56">
        <v>14.24000000000003</v>
      </c>
      <c r="AS791" s="56">
        <v>15.71999999999996</v>
      </c>
      <c r="AT791" s="62">
        <v>19.83999999999995</v>
      </c>
      <c r="AV791" s="64">
        <v>3.7288800833333329</v>
      </c>
      <c r="AW791" s="56">
        <v>13.759999999999989</v>
      </c>
      <c r="AX791" s="56">
        <v>15.240000000000011</v>
      </c>
      <c r="AY791" s="62">
        <v>20.000000000000021</v>
      </c>
      <c r="BA791" s="64">
        <v>3.1862847333333328</v>
      </c>
      <c r="BB791" s="56">
        <v>16.739999999999981</v>
      </c>
      <c r="BC791" s="56">
        <v>19.25999999999997</v>
      </c>
      <c r="BD791" s="62">
        <v>31.299999999999969</v>
      </c>
      <c r="BF791" s="64">
        <v>2.92692555</v>
      </c>
      <c r="BG791" s="56">
        <v>20.939999999999959</v>
      </c>
      <c r="BH791" s="56">
        <v>28.139999999999969</v>
      </c>
      <c r="BI791" s="62">
        <v>58.46</v>
      </c>
      <c r="BJ791" s="70"/>
      <c r="BK791" s="51"/>
    </row>
    <row r="792" spans="1:63" x14ac:dyDescent="0.4">
      <c r="A792" s="11" t="s">
        <v>869</v>
      </c>
      <c r="B792" s="4"/>
      <c r="C792" s="4"/>
      <c r="D792" s="4"/>
      <c r="E792" s="12"/>
      <c r="G792" s="147" t="s">
        <v>869</v>
      </c>
      <c r="H792" s="159">
        <v>70.180000000000007</v>
      </c>
      <c r="I792" s="153">
        <v>70.28</v>
      </c>
      <c r="J792" s="153">
        <v>70.33</v>
      </c>
      <c r="K792" s="153">
        <v>70.27</v>
      </c>
      <c r="L792" s="153">
        <v>70.28</v>
      </c>
      <c r="M792" s="80">
        <f t="shared" si="24"/>
        <v>70.33</v>
      </c>
      <c r="N792" s="80">
        <f t="shared" si="25"/>
        <v>70.27</v>
      </c>
      <c r="O792" s="153">
        <v>21.15</v>
      </c>
      <c r="P792" s="153">
        <v>21.11</v>
      </c>
      <c r="Q792" s="153">
        <v>21.08</v>
      </c>
      <c r="R792" s="153">
        <v>21.06</v>
      </c>
      <c r="S792" s="4"/>
      <c r="U792" s="147" t="s">
        <v>869</v>
      </c>
      <c r="V792" s="11"/>
      <c r="W792" s="4"/>
      <c r="X792" s="12"/>
      <c r="Y792" s="14"/>
      <c r="Z792" s="4"/>
      <c r="AA792" s="13"/>
      <c r="AB792" s="11"/>
      <c r="AC792" s="4"/>
      <c r="AD792" s="12"/>
      <c r="AE792" s="13"/>
      <c r="AF792" s="14">
        <v>5.0319000000000003</v>
      </c>
      <c r="AG792" s="133"/>
      <c r="AI792" s="84"/>
      <c r="AL792" s="64">
        <v>4.1739879333333336</v>
      </c>
      <c r="AM792" s="56">
        <v>14.280000000000109</v>
      </c>
      <c r="AN792" s="56">
        <v>16.240000000000169</v>
      </c>
      <c r="AO792" s="62">
        <v>22.220000000000081</v>
      </c>
      <c r="AQ792" s="64">
        <v>4.081927499999999</v>
      </c>
      <c r="AR792" s="56">
        <v>13.899999999999929</v>
      </c>
      <c r="AS792" s="56">
        <v>15.359999999999911</v>
      </c>
      <c r="AT792" s="62">
        <v>19.399999999999999</v>
      </c>
      <c r="AV792" s="64">
        <v>3.7291030333333328</v>
      </c>
      <c r="AW792" s="56">
        <v>13.18000000000001</v>
      </c>
      <c r="AX792" s="56">
        <v>14.620000000000029</v>
      </c>
      <c r="AY792" s="62">
        <v>19.30000000000005</v>
      </c>
      <c r="BA792" s="64">
        <v>3.1855699</v>
      </c>
      <c r="BB792" s="56">
        <v>15.64000000000005</v>
      </c>
      <c r="BC792" s="56">
        <v>18.04000000000006</v>
      </c>
      <c r="BD792" s="62">
        <v>29.8</v>
      </c>
      <c r="BF792" s="64">
        <v>2.9200428</v>
      </c>
      <c r="BG792" s="56">
        <v>19.640000000000061</v>
      </c>
      <c r="BH792" s="56">
        <v>26.660000000000039</v>
      </c>
      <c r="BI792" s="62">
        <v>57.260000000000048</v>
      </c>
      <c r="BJ792" s="70"/>
      <c r="BK792" s="51"/>
    </row>
    <row r="793" spans="1:63" x14ac:dyDescent="0.4">
      <c r="A793" s="11" t="s">
        <v>870</v>
      </c>
      <c r="B793" s="4"/>
      <c r="C793" s="4"/>
      <c r="D793" s="4"/>
      <c r="E793" s="12"/>
      <c r="G793" s="147" t="s">
        <v>870</v>
      </c>
      <c r="H793" s="159">
        <v>70.117999999999995</v>
      </c>
      <c r="I793" s="153">
        <v>70.39</v>
      </c>
      <c r="J793" s="153">
        <v>70.290000000000006</v>
      </c>
      <c r="K793" s="153">
        <v>70.34</v>
      </c>
      <c r="L793" s="153">
        <v>70.319999999999993</v>
      </c>
      <c r="M793" s="80">
        <f t="shared" si="24"/>
        <v>70.39</v>
      </c>
      <c r="N793" s="80">
        <f t="shared" si="25"/>
        <v>70.290000000000006</v>
      </c>
      <c r="O793" s="153">
        <v>21.15</v>
      </c>
      <c r="P793" s="153">
        <v>21.1</v>
      </c>
      <c r="Q793" s="153">
        <v>21.1</v>
      </c>
      <c r="R793" s="153">
        <v>21.04</v>
      </c>
      <c r="S793" s="4"/>
      <c r="U793" s="147" t="s">
        <v>870</v>
      </c>
      <c r="V793" s="11"/>
      <c r="W793" s="4"/>
      <c r="X793" s="12"/>
      <c r="Y793" s="14"/>
      <c r="Z793" s="4"/>
      <c r="AA793" s="13"/>
      <c r="AB793" s="11"/>
      <c r="AC793" s="4"/>
      <c r="AD793" s="12"/>
      <c r="AE793" s="13"/>
      <c r="AF793" s="14">
        <v>5.0225</v>
      </c>
      <c r="AG793" s="133"/>
      <c r="AI793" s="84"/>
      <c r="AL793" s="64">
        <v>4.1736228666666673</v>
      </c>
      <c r="AM793" s="56">
        <v>14.119999999999949</v>
      </c>
      <c r="AN793" s="56">
        <v>16.059999999999871</v>
      </c>
      <c r="AO793" s="62">
        <v>22.159999999999869</v>
      </c>
      <c r="AQ793" s="64">
        <v>4.0821569333333327</v>
      </c>
      <c r="AR793" s="56">
        <v>13.79999999999999</v>
      </c>
      <c r="AS793" s="56">
        <v>15.28000000000009</v>
      </c>
      <c r="AT793" s="62">
        <v>19.280000000000101</v>
      </c>
      <c r="AV793" s="64">
        <v>3.7306498333333331</v>
      </c>
      <c r="AW793" s="56">
        <v>13.37999999999999</v>
      </c>
      <c r="AX793" s="56">
        <v>14.84000000000005</v>
      </c>
      <c r="AY793" s="62">
        <v>19.519999999999978</v>
      </c>
      <c r="BA793" s="64">
        <v>3.192986883333333</v>
      </c>
      <c r="BB793" s="56">
        <v>15.95999999999993</v>
      </c>
      <c r="BC793" s="56">
        <v>18.359999999999928</v>
      </c>
      <c r="BD793" s="62">
        <v>29.95999999999999</v>
      </c>
      <c r="BF793" s="64">
        <v>2.9249449666666671</v>
      </c>
      <c r="BG793" s="56">
        <v>20.12</v>
      </c>
      <c r="BH793" s="56">
        <v>27.040000000000038</v>
      </c>
      <c r="BI793" s="62">
        <v>56.940000000000083</v>
      </c>
      <c r="BJ793" s="69"/>
      <c r="BK793" s="51"/>
    </row>
    <row r="794" spans="1:63" x14ac:dyDescent="0.4">
      <c r="A794" s="11" t="s">
        <v>871</v>
      </c>
      <c r="B794" s="4"/>
      <c r="C794" s="4"/>
      <c r="D794" s="4"/>
      <c r="E794" s="12"/>
      <c r="G794" s="147" t="s">
        <v>871</v>
      </c>
      <c r="H794" s="159">
        <v>70.028999999999996</v>
      </c>
      <c r="I794" s="153">
        <v>70.319999999999993</v>
      </c>
      <c r="J794" s="153">
        <v>70.39</v>
      </c>
      <c r="K794" s="153">
        <v>70.27</v>
      </c>
      <c r="L794" s="153">
        <v>70.36</v>
      </c>
      <c r="M794" s="80">
        <f t="shared" si="24"/>
        <v>70.39</v>
      </c>
      <c r="N794" s="80">
        <f t="shared" si="25"/>
        <v>70.27</v>
      </c>
      <c r="O794" s="153">
        <v>21.11</v>
      </c>
      <c r="P794" s="153">
        <v>21.15</v>
      </c>
      <c r="Q794" s="153">
        <v>21.12</v>
      </c>
      <c r="R794" s="153">
        <v>21.11</v>
      </c>
      <c r="S794" s="4"/>
      <c r="U794" s="147" t="s">
        <v>871</v>
      </c>
      <c r="V794" s="11"/>
      <c r="W794" s="4"/>
      <c r="X794" s="12"/>
      <c r="Y794" s="14"/>
      <c r="Z794" s="4"/>
      <c r="AA794" s="13"/>
      <c r="AB794" s="11"/>
      <c r="AC794" s="4"/>
      <c r="AD794" s="12"/>
      <c r="AE794" s="13"/>
      <c r="AF794" s="14">
        <v>5.0129999999999999</v>
      </c>
      <c r="AG794" s="133"/>
      <c r="AI794" s="84"/>
      <c r="AL794" s="64">
        <v>4.1735501333333316</v>
      </c>
      <c r="AM794" s="56">
        <v>14.35999999999993</v>
      </c>
      <c r="AN794" s="56">
        <v>16.379999999999839</v>
      </c>
      <c r="AO794" s="62">
        <v>22.359999999999939</v>
      </c>
      <c r="AQ794" s="64">
        <v>4.0829623000000002</v>
      </c>
      <c r="AR794" s="56">
        <v>14.160000000000039</v>
      </c>
      <c r="AS794" s="56">
        <v>15.63999999999997</v>
      </c>
      <c r="AT794" s="62">
        <v>19.739999999999998</v>
      </c>
      <c r="AV794" s="64">
        <v>3.7305763500000002</v>
      </c>
      <c r="AW794" s="56">
        <v>13.26000000000001</v>
      </c>
      <c r="AX794" s="56">
        <v>14.700000000000021</v>
      </c>
      <c r="AY794" s="62">
        <v>19.36</v>
      </c>
      <c r="BA794" s="64">
        <v>3.1890255666666669</v>
      </c>
      <c r="BB794" s="56">
        <v>15.619999999999919</v>
      </c>
      <c r="BC794" s="56">
        <v>18.039999999999971</v>
      </c>
      <c r="BD794" s="62">
        <v>29.719999999999921</v>
      </c>
      <c r="BF794" s="64">
        <v>2.920416116666666</v>
      </c>
      <c r="BG794" s="56">
        <v>19.799999999999951</v>
      </c>
      <c r="BH794" s="56">
        <v>26.859999999999928</v>
      </c>
      <c r="BI794" s="62">
        <v>57.66</v>
      </c>
      <c r="BJ794" s="70"/>
      <c r="BK794" s="51"/>
    </row>
    <row r="795" spans="1:63" x14ac:dyDescent="0.4">
      <c r="A795" s="11" t="s">
        <v>872</v>
      </c>
      <c r="B795" s="4"/>
      <c r="C795" s="4"/>
      <c r="D795" s="4"/>
      <c r="E795" s="12"/>
      <c r="G795" s="147" t="s">
        <v>872</v>
      </c>
      <c r="H795" s="159">
        <v>70.076999999999998</v>
      </c>
      <c r="I795" s="153">
        <v>70.400000000000006</v>
      </c>
      <c r="J795" s="153">
        <v>70.34</v>
      </c>
      <c r="K795" s="153">
        <v>70.39</v>
      </c>
      <c r="L795" s="153">
        <v>70.28</v>
      </c>
      <c r="M795" s="80">
        <f t="shared" si="24"/>
        <v>70.400000000000006</v>
      </c>
      <c r="N795" s="80">
        <f t="shared" si="25"/>
        <v>70.28</v>
      </c>
      <c r="O795" s="153">
        <v>21.16</v>
      </c>
      <c r="P795" s="153">
        <v>21.12</v>
      </c>
      <c r="Q795" s="153">
        <v>21.17</v>
      </c>
      <c r="R795" s="153">
        <v>21.09</v>
      </c>
      <c r="S795" s="4"/>
      <c r="U795" s="147" t="s">
        <v>872</v>
      </c>
      <c r="V795" s="11"/>
      <c r="W795" s="4"/>
      <c r="X795" s="12"/>
      <c r="Y795" s="14"/>
      <c r="Z795" s="4"/>
      <c r="AA795" s="13"/>
      <c r="AB795" s="11"/>
      <c r="AC795" s="4"/>
      <c r="AD795" s="12"/>
      <c r="AE795" s="13"/>
      <c r="AF795" s="14">
        <v>5.0167000000000002</v>
      </c>
      <c r="AG795" s="133"/>
      <c r="AI795" s="84"/>
      <c r="AL795" s="64">
        <v>4.1732863166666663</v>
      </c>
      <c r="AM795" s="56">
        <v>14.48</v>
      </c>
      <c r="AN795" s="56">
        <v>16.480000000000139</v>
      </c>
      <c r="AO795" s="62">
        <v>22.36000000000011</v>
      </c>
      <c r="AQ795" s="64">
        <v>4.0813858500000011</v>
      </c>
      <c r="AR795" s="56">
        <v>14.140000000000089</v>
      </c>
      <c r="AS795" s="56">
        <v>15.640000000000139</v>
      </c>
      <c r="AT795" s="62">
        <v>19.720000000000049</v>
      </c>
      <c r="AV795" s="64">
        <v>3.728461616666666</v>
      </c>
      <c r="AW795" s="56">
        <v>13.480000000000031</v>
      </c>
      <c r="AX795" s="56">
        <v>14.959999999999949</v>
      </c>
      <c r="AY795" s="62">
        <v>19.660000000000011</v>
      </c>
      <c r="BA795" s="64">
        <v>3.184005716666666</v>
      </c>
      <c r="BB795" s="56">
        <v>16.460000000000012</v>
      </c>
      <c r="BC795" s="56">
        <v>18.98</v>
      </c>
      <c r="BD795" s="62">
        <v>31.02</v>
      </c>
      <c r="BF795" s="64">
        <v>2.924929366666666</v>
      </c>
      <c r="BG795" s="56">
        <v>20.58</v>
      </c>
      <c r="BH795" s="56">
        <v>27.660000000000021</v>
      </c>
      <c r="BI795" s="62">
        <v>57.880000000000017</v>
      </c>
      <c r="BJ795" s="70"/>
      <c r="BK795" s="51"/>
    </row>
    <row r="796" spans="1:63" x14ac:dyDescent="0.4">
      <c r="A796" s="11" t="s">
        <v>873</v>
      </c>
      <c r="B796" s="4"/>
      <c r="C796" s="4"/>
      <c r="D796" s="4"/>
      <c r="E796" s="12"/>
      <c r="G796" s="147" t="s">
        <v>873</v>
      </c>
      <c r="H796" s="159">
        <v>70.069999999999993</v>
      </c>
      <c r="I796" s="153">
        <v>70.319999999999993</v>
      </c>
      <c r="J796" s="153">
        <v>70.3</v>
      </c>
      <c r="K796" s="153">
        <v>70.37</v>
      </c>
      <c r="L796" s="153">
        <v>70.400000000000006</v>
      </c>
      <c r="M796" s="80">
        <f t="shared" si="24"/>
        <v>70.400000000000006</v>
      </c>
      <c r="N796" s="80">
        <f t="shared" si="25"/>
        <v>70.3</v>
      </c>
      <c r="O796" s="153">
        <v>21.15</v>
      </c>
      <c r="P796" s="153">
        <v>21.16</v>
      </c>
      <c r="Q796" s="153">
        <v>21.13</v>
      </c>
      <c r="R796" s="153">
        <v>21.12</v>
      </c>
      <c r="S796" s="4"/>
      <c r="U796" s="147" t="s">
        <v>873</v>
      </c>
      <c r="V796" s="11"/>
      <c r="W796" s="4"/>
      <c r="X796" s="12"/>
      <c r="Y796" s="14"/>
      <c r="Z796" s="4"/>
      <c r="AA796" s="13"/>
      <c r="AB796" s="11"/>
      <c r="AC796" s="4"/>
      <c r="AD796" s="12"/>
      <c r="AE796" s="13"/>
      <c r="AF796" s="14">
        <v>5.0175000000000001</v>
      </c>
      <c r="AG796" s="133"/>
      <c r="AI796" s="84"/>
      <c r="AL796" s="64">
        <v>4.1734739166666666</v>
      </c>
      <c r="AM796" s="56">
        <v>14.19999999999995</v>
      </c>
      <c r="AN796" s="56">
        <v>16.14000000000004</v>
      </c>
      <c r="AO796" s="62">
        <v>22.080000000000059</v>
      </c>
      <c r="AQ796" s="64">
        <v>4.0815975333333352</v>
      </c>
      <c r="AR796" s="56">
        <v>13.879999999999979</v>
      </c>
      <c r="AS796" s="56">
        <v>15.359999999999911</v>
      </c>
      <c r="AT796" s="62">
        <v>19.419999999999948</v>
      </c>
      <c r="AV796" s="64">
        <v>3.7287822500000001</v>
      </c>
      <c r="AW796" s="56">
        <v>13.079999999999981</v>
      </c>
      <c r="AX796" s="56">
        <v>14.50000000000005</v>
      </c>
      <c r="AY796" s="62">
        <v>19.09999999999998</v>
      </c>
      <c r="BA796" s="64">
        <v>3.185967483333334</v>
      </c>
      <c r="BB796" s="56">
        <v>15.78</v>
      </c>
      <c r="BC796" s="56">
        <v>18.18</v>
      </c>
      <c r="BD796" s="62">
        <v>29.95999999999999</v>
      </c>
      <c r="BF796" s="64">
        <v>2.92758735</v>
      </c>
      <c r="BG796" s="56">
        <v>19.81999999999999</v>
      </c>
      <c r="BH796" s="56">
        <v>26.900000000000009</v>
      </c>
      <c r="BI796" s="62">
        <v>56.780000000000008</v>
      </c>
      <c r="BJ796" s="70"/>
      <c r="BK796" s="51"/>
    </row>
    <row r="797" spans="1:63" ht="17.25" customHeight="1" thickBot="1" x14ac:dyDescent="0.45">
      <c r="A797" s="16" t="s">
        <v>874</v>
      </c>
      <c r="B797" s="17"/>
      <c r="C797" s="17"/>
      <c r="D797" s="17"/>
      <c r="E797" s="18"/>
      <c r="G797" s="147" t="s">
        <v>874</v>
      </c>
      <c r="H797" s="159">
        <v>70.066000000000003</v>
      </c>
      <c r="I797" s="153">
        <v>70.3</v>
      </c>
      <c r="J797" s="153">
        <v>70.36</v>
      </c>
      <c r="K797" s="153">
        <v>70.3</v>
      </c>
      <c r="L797" s="153">
        <v>70.34</v>
      </c>
      <c r="M797" s="80">
        <f t="shared" si="24"/>
        <v>70.36</v>
      </c>
      <c r="N797" s="80">
        <f t="shared" si="25"/>
        <v>70.3</v>
      </c>
      <c r="O797" s="153">
        <v>21.21</v>
      </c>
      <c r="P797" s="153">
        <v>21.1</v>
      </c>
      <c r="Q797" s="153">
        <v>21.16</v>
      </c>
      <c r="R797" s="153">
        <v>21.08</v>
      </c>
      <c r="S797" s="4"/>
      <c r="U797" s="147" t="s">
        <v>874</v>
      </c>
      <c r="V797" s="16"/>
      <c r="W797" s="17"/>
      <c r="X797" s="18"/>
      <c r="Y797" s="29"/>
      <c r="Z797" s="17"/>
      <c r="AA797" s="30"/>
      <c r="AB797" s="16"/>
      <c r="AC797" s="17"/>
      <c r="AD797" s="18"/>
      <c r="AE797" s="30"/>
      <c r="AF797" s="14">
        <v>5.0140000000000002</v>
      </c>
      <c r="AG797" s="133"/>
      <c r="AI797" s="84"/>
      <c r="AL797" s="64">
        <v>4.1734053333333332</v>
      </c>
      <c r="AM797" s="56">
        <v>14.41999999999997</v>
      </c>
      <c r="AN797" s="56">
        <v>16.41999999999992</v>
      </c>
      <c r="AO797" s="62">
        <v>22.43999999999993</v>
      </c>
      <c r="AQ797" s="64">
        <v>4.0830927166666671</v>
      </c>
      <c r="AR797" s="56">
        <v>14.119999999999949</v>
      </c>
      <c r="AS797" s="56">
        <v>15.579999999999931</v>
      </c>
      <c r="AT797" s="62">
        <v>19.739999999999998</v>
      </c>
      <c r="AV797" s="64">
        <v>3.7306295833333332</v>
      </c>
      <c r="AW797" s="56">
        <v>13.26000000000001</v>
      </c>
      <c r="AX797" s="56">
        <v>14.700000000000021</v>
      </c>
      <c r="AY797" s="62">
        <v>19.36</v>
      </c>
      <c r="BA797" s="64">
        <v>3.1874302333333331</v>
      </c>
      <c r="BB797" s="56">
        <v>15.439999999999991</v>
      </c>
      <c r="BC797" s="56">
        <v>17.819999999999951</v>
      </c>
      <c r="BD797" s="62">
        <v>29.539999999999988</v>
      </c>
      <c r="BF797" s="64">
        <v>2.9234450166666659</v>
      </c>
      <c r="BG797" s="56">
        <v>19.500000000000028</v>
      </c>
      <c r="BH797" s="56">
        <v>26.38000000000007</v>
      </c>
      <c r="BI797" s="62">
        <v>56.700000000000017</v>
      </c>
      <c r="BJ797" s="69"/>
      <c r="BK797" s="51"/>
    </row>
    <row r="798" spans="1:63" ht="17.25" customHeight="1" thickBot="1" x14ac:dyDescent="0.45">
      <c r="A798" s="16" t="s">
        <v>875</v>
      </c>
      <c r="B798" s="4"/>
      <c r="C798" s="4"/>
      <c r="D798" s="4"/>
      <c r="E798" s="12"/>
      <c r="G798" s="147" t="s">
        <v>875</v>
      </c>
      <c r="H798" s="159">
        <v>70.093999999999994</v>
      </c>
      <c r="I798" s="153">
        <v>70.33</v>
      </c>
      <c r="J798" s="153">
        <v>70.400000000000006</v>
      </c>
      <c r="K798" s="153">
        <v>70.349999999999994</v>
      </c>
      <c r="L798" s="153">
        <v>70.319999999999993</v>
      </c>
      <c r="M798" s="80">
        <f t="shared" si="24"/>
        <v>70.400000000000006</v>
      </c>
      <c r="N798" s="80">
        <f t="shared" si="25"/>
        <v>70.319999999999993</v>
      </c>
      <c r="O798" s="153">
        <v>21.14</v>
      </c>
      <c r="P798" s="153">
        <v>21.04</v>
      </c>
      <c r="Q798" s="153">
        <v>21.15</v>
      </c>
      <c r="R798" s="153">
        <v>21.06</v>
      </c>
      <c r="S798" s="4"/>
      <c r="U798" s="147" t="s">
        <v>875</v>
      </c>
      <c r="V798" s="11"/>
      <c r="W798" s="4"/>
      <c r="X798" s="12"/>
      <c r="Y798" s="14"/>
      <c r="Z798" s="4"/>
      <c r="AA798" s="13"/>
      <c r="AB798" s="11"/>
      <c r="AC798" s="4"/>
      <c r="AD798" s="12"/>
      <c r="AE798" s="13"/>
      <c r="AF798" s="14">
        <v>5.0232000000000001</v>
      </c>
      <c r="AG798" s="133"/>
      <c r="AI798" s="84"/>
      <c r="AL798" s="64">
        <v>4.1730577166666656</v>
      </c>
      <c r="AM798" s="56">
        <v>13.959999999999971</v>
      </c>
      <c r="AN798" s="56">
        <v>15.920000000000019</v>
      </c>
      <c r="AO798" s="62">
        <v>21.919999999999899</v>
      </c>
      <c r="AQ798" s="64">
        <v>4.0826776000000011</v>
      </c>
      <c r="AR798" s="56">
        <v>13.640000000000009</v>
      </c>
      <c r="AS798" s="56">
        <v>15.09999999999998</v>
      </c>
      <c r="AT798" s="62">
        <v>19.09999999999998</v>
      </c>
      <c r="AV798" s="64">
        <v>3.7309355833333329</v>
      </c>
      <c r="AW798" s="56">
        <v>13.239999999999959</v>
      </c>
      <c r="AX798" s="56">
        <v>14.699999999999941</v>
      </c>
      <c r="AY798" s="62">
        <v>19.339999999999961</v>
      </c>
      <c r="BA798" s="64">
        <v>3.1898848000000002</v>
      </c>
      <c r="BB798" s="56">
        <v>16.04000000000001</v>
      </c>
      <c r="BC798" s="56">
        <v>18.480000000000011</v>
      </c>
      <c r="BD798" s="62">
        <v>30.29999999999999</v>
      </c>
      <c r="BF798" s="64">
        <v>2.9287261999999998</v>
      </c>
      <c r="BG798" s="56">
        <v>20.300000000000029</v>
      </c>
      <c r="BH798" s="56">
        <v>27.219999999999981</v>
      </c>
      <c r="BI798" s="62">
        <v>56.960000000000029</v>
      </c>
      <c r="BJ798" s="70"/>
      <c r="BK798" s="51"/>
    </row>
    <row r="799" spans="1:63" ht="17.25" customHeight="1" thickBot="1" x14ac:dyDescent="0.45">
      <c r="A799" s="16" t="s">
        <v>876</v>
      </c>
      <c r="B799" s="4"/>
      <c r="C799" s="4"/>
      <c r="D799" s="4"/>
      <c r="E799" s="12"/>
      <c r="G799" s="147" t="s">
        <v>876</v>
      </c>
      <c r="H799" s="159">
        <v>70.087000000000003</v>
      </c>
      <c r="I799" s="153">
        <v>70.28</v>
      </c>
      <c r="J799" s="153">
        <v>70.290000000000006</v>
      </c>
      <c r="K799" s="153">
        <v>70.3</v>
      </c>
      <c r="L799" s="153">
        <v>70.3</v>
      </c>
      <c r="M799" s="80">
        <f t="shared" si="24"/>
        <v>70.3</v>
      </c>
      <c r="N799" s="80">
        <f t="shared" si="25"/>
        <v>70.28</v>
      </c>
      <c r="O799" s="153">
        <v>21.11</v>
      </c>
      <c r="P799" s="153">
        <v>20.99</v>
      </c>
      <c r="Q799" s="153">
        <v>21.1</v>
      </c>
      <c r="R799" s="153">
        <v>21.07</v>
      </c>
      <c r="S799" s="4"/>
      <c r="U799" s="147" t="s">
        <v>876</v>
      </c>
      <c r="V799" s="11"/>
      <c r="W799" s="4"/>
      <c r="X799" s="12"/>
      <c r="Y799" s="14"/>
      <c r="Z799" s="4"/>
      <c r="AA799" s="13"/>
      <c r="AB799" s="11"/>
      <c r="AC799" s="4"/>
      <c r="AD799" s="12"/>
      <c r="AE799" s="13"/>
      <c r="AF799" s="14">
        <v>5.0140000000000002</v>
      </c>
      <c r="AG799" s="133"/>
      <c r="AI799" s="84"/>
      <c r="AL799" s="64">
        <v>4.173298833333333</v>
      </c>
      <c r="AM799" s="56">
        <v>14.400000000000009</v>
      </c>
      <c r="AN799" s="56">
        <v>16.38000000000002</v>
      </c>
      <c r="AO799" s="62">
        <v>22.41999999999997</v>
      </c>
      <c r="AQ799" s="64">
        <v>4.0824438333333326</v>
      </c>
      <c r="AR799" s="56">
        <v>14.299999999999891</v>
      </c>
      <c r="AS799" s="56">
        <v>15.799999999999949</v>
      </c>
      <c r="AT799" s="62">
        <v>19.939999999999891</v>
      </c>
      <c r="AV799" s="64">
        <v>3.7302509833333328</v>
      </c>
      <c r="AW799" s="56">
        <v>13.79999999999999</v>
      </c>
      <c r="AX799" s="56">
        <v>15.30000000000005</v>
      </c>
      <c r="AY799" s="62">
        <v>20.100000000000051</v>
      </c>
      <c r="BA799" s="64">
        <v>3.1889667500000001</v>
      </c>
      <c r="BB799" s="56">
        <v>16.63999999999994</v>
      </c>
      <c r="BC799" s="56">
        <v>19.139999999999979</v>
      </c>
      <c r="BD799" s="62">
        <v>31.099999999999991</v>
      </c>
      <c r="BF799" s="64">
        <v>2.9245591000000002</v>
      </c>
      <c r="BG799" s="56">
        <v>20.79999999999993</v>
      </c>
      <c r="BH799" s="56">
        <v>27.83999999999995</v>
      </c>
      <c r="BI799" s="62">
        <v>58.159999999999989</v>
      </c>
      <c r="BJ799" s="70"/>
      <c r="BK799" s="51"/>
    </row>
    <row r="800" spans="1:63" ht="17.25" customHeight="1" thickBot="1" x14ac:dyDescent="0.45">
      <c r="A800" s="16" t="s">
        <v>877</v>
      </c>
      <c r="B800" s="4"/>
      <c r="C800" s="4"/>
      <c r="D800" s="4"/>
      <c r="E800" s="12"/>
      <c r="G800" s="147" t="s">
        <v>877</v>
      </c>
      <c r="H800" s="159">
        <v>70.013000000000005</v>
      </c>
      <c r="I800" s="153">
        <v>70.38</v>
      </c>
      <c r="J800" s="153">
        <v>70.34</v>
      </c>
      <c r="K800" s="153">
        <v>70.34</v>
      </c>
      <c r="L800" s="153">
        <v>70.28</v>
      </c>
      <c r="M800" s="80">
        <f t="shared" si="24"/>
        <v>70.38</v>
      </c>
      <c r="N800" s="80">
        <f t="shared" si="25"/>
        <v>70.28</v>
      </c>
      <c r="O800" s="153">
        <v>21.21</v>
      </c>
      <c r="P800" s="153">
        <v>21.07</v>
      </c>
      <c r="Q800" s="153">
        <v>21.15</v>
      </c>
      <c r="R800" s="153">
        <v>21.09</v>
      </c>
      <c r="S800" s="4"/>
      <c r="U800" s="147" t="s">
        <v>877</v>
      </c>
      <c r="V800" s="11"/>
      <c r="W800" s="4"/>
      <c r="X800" s="12"/>
      <c r="Y800" s="14"/>
      <c r="Z800" s="4"/>
      <c r="AA800" s="13"/>
      <c r="AB800" s="11"/>
      <c r="AC800" s="4"/>
      <c r="AD800" s="12"/>
      <c r="AE800" s="13"/>
      <c r="AF800" s="14">
        <v>5.0122999999999998</v>
      </c>
      <c r="AG800" s="133"/>
      <c r="AI800" s="84"/>
      <c r="AL800" s="64">
        <v>4.1733688500000001</v>
      </c>
      <c r="AM800" s="56">
        <v>14.25999999999998</v>
      </c>
      <c r="AN800" s="56">
        <v>16.259999999999941</v>
      </c>
      <c r="AO800" s="62">
        <v>22.19999999999995</v>
      </c>
      <c r="AQ800" s="64">
        <v>4.0832968666666671</v>
      </c>
      <c r="AR800" s="56">
        <v>14.119999999999949</v>
      </c>
      <c r="AS800" s="56">
        <v>15.60000000000006</v>
      </c>
      <c r="AT800" s="62">
        <v>19.739999999999998</v>
      </c>
      <c r="AV800" s="64">
        <v>3.7304317166666672</v>
      </c>
      <c r="AW800" s="56">
        <v>13.37999999999999</v>
      </c>
      <c r="AX800" s="56">
        <v>14.84000000000005</v>
      </c>
      <c r="AY800" s="62">
        <v>19.56000000000007</v>
      </c>
      <c r="BA800" s="64">
        <v>3.1870710999999998</v>
      </c>
      <c r="BB800" s="56">
        <v>15.82000000000008</v>
      </c>
      <c r="BC800" s="56">
        <v>18.26000000000008</v>
      </c>
      <c r="BD800" s="62">
        <v>30.140000000000011</v>
      </c>
      <c r="BF800" s="64">
        <v>2.9257773166666672</v>
      </c>
      <c r="BG800" s="56">
        <v>19.80000000000004</v>
      </c>
      <c r="BH800" s="56">
        <v>26.799999999999979</v>
      </c>
      <c r="BI800" s="62">
        <v>57.100000000000058</v>
      </c>
      <c r="BJ800" s="69"/>
      <c r="BK800" s="51"/>
    </row>
    <row r="801" spans="1:63" ht="17.25" customHeight="1" thickBot="1" x14ac:dyDescent="0.45">
      <c r="A801" s="16" t="s">
        <v>878</v>
      </c>
      <c r="B801" s="4"/>
      <c r="C801" s="4"/>
      <c r="D801" s="4"/>
      <c r="E801" s="12"/>
      <c r="G801" s="147" t="s">
        <v>878</v>
      </c>
      <c r="H801" s="159">
        <v>70.043999999999997</v>
      </c>
      <c r="I801" s="153">
        <v>70.38</v>
      </c>
      <c r="J801" s="153">
        <v>70.36</v>
      </c>
      <c r="K801" s="153">
        <v>70.28</v>
      </c>
      <c r="L801" s="153">
        <v>70.36</v>
      </c>
      <c r="M801" s="80">
        <f t="shared" si="24"/>
        <v>70.38</v>
      </c>
      <c r="N801" s="80">
        <f t="shared" si="25"/>
        <v>70.28</v>
      </c>
      <c r="O801" s="153">
        <v>21.15</v>
      </c>
      <c r="P801" s="153">
        <v>21.07</v>
      </c>
      <c r="Q801" s="153">
        <v>21.13</v>
      </c>
      <c r="R801" s="153">
        <v>21.1</v>
      </c>
      <c r="S801" s="4"/>
      <c r="U801" s="147" t="s">
        <v>878</v>
      </c>
      <c r="V801" s="11"/>
      <c r="W801" s="4"/>
      <c r="X801" s="12"/>
      <c r="Y801" s="14"/>
      <c r="Z801" s="4"/>
      <c r="AA801" s="13"/>
      <c r="AB801" s="11"/>
      <c r="AC801" s="4"/>
      <c r="AD801" s="12"/>
      <c r="AE801" s="13"/>
      <c r="AF801" s="14">
        <v>5.0133999999999999</v>
      </c>
      <c r="AG801" s="133"/>
      <c r="AI801" s="84"/>
      <c r="AL801" s="64">
        <v>4.1728859666666667</v>
      </c>
      <c r="AM801" s="56">
        <v>14.60000000000008</v>
      </c>
      <c r="AN801" s="56">
        <v>16.640000000000121</v>
      </c>
      <c r="AO801" s="62">
        <v>22.799999999999979</v>
      </c>
      <c r="AQ801" s="64">
        <v>4.0838794166666661</v>
      </c>
      <c r="AR801" s="56">
        <v>14.5999999999999</v>
      </c>
      <c r="AS801" s="56">
        <v>16.119999999999909</v>
      </c>
      <c r="AT801" s="62">
        <v>20.319999999999979</v>
      </c>
      <c r="AV801" s="64">
        <v>3.731268033333333</v>
      </c>
      <c r="AW801" s="56">
        <v>14.12000000000004</v>
      </c>
      <c r="AX801" s="56">
        <v>15.64000000000005</v>
      </c>
      <c r="AY801" s="62">
        <v>20.500000000000011</v>
      </c>
      <c r="BA801" s="64">
        <v>3.187979616666667</v>
      </c>
      <c r="BB801" s="56">
        <v>16.679999999999939</v>
      </c>
      <c r="BC801" s="56">
        <v>19.240000000000009</v>
      </c>
      <c r="BD801" s="62">
        <v>31.400000000000009</v>
      </c>
      <c r="BF801" s="64">
        <v>2.9305545666666659</v>
      </c>
      <c r="BG801" s="56">
        <v>20.840000000000011</v>
      </c>
      <c r="BH801" s="56">
        <v>28.000000000000021</v>
      </c>
      <c r="BI801" s="62">
        <v>58.140000000000043</v>
      </c>
      <c r="BJ801" s="70"/>
      <c r="BK801" s="51"/>
    </row>
    <row r="802" spans="1:63" ht="17.25" customHeight="1" thickBot="1" x14ac:dyDescent="0.45">
      <c r="A802" s="16" t="s">
        <v>879</v>
      </c>
      <c r="B802" s="4"/>
      <c r="C802" s="4"/>
      <c r="D802" s="4"/>
      <c r="E802" s="12"/>
      <c r="G802" s="147" t="s">
        <v>879</v>
      </c>
      <c r="H802" s="159">
        <v>70.063999999999993</v>
      </c>
      <c r="I802" s="153">
        <v>70.34</v>
      </c>
      <c r="J802" s="153">
        <v>70.28</v>
      </c>
      <c r="K802" s="153">
        <v>70.33</v>
      </c>
      <c r="L802" s="153">
        <v>70.33</v>
      </c>
      <c r="M802" s="80">
        <f t="shared" si="24"/>
        <v>70.34</v>
      </c>
      <c r="N802" s="80">
        <f t="shared" si="25"/>
        <v>70.28</v>
      </c>
      <c r="O802" s="153">
        <v>21.09</v>
      </c>
      <c r="P802" s="153">
        <v>21.14</v>
      </c>
      <c r="Q802" s="153">
        <v>21.16</v>
      </c>
      <c r="R802" s="153">
        <v>21.11</v>
      </c>
      <c r="S802" s="4"/>
      <c r="U802" s="147" t="s">
        <v>879</v>
      </c>
      <c r="V802" s="11"/>
      <c r="W802" s="4"/>
      <c r="X802" s="12"/>
      <c r="Y802" s="14"/>
      <c r="Z802" s="4"/>
      <c r="AA802" s="13"/>
      <c r="AB802" s="11"/>
      <c r="AC802" s="4"/>
      <c r="AD802" s="12"/>
      <c r="AE802" s="13"/>
      <c r="AF802" s="14">
        <v>5.0129000000000001</v>
      </c>
      <c r="AG802" s="133"/>
      <c r="AI802" s="84"/>
      <c r="AL802" s="64">
        <v>4.1730627166666663</v>
      </c>
      <c r="AM802" s="56">
        <v>14.519999999999911</v>
      </c>
      <c r="AN802" s="56">
        <v>16.54</v>
      </c>
      <c r="AO802" s="62">
        <v>22.599999999999909</v>
      </c>
      <c r="AQ802" s="64">
        <v>4.0833513333333338</v>
      </c>
      <c r="AR802" s="56">
        <v>14.30000000000007</v>
      </c>
      <c r="AS802" s="56">
        <v>15.799999999999949</v>
      </c>
      <c r="AT802" s="62">
        <v>19.980000000000061</v>
      </c>
      <c r="AV802" s="64">
        <v>3.7308053166666659</v>
      </c>
      <c r="AW802" s="56">
        <v>13.69999999999996</v>
      </c>
      <c r="AX802" s="56">
        <v>15.20000000000001</v>
      </c>
      <c r="AY802" s="62">
        <v>19.93999999999998</v>
      </c>
      <c r="BA802" s="64">
        <v>3.187577333333333</v>
      </c>
      <c r="BB802" s="56">
        <v>16.300000000000029</v>
      </c>
      <c r="BC802" s="56">
        <v>18.799999999999969</v>
      </c>
      <c r="BD802" s="62">
        <v>30.799999999999979</v>
      </c>
      <c r="BF802" s="64">
        <v>2.9289668500000001</v>
      </c>
      <c r="BG802" s="56">
        <v>20.500000000000011</v>
      </c>
      <c r="BH802" s="56">
        <v>27.559999999999981</v>
      </c>
      <c r="BI802" s="62">
        <v>57.540000000000013</v>
      </c>
      <c r="BJ802" s="70"/>
      <c r="BK802" s="51"/>
    </row>
    <row r="803" spans="1:63" ht="17.25" customHeight="1" thickBot="1" x14ac:dyDescent="0.45">
      <c r="A803" s="16" t="s">
        <v>880</v>
      </c>
      <c r="B803" s="4"/>
      <c r="C803" s="4"/>
      <c r="D803" s="4"/>
      <c r="E803" s="12"/>
      <c r="G803" s="147" t="s">
        <v>880</v>
      </c>
      <c r="H803" s="159">
        <v>70.012500000000003</v>
      </c>
      <c r="I803" s="153">
        <v>70.290000000000006</v>
      </c>
      <c r="J803" s="153">
        <v>70.39</v>
      </c>
      <c r="K803" s="153">
        <v>70.38</v>
      </c>
      <c r="L803" s="153">
        <v>70.36</v>
      </c>
      <c r="M803" s="80">
        <f t="shared" si="24"/>
        <v>70.39</v>
      </c>
      <c r="N803" s="80">
        <f t="shared" si="25"/>
        <v>70.290000000000006</v>
      </c>
      <c r="O803" s="153">
        <v>21.22</v>
      </c>
      <c r="P803" s="153">
        <v>21.09</v>
      </c>
      <c r="Q803" s="153">
        <v>21.16</v>
      </c>
      <c r="R803" s="153">
        <v>21.04</v>
      </c>
      <c r="S803" s="4"/>
      <c r="U803" s="147" t="s">
        <v>880</v>
      </c>
      <c r="V803" s="11"/>
      <c r="W803" s="4"/>
      <c r="X803" s="12"/>
      <c r="Y803" s="14"/>
      <c r="Z803" s="4"/>
      <c r="AA803" s="13"/>
      <c r="AB803" s="11"/>
      <c r="AC803" s="4"/>
      <c r="AD803" s="12"/>
      <c r="AE803" s="13"/>
      <c r="AF803" s="14">
        <v>5.0183</v>
      </c>
      <c r="AG803" s="133"/>
      <c r="AI803" s="84"/>
      <c r="AL803" s="64">
        <v>4.1729485333333338</v>
      </c>
      <c r="AM803" s="56">
        <v>14.98000000000008</v>
      </c>
      <c r="AN803" s="56">
        <v>16.98000000000004</v>
      </c>
      <c r="AO803" s="62">
        <v>23.099999999999991</v>
      </c>
      <c r="AQ803" s="64">
        <v>4.0813962333333347</v>
      </c>
      <c r="AR803" s="56">
        <v>14.340000000000151</v>
      </c>
      <c r="AS803" s="56">
        <v>15.82000000000008</v>
      </c>
      <c r="AT803" s="62">
        <v>19.940000000000069</v>
      </c>
      <c r="AV803" s="64">
        <v>3.7284131166666672</v>
      </c>
      <c r="AW803" s="56">
        <v>13.72</v>
      </c>
      <c r="AX803" s="56">
        <v>15.240000000000011</v>
      </c>
      <c r="AY803" s="62">
        <v>19.960000000000019</v>
      </c>
      <c r="BA803" s="64">
        <v>3.1847584333333332</v>
      </c>
      <c r="BB803" s="56">
        <v>16.479999999999961</v>
      </c>
      <c r="BC803" s="56">
        <v>18.98</v>
      </c>
      <c r="BD803" s="62">
        <v>31.02</v>
      </c>
      <c r="BF803" s="64">
        <v>2.929462033333333</v>
      </c>
      <c r="BG803" s="56">
        <v>20.500000000000011</v>
      </c>
      <c r="BH803" s="56">
        <v>27.559999999999981</v>
      </c>
      <c r="BI803" s="62">
        <v>57.500000000000007</v>
      </c>
      <c r="BJ803" s="70"/>
      <c r="BK803" s="51"/>
    </row>
    <row r="804" spans="1:63" ht="17.25" customHeight="1" thickBot="1" x14ac:dyDescent="0.45">
      <c r="A804" s="16" t="s">
        <v>881</v>
      </c>
      <c r="B804" s="4"/>
      <c r="C804" s="4"/>
      <c r="D804" s="4"/>
      <c r="E804" s="12"/>
      <c r="G804" s="147" t="s">
        <v>881</v>
      </c>
      <c r="H804" s="159">
        <v>70.040000000000006</v>
      </c>
      <c r="I804" s="153">
        <v>70.33</v>
      </c>
      <c r="J804" s="153">
        <v>70.319999999999993</v>
      </c>
      <c r="K804" s="153">
        <v>70.349999999999994</v>
      </c>
      <c r="L804" s="153">
        <v>70.34</v>
      </c>
      <c r="M804" s="80">
        <f t="shared" si="24"/>
        <v>70.349999999999994</v>
      </c>
      <c r="N804" s="80">
        <f t="shared" si="25"/>
        <v>70.319999999999993</v>
      </c>
      <c r="O804" s="153">
        <v>21.16</v>
      </c>
      <c r="P804" s="153">
        <v>21.06</v>
      </c>
      <c r="Q804" s="153">
        <v>21.12</v>
      </c>
      <c r="R804" s="153">
        <v>21.04</v>
      </c>
      <c r="S804" s="4"/>
      <c r="U804" s="147" t="s">
        <v>881</v>
      </c>
      <c r="V804" s="11"/>
      <c r="W804" s="4"/>
      <c r="X804" s="12"/>
      <c r="Y804" s="14"/>
      <c r="Z804" s="4"/>
      <c r="AA804" s="13"/>
      <c r="AB804" s="11"/>
      <c r="AC804" s="4"/>
      <c r="AD804" s="12"/>
      <c r="AE804" s="13"/>
      <c r="AF804" s="14">
        <v>5.0105000000000004</v>
      </c>
      <c r="AG804" s="133"/>
      <c r="AI804" s="84"/>
      <c r="AL804" s="64">
        <v>4.17308375</v>
      </c>
      <c r="AM804" s="56">
        <v>14.35999999999993</v>
      </c>
      <c r="AN804" s="56">
        <v>16.339999999999929</v>
      </c>
      <c r="AO804" s="62">
        <v>22.320000000000029</v>
      </c>
      <c r="AQ804" s="64">
        <v>4.0820196999999991</v>
      </c>
      <c r="AR804" s="56">
        <v>14.15999999999986</v>
      </c>
      <c r="AS804" s="56">
        <v>15.65999999999992</v>
      </c>
      <c r="AT804" s="62">
        <v>19.799999999999951</v>
      </c>
      <c r="AV804" s="64">
        <v>3.7295508166666669</v>
      </c>
      <c r="AW804" s="56">
        <v>13.700000000000051</v>
      </c>
      <c r="AX804" s="56">
        <v>15.17999999999997</v>
      </c>
      <c r="AY804" s="62">
        <v>19.960000000000019</v>
      </c>
      <c r="BA804" s="64">
        <v>3.1872870666666659</v>
      </c>
      <c r="BB804" s="56">
        <v>16.420000000000009</v>
      </c>
      <c r="BC804" s="56">
        <v>18.900000000000009</v>
      </c>
      <c r="BD804" s="62">
        <v>30.800000000000072</v>
      </c>
      <c r="BF804" s="64">
        <v>2.9200372833333339</v>
      </c>
      <c r="BG804" s="56">
        <v>20.54</v>
      </c>
      <c r="BH804" s="56">
        <v>27.659999999999929</v>
      </c>
      <c r="BI804" s="62">
        <v>58.439999999999962</v>
      </c>
      <c r="BJ804" s="70"/>
      <c r="BK804" s="51"/>
    </row>
    <row r="805" spans="1:63" ht="17.25" customHeight="1" thickBot="1" x14ac:dyDescent="0.45">
      <c r="A805" s="16" t="s">
        <v>882</v>
      </c>
      <c r="B805" s="4"/>
      <c r="C805" s="4"/>
      <c r="D805" s="4"/>
      <c r="E805" s="12"/>
      <c r="G805" s="147" t="s">
        <v>882</v>
      </c>
      <c r="H805" s="159">
        <v>70.122</v>
      </c>
      <c r="I805" s="153">
        <v>70.28</v>
      </c>
      <c r="J805" s="153">
        <v>70.34</v>
      </c>
      <c r="K805" s="153">
        <v>70.37</v>
      </c>
      <c r="L805" s="153">
        <v>70.33</v>
      </c>
      <c r="M805" s="80">
        <f t="shared" si="24"/>
        <v>70.37</v>
      </c>
      <c r="N805" s="80">
        <f t="shared" si="25"/>
        <v>70.28</v>
      </c>
      <c r="O805" s="153">
        <v>21.08</v>
      </c>
      <c r="P805" s="153">
        <v>21.17</v>
      </c>
      <c r="Q805" s="153">
        <v>21.11</v>
      </c>
      <c r="R805" s="153">
        <v>21.1</v>
      </c>
      <c r="S805" s="4"/>
      <c r="U805" s="147" t="s">
        <v>882</v>
      </c>
      <c r="V805" s="11"/>
      <c r="W805" s="4"/>
      <c r="X805" s="12"/>
      <c r="Y805" s="14"/>
      <c r="Z805" s="4"/>
      <c r="AA805" s="13"/>
      <c r="AB805" s="11"/>
      <c r="AC805" s="4"/>
      <c r="AD805" s="12"/>
      <c r="AE805" s="13"/>
      <c r="AF805" s="14">
        <v>5.0206</v>
      </c>
      <c r="AG805" s="133"/>
      <c r="AI805" s="84"/>
      <c r="AL805" s="64">
        <v>4.1731725500000003</v>
      </c>
      <c r="AM805" s="56">
        <v>14.499999999999959</v>
      </c>
      <c r="AN805" s="56">
        <v>16.479999999999961</v>
      </c>
      <c r="AO805" s="62">
        <v>22.359999999999939</v>
      </c>
      <c r="AQ805" s="64">
        <v>4.0808884499999998</v>
      </c>
      <c r="AR805" s="56">
        <v>14.059999999999921</v>
      </c>
      <c r="AS805" s="56">
        <v>15.519999999999889</v>
      </c>
      <c r="AT805" s="62">
        <v>19.599999999999969</v>
      </c>
      <c r="AV805" s="64">
        <v>3.7278380666666662</v>
      </c>
      <c r="AW805" s="56">
        <v>13.44000000000003</v>
      </c>
      <c r="AX805" s="56">
        <v>14.9</v>
      </c>
      <c r="AY805" s="62">
        <v>19.599999999999969</v>
      </c>
      <c r="BA805" s="64">
        <v>3.1818843999999999</v>
      </c>
      <c r="BB805" s="56">
        <v>15.799999999999949</v>
      </c>
      <c r="BC805" s="56">
        <v>18.219999999999992</v>
      </c>
      <c r="BD805" s="62">
        <v>30.119999999999969</v>
      </c>
      <c r="BF805" s="64">
        <v>2.9221499666666659</v>
      </c>
      <c r="BG805" s="56">
        <v>19.720000000000049</v>
      </c>
      <c r="BH805" s="56">
        <v>26.679999999999989</v>
      </c>
      <c r="BI805" s="62">
        <v>56.86</v>
      </c>
      <c r="BJ805" s="70"/>
      <c r="BK805" s="51"/>
    </row>
    <row r="806" spans="1:63" ht="17.25" customHeight="1" thickBot="1" x14ac:dyDescent="0.45">
      <c r="A806" s="16" t="s">
        <v>883</v>
      </c>
      <c r="B806" s="4"/>
      <c r="C806" s="4"/>
      <c r="D806" s="4"/>
      <c r="E806" s="12"/>
      <c r="G806" s="147" t="s">
        <v>883</v>
      </c>
      <c r="H806" s="159">
        <v>70.073999999999998</v>
      </c>
      <c r="I806" s="153">
        <v>70.28</v>
      </c>
      <c r="J806" s="153">
        <v>70.37</v>
      </c>
      <c r="K806" s="153">
        <v>70.3</v>
      </c>
      <c r="L806" s="153">
        <v>70.3</v>
      </c>
      <c r="M806" s="80">
        <f t="shared" si="24"/>
        <v>70.37</v>
      </c>
      <c r="N806" s="80">
        <f t="shared" si="25"/>
        <v>70.28</v>
      </c>
      <c r="O806" s="153">
        <v>21.19</v>
      </c>
      <c r="P806" s="153">
        <v>21.16</v>
      </c>
      <c r="Q806" s="153">
        <v>21.15</v>
      </c>
      <c r="R806" s="153">
        <v>21.13</v>
      </c>
      <c r="S806" s="4"/>
      <c r="U806" s="147" t="s">
        <v>883</v>
      </c>
      <c r="V806" s="11"/>
      <c r="W806" s="4"/>
      <c r="X806" s="12"/>
      <c r="Y806" s="14"/>
      <c r="Z806" s="4"/>
      <c r="AA806" s="13"/>
      <c r="AB806" s="11"/>
      <c r="AC806" s="4"/>
      <c r="AD806" s="12"/>
      <c r="AE806" s="13"/>
      <c r="AF806" s="14">
        <v>5.0232000000000001</v>
      </c>
      <c r="AG806" s="133"/>
      <c r="AI806" s="84"/>
      <c r="AL806" s="64">
        <v>4.1731860000000003</v>
      </c>
      <c r="AM806" s="56">
        <v>13.91999999999989</v>
      </c>
      <c r="AN806" s="56">
        <v>15.859999999999991</v>
      </c>
      <c r="AO806" s="62">
        <v>21.8</v>
      </c>
      <c r="AQ806" s="64">
        <v>4.0824299833333324</v>
      </c>
      <c r="AR806" s="56">
        <v>13.81999999999994</v>
      </c>
      <c r="AS806" s="56">
        <v>15.23999999999983</v>
      </c>
      <c r="AT806" s="62">
        <v>19.339999999999961</v>
      </c>
      <c r="AV806" s="64">
        <v>3.7299568833333332</v>
      </c>
      <c r="AW806" s="56">
        <v>13.03999999999998</v>
      </c>
      <c r="AX806" s="56">
        <v>14.45999999999996</v>
      </c>
      <c r="AY806" s="62">
        <v>19.059999999999992</v>
      </c>
      <c r="BA806" s="64">
        <v>3.1892531833333329</v>
      </c>
      <c r="BB806" s="56">
        <v>15.54000000000002</v>
      </c>
      <c r="BC806" s="56">
        <v>17.91999999999998</v>
      </c>
      <c r="BD806" s="62">
        <v>29.659999999999979</v>
      </c>
      <c r="BF806" s="64">
        <v>2.931625316666667</v>
      </c>
      <c r="BG806" s="56">
        <v>19.519999999999978</v>
      </c>
      <c r="BH806" s="56">
        <v>26.660000000000039</v>
      </c>
      <c r="BI806" s="62">
        <v>56.680000000000057</v>
      </c>
      <c r="BJ806" s="69"/>
      <c r="BK806" s="51"/>
    </row>
    <row r="807" spans="1:63" ht="17.25" customHeight="1" thickBot="1" x14ac:dyDescent="0.45">
      <c r="A807" s="16" t="s">
        <v>884</v>
      </c>
      <c r="B807" s="4"/>
      <c r="C807" s="4"/>
      <c r="D807" s="4"/>
      <c r="E807" s="12"/>
      <c r="G807" s="147" t="s">
        <v>884</v>
      </c>
      <c r="H807" s="159">
        <v>70.055000000000007</v>
      </c>
      <c r="I807" s="153">
        <v>70.290000000000006</v>
      </c>
      <c r="J807" s="153">
        <v>70.31</v>
      </c>
      <c r="K807" s="153">
        <v>70.37</v>
      </c>
      <c r="L807" s="153">
        <v>70.34</v>
      </c>
      <c r="M807" s="80">
        <f t="shared" si="24"/>
        <v>70.37</v>
      </c>
      <c r="N807" s="80">
        <f t="shared" si="25"/>
        <v>70.290000000000006</v>
      </c>
      <c r="O807" s="153">
        <v>21.2</v>
      </c>
      <c r="P807" s="153">
        <v>21.1</v>
      </c>
      <c r="Q807" s="153">
        <v>21.1</v>
      </c>
      <c r="R807" s="153">
        <v>21.05</v>
      </c>
      <c r="S807" s="4"/>
      <c r="U807" s="147" t="s">
        <v>884</v>
      </c>
      <c r="V807" s="11"/>
      <c r="W807" s="4"/>
      <c r="X807" s="12"/>
      <c r="Y807" s="14"/>
      <c r="Z807" s="4"/>
      <c r="AA807" s="13"/>
      <c r="AB807" s="11"/>
      <c r="AC807" s="4"/>
      <c r="AD807" s="12"/>
      <c r="AE807" s="13"/>
      <c r="AF807" s="14">
        <v>5.0098000000000003</v>
      </c>
      <c r="AG807" s="133"/>
      <c r="AI807" s="84"/>
      <c r="AL807" s="64">
        <v>4.1737265666666667</v>
      </c>
      <c r="AM807" s="56">
        <v>14.56</v>
      </c>
      <c r="AN807" s="56">
        <v>16.54</v>
      </c>
      <c r="AO807" s="62">
        <v>22.40000000000002</v>
      </c>
      <c r="AQ807" s="64">
        <v>4.0813664000000003</v>
      </c>
      <c r="AR807" s="56">
        <v>14.24000000000003</v>
      </c>
      <c r="AS807" s="56">
        <v>15.740000000000091</v>
      </c>
      <c r="AT807" s="62">
        <v>19.840000000000039</v>
      </c>
      <c r="AV807" s="64">
        <v>3.7297090833333342</v>
      </c>
      <c r="AW807" s="56">
        <v>13.640000000000009</v>
      </c>
      <c r="AX807" s="56">
        <v>15.120000000000021</v>
      </c>
      <c r="AY807" s="62">
        <v>19.840000000000039</v>
      </c>
      <c r="BA807" s="64">
        <v>3.1893514000000001</v>
      </c>
      <c r="BB807" s="56">
        <v>16.16</v>
      </c>
      <c r="BC807" s="56">
        <v>18.62000000000004</v>
      </c>
      <c r="BD807" s="62">
        <v>30.339999999999989</v>
      </c>
      <c r="BF807" s="64">
        <v>2.9199484999999998</v>
      </c>
      <c r="BG807" s="56">
        <v>20.219999999999949</v>
      </c>
      <c r="BH807" s="56">
        <v>27.179999999999978</v>
      </c>
      <c r="BI807" s="62">
        <v>57.519999999999968</v>
      </c>
      <c r="BJ807" s="70"/>
      <c r="BK807" s="51"/>
    </row>
    <row r="808" spans="1:63" ht="17.25" customHeight="1" thickBot="1" x14ac:dyDescent="0.45">
      <c r="A808" s="16" t="s">
        <v>885</v>
      </c>
      <c r="B808" s="4"/>
      <c r="C808" s="4"/>
      <c r="D808" s="4"/>
      <c r="E808" s="12"/>
      <c r="G808" s="147" t="s">
        <v>885</v>
      </c>
      <c r="H808" s="159">
        <v>70.17</v>
      </c>
      <c r="I808" s="153">
        <v>70.3</v>
      </c>
      <c r="J808" s="153">
        <v>70.38</v>
      </c>
      <c r="K808" s="153">
        <v>70.38</v>
      </c>
      <c r="L808" s="153">
        <v>70.38</v>
      </c>
      <c r="M808" s="80">
        <f t="shared" si="24"/>
        <v>70.38</v>
      </c>
      <c r="N808" s="80">
        <f t="shared" si="25"/>
        <v>70.3</v>
      </c>
      <c r="O808" s="153">
        <v>21.11</v>
      </c>
      <c r="P808" s="153">
        <v>21.05</v>
      </c>
      <c r="Q808" s="153">
        <v>21.14</v>
      </c>
      <c r="R808" s="153">
        <v>21.12</v>
      </c>
      <c r="S808" s="4"/>
      <c r="U808" s="147" t="s">
        <v>885</v>
      </c>
      <c r="V808" s="11"/>
      <c r="W808" s="4"/>
      <c r="X808" s="12"/>
      <c r="Y808" s="14"/>
      <c r="Z808" s="4"/>
      <c r="AA808" s="13"/>
      <c r="AB808" s="11"/>
      <c r="AC808" s="4"/>
      <c r="AD808" s="12"/>
      <c r="AE808" s="13"/>
      <c r="AF808" s="14">
        <v>5.0244999999999997</v>
      </c>
      <c r="AG808" s="133"/>
      <c r="AI808" s="84"/>
      <c r="AL808" s="64">
        <v>4.1732320166666659</v>
      </c>
      <c r="AM808" s="56">
        <v>14.56</v>
      </c>
      <c r="AN808" s="56">
        <v>16.54</v>
      </c>
      <c r="AO808" s="62">
        <v>22.599999999999909</v>
      </c>
      <c r="AQ808" s="64">
        <v>4.0813448000000001</v>
      </c>
      <c r="AR808" s="56">
        <v>14.140000000000089</v>
      </c>
      <c r="AS808" s="56">
        <v>15.62000000000001</v>
      </c>
      <c r="AT808" s="62">
        <v>19.760000000000041</v>
      </c>
      <c r="AV808" s="64">
        <v>3.7285385166666658</v>
      </c>
      <c r="AW808" s="56">
        <v>13.37999999999999</v>
      </c>
      <c r="AX808" s="56">
        <v>14.86000000000001</v>
      </c>
      <c r="AY808" s="62">
        <v>19.54000000000002</v>
      </c>
      <c r="BA808" s="64">
        <v>3.184552066666666</v>
      </c>
      <c r="BB808" s="56">
        <v>15.71999999999996</v>
      </c>
      <c r="BC808" s="56">
        <v>18.14</v>
      </c>
      <c r="BD808" s="62">
        <v>29.95999999999999</v>
      </c>
      <c r="BF808" s="64">
        <v>2.9228576666666668</v>
      </c>
      <c r="BG808" s="56">
        <v>19.78</v>
      </c>
      <c r="BH808" s="56">
        <v>26.720000000000081</v>
      </c>
      <c r="BI808" s="62">
        <v>56.86</v>
      </c>
      <c r="BJ808" s="69"/>
      <c r="BK808" s="51"/>
    </row>
    <row r="809" spans="1:63" ht="17.25" customHeight="1" thickBot="1" x14ac:dyDescent="0.45">
      <c r="A809" s="16" t="s">
        <v>886</v>
      </c>
      <c r="B809" s="4"/>
      <c r="C809" s="4"/>
      <c r="D809" s="4"/>
      <c r="E809" s="12"/>
      <c r="G809" s="147" t="s">
        <v>886</v>
      </c>
      <c r="H809" s="159">
        <v>70.055000000000007</v>
      </c>
      <c r="I809" s="153">
        <v>70.3</v>
      </c>
      <c r="J809" s="153">
        <v>70.33</v>
      </c>
      <c r="K809" s="153">
        <v>70.400000000000006</v>
      </c>
      <c r="L809" s="153">
        <v>70.37</v>
      </c>
      <c r="M809" s="80">
        <f t="shared" si="24"/>
        <v>70.400000000000006</v>
      </c>
      <c r="N809" s="80">
        <f t="shared" si="25"/>
        <v>70.3</v>
      </c>
      <c r="O809" s="153">
        <v>21.06</v>
      </c>
      <c r="P809" s="153">
        <v>20.99</v>
      </c>
      <c r="Q809" s="153">
        <v>21.15</v>
      </c>
      <c r="R809" s="153">
        <v>21</v>
      </c>
      <c r="S809" s="4"/>
      <c r="U809" s="147" t="s">
        <v>886</v>
      </c>
      <c r="V809" s="11"/>
      <c r="W809" s="4"/>
      <c r="X809" s="12"/>
      <c r="Y809" s="14"/>
      <c r="Z809" s="4"/>
      <c r="AA809" s="13"/>
      <c r="AB809" s="11"/>
      <c r="AC809" s="4"/>
      <c r="AD809" s="12"/>
      <c r="AE809" s="13"/>
      <c r="AF809" s="14">
        <v>5.0137</v>
      </c>
      <c r="AG809" s="133"/>
      <c r="AI809" s="84"/>
      <c r="AL809" s="64">
        <v>4.173162483333333</v>
      </c>
      <c r="AM809" s="56">
        <v>14.35999999999993</v>
      </c>
      <c r="AN809" s="56">
        <v>16.339999999999929</v>
      </c>
      <c r="AO809" s="62">
        <v>22.43999999999993</v>
      </c>
      <c r="AQ809" s="64">
        <v>4.0815236999999991</v>
      </c>
      <c r="AR809" s="56">
        <v>13.899999999999929</v>
      </c>
      <c r="AS809" s="56">
        <v>15.38000000000004</v>
      </c>
      <c r="AT809" s="62">
        <v>19.45999999999994</v>
      </c>
      <c r="AV809" s="64">
        <v>3.7297507333333342</v>
      </c>
      <c r="AW809" s="56">
        <v>13.18000000000001</v>
      </c>
      <c r="AX809" s="56">
        <v>14.620000000000029</v>
      </c>
      <c r="AY809" s="62">
        <v>19.280000000000008</v>
      </c>
      <c r="BA809" s="64">
        <v>3.1908742499999989</v>
      </c>
      <c r="BB809" s="56">
        <v>15.619999999999919</v>
      </c>
      <c r="BC809" s="56">
        <v>17.979999999999929</v>
      </c>
      <c r="BD809" s="62">
        <v>29.51999999999995</v>
      </c>
      <c r="BF809" s="64">
        <v>2.9241419500000001</v>
      </c>
      <c r="BG809" s="56">
        <v>19.679999999999961</v>
      </c>
      <c r="BH809" s="56">
        <v>26.52000000000001</v>
      </c>
      <c r="BI809" s="62">
        <v>56.299999999999983</v>
      </c>
      <c r="BJ809" s="69"/>
      <c r="BK809" s="51"/>
    </row>
    <row r="810" spans="1:63" ht="17.25" customHeight="1" thickBot="1" x14ac:dyDescent="0.45">
      <c r="A810" s="16" t="s">
        <v>887</v>
      </c>
      <c r="B810" s="4"/>
      <c r="C810" s="4"/>
      <c r="D810" s="4"/>
      <c r="E810" s="12"/>
      <c r="G810" s="147" t="s">
        <v>887</v>
      </c>
      <c r="H810" s="159">
        <v>70.16</v>
      </c>
      <c r="I810" s="153">
        <v>70.27</v>
      </c>
      <c r="J810" s="153">
        <v>70.28</v>
      </c>
      <c r="K810" s="153">
        <v>70.33</v>
      </c>
      <c r="L810" s="153">
        <v>70.39</v>
      </c>
      <c r="M810" s="80">
        <f t="shared" si="24"/>
        <v>70.39</v>
      </c>
      <c r="N810" s="80">
        <f t="shared" si="25"/>
        <v>70.27</v>
      </c>
      <c r="O810" s="153">
        <v>21.16</v>
      </c>
      <c r="P810" s="153">
        <v>21.11</v>
      </c>
      <c r="Q810" s="153">
        <v>21.16</v>
      </c>
      <c r="R810" s="153">
        <v>21.03</v>
      </c>
      <c r="S810" s="4"/>
      <c r="U810" s="147" t="s">
        <v>887</v>
      </c>
      <c r="V810" s="11"/>
      <c r="W810" s="4"/>
      <c r="X810" s="12"/>
      <c r="Y810" s="14"/>
      <c r="Z810" s="4"/>
      <c r="AA810" s="13"/>
      <c r="AB810" s="11"/>
      <c r="AC810" s="4"/>
      <c r="AD810" s="12"/>
      <c r="AE810" s="13"/>
      <c r="AF810" s="14">
        <v>5.0256999999999996</v>
      </c>
      <c r="AG810" s="133"/>
      <c r="AI810" s="84"/>
      <c r="AL810" s="64">
        <v>4.1734215499999996</v>
      </c>
      <c r="AM810" s="56">
        <v>14.81999999999992</v>
      </c>
      <c r="AN810" s="56">
        <v>16.79999999999993</v>
      </c>
      <c r="AO810" s="62">
        <v>22.780000000000019</v>
      </c>
      <c r="AQ810" s="64">
        <v>4.0818383333333328</v>
      </c>
      <c r="AR810" s="56">
        <v>14.19999999999995</v>
      </c>
      <c r="AS810" s="56">
        <v>15.680000000000049</v>
      </c>
      <c r="AT810" s="62">
        <v>19.840000000000039</v>
      </c>
      <c r="AV810" s="64">
        <v>3.7288090999999999</v>
      </c>
      <c r="AW810" s="56">
        <v>13.57999999999997</v>
      </c>
      <c r="AX810" s="56">
        <v>15.059999999999979</v>
      </c>
      <c r="AY810" s="62">
        <v>19.78</v>
      </c>
      <c r="BA810" s="64">
        <v>3.1853647666666669</v>
      </c>
      <c r="BB810" s="56">
        <v>16.280000000000069</v>
      </c>
      <c r="BC810" s="56">
        <v>18.760000000000069</v>
      </c>
      <c r="BD810" s="62">
        <v>30.74000000000003</v>
      </c>
      <c r="BF810" s="64">
        <v>2.9306149833333341</v>
      </c>
      <c r="BG810" s="56">
        <v>20.479999999999961</v>
      </c>
      <c r="BH810" s="56">
        <v>27.4</v>
      </c>
      <c r="BI810" s="62">
        <v>56.939999999999991</v>
      </c>
      <c r="BJ810" s="70"/>
      <c r="BK810" s="51"/>
    </row>
    <row r="811" spans="1:63" ht="17.25" customHeight="1" thickBot="1" x14ac:dyDescent="0.45">
      <c r="A811" s="16" t="s">
        <v>888</v>
      </c>
      <c r="B811" s="4"/>
      <c r="C811" s="4"/>
      <c r="D811" s="4"/>
      <c r="E811" s="12"/>
      <c r="G811" s="147" t="s">
        <v>888</v>
      </c>
      <c r="H811" s="159">
        <v>70.037000000000006</v>
      </c>
      <c r="I811" s="153">
        <v>70.34</v>
      </c>
      <c r="J811" s="153">
        <v>70.33</v>
      </c>
      <c r="K811" s="153">
        <v>70.28</v>
      </c>
      <c r="L811" s="153">
        <v>70.36</v>
      </c>
      <c r="M811" s="80">
        <f t="shared" si="24"/>
        <v>70.36</v>
      </c>
      <c r="N811" s="80">
        <f t="shared" si="25"/>
        <v>70.28</v>
      </c>
      <c r="O811" s="153">
        <v>21.19</v>
      </c>
      <c r="P811" s="153">
        <v>21.1</v>
      </c>
      <c r="Q811" s="153">
        <v>21.12</v>
      </c>
      <c r="R811" s="153">
        <v>21.06</v>
      </c>
      <c r="S811" s="4"/>
      <c r="U811" s="147" t="s">
        <v>888</v>
      </c>
      <c r="V811" s="11"/>
      <c r="W811" s="4"/>
      <c r="X811" s="12"/>
      <c r="Y811" s="14"/>
      <c r="Z811" s="4"/>
      <c r="AA811" s="13"/>
      <c r="AB811" s="11"/>
      <c r="AC811" s="4"/>
      <c r="AD811" s="12"/>
      <c r="AE811" s="13"/>
      <c r="AF811" s="14">
        <v>5.0102000000000002</v>
      </c>
      <c r="AG811" s="133"/>
      <c r="AI811" s="84"/>
      <c r="AL811" s="64">
        <v>4.1738859000000001</v>
      </c>
      <c r="AM811" s="56">
        <v>14.279999999999941</v>
      </c>
      <c r="AN811" s="56">
        <v>16.259999999999941</v>
      </c>
      <c r="AO811" s="62">
        <v>22.21999999999991</v>
      </c>
      <c r="AQ811" s="64">
        <v>4.082108833333332</v>
      </c>
      <c r="AR811" s="56">
        <v>14.059999999999921</v>
      </c>
      <c r="AS811" s="56">
        <v>15.519999999999889</v>
      </c>
      <c r="AT811" s="62">
        <v>19.63999999999988</v>
      </c>
      <c r="AV811" s="64">
        <v>3.7307251666666659</v>
      </c>
      <c r="AW811" s="56">
        <v>13.34</v>
      </c>
      <c r="AX811" s="56">
        <v>14.799999999999971</v>
      </c>
      <c r="AY811" s="62">
        <v>19.539999999999939</v>
      </c>
      <c r="BA811" s="64">
        <v>3.1924776833333328</v>
      </c>
      <c r="BB811" s="56">
        <v>15.579999999999931</v>
      </c>
      <c r="BC811" s="56">
        <v>17.93999999999993</v>
      </c>
      <c r="BD811" s="62">
        <v>29.439999999999959</v>
      </c>
      <c r="BF811" s="64">
        <v>2.9217437666666659</v>
      </c>
      <c r="BG811" s="56">
        <v>19.80000000000004</v>
      </c>
      <c r="BH811" s="56">
        <v>26.719999999999992</v>
      </c>
      <c r="BI811" s="62">
        <v>56.899999999999991</v>
      </c>
      <c r="BJ811" s="70"/>
      <c r="BK811" s="51"/>
    </row>
    <row r="812" spans="1:63" ht="17.25" customHeight="1" thickBot="1" x14ac:dyDescent="0.45">
      <c r="A812" s="16" t="s">
        <v>889</v>
      </c>
      <c r="B812" s="4"/>
      <c r="C812" s="4"/>
      <c r="D812" s="4"/>
      <c r="E812" s="12"/>
      <c r="G812" s="147" t="s">
        <v>889</v>
      </c>
      <c r="H812" s="159">
        <v>70.061000000000007</v>
      </c>
      <c r="I812" s="153">
        <v>70.38</v>
      </c>
      <c r="J812" s="153">
        <v>70.319999999999993</v>
      </c>
      <c r="K812" s="153">
        <v>70.37</v>
      </c>
      <c r="L812" s="153">
        <v>70.400000000000006</v>
      </c>
      <c r="M812" s="80">
        <f t="shared" si="24"/>
        <v>70.400000000000006</v>
      </c>
      <c r="N812" s="80">
        <f t="shared" si="25"/>
        <v>70.319999999999993</v>
      </c>
      <c r="O812" s="153">
        <v>21.15</v>
      </c>
      <c r="P812" s="153">
        <v>21.1</v>
      </c>
      <c r="Q812" s="153">
        <v>21.17</v>
      </c>
      <c r="R812" s="153">
        <v>21.02</v>
      </c>
      <c r="S812" s="4"/>
      <c r="U812" s="147" t="s">
        <v>889</v>
      </c>
      <c r="V812" s="11"/>
      <c r="W812" s="4"/>
      <c r="X812" s="12"/>
      <c r="Y812" s="14"/>
      <c r="Z812" s="4"/>
      <c r="AA812" s="13"/>
      <c r="AB812" s="11"/>
      <c r="AC812" s="4"/>
      <c r="AD812" s="12"/>
      <c r="AE812" s="13"/>
      <c r="AF812" s="14">
        <v>5.0148999999999999</v>
      </c>
      <c r="AG812" s="133"/>
      <c r="AI812" s="84"/>
      <c r="AL812" s="64">
        <v>4.1735989499999997</v>
      </c>
      <c r="AM812" s="56">
        <v>14.57999999999995</v>
      </c>
      <c r="AN812" s="56">
        <v>16.599999999999859</v>
      </c>
      <c r="AO812" s="62">
        <v>22.65999999999995</v>
      </c>
      <c r="AQ812" s="64">
        <v>4.0835242833333334</v>
      </c>
      <c r="AR812" s="56">
        <v>14.380000000000059</v>
      </c>
      <c r="AS812" s="56">
        <v>15.87999999999994</v>
      </c>
      <c r="AT812" s="62">
        <v>20.019999999999971</v>
      </c>
      <c r="AV812" s="64">
        <v>3.7308028499999999</v>
      </c>
      <c r="AW812" s="56">
        <v>13.700000000000051</v>
      </c>
      <c r="AX812" s="56">
        <v>15.18000000000006</v>
      </c>
      <c r="AY812" s="62">
        <v>19.92000000000003</v>
      </c>
      <c r="BA812" s="64">
        <v>3.1871407500000002</v>
      </c>
      <c r="BB812" s="56">
        <v>16.559999999999949</v>
      </c>
      <c r="BC812" s="56">
        <v>19.08000000000003</v>
      </c>
      <c r="BD812" s="62">
        <v>31.160000000000029</v>
      </c>
      <c r="BF812" s="64">
        <v>2.930396183333333</v>
      </c>
      <c r="BG812" s="56">
        <v>20.500000000000011</v>
      </c>
      <c r="BH812" s="56">
        <v>27.71999999999997</v>
      </c>
      <c r="BI812" s="62">
        <v>57.62</v>
      </c>
      <c r="BJ812" s="70"/>
      <c r="BK812" s="51"/>
    </row>
    <row r="813" spans="1:63" ht="17.25" customHeight="1" thickBot="1" x14ac:dyDescent="0.45">
      <c r="A813" s="16" t="s">
        <v>890</v>
      </c>
      <c r="B813" s="4"/>
      <c r="C813" s="4"/>
      <c r="D813" s="4"/>
      <c r="E813" s="12"/>
      <c r="G813" s="147" t="s">
        <v>890</v>
      </c>
      <c r="H813" s="159">
        <v>70.087999999999994</v>
      </c>
      <c r="I813" s="153">
        <v>70.3</v>
      </c>
      <c r="J813" s="153">
        <v>70.34</v>
      </c>
      <c r="K813" s="153">
        <v>70.31</v>
      </c>
      <c r="L813" s="153">
        <v>70.37</v>
      </c>
      <c r="M813" s="80">
        <f t="shared" si="24"/>
        <v>70.37</v>
      </c>
      <c r="N813" s="80">
        <f t="shared" si="25"/>
        <v>70.3</v>
      </c>
      <c r="O813" s="153">
        <v>21.16</v>
      </c>
      <c r="P813" s="153">
        <v>21.07</v>
      </c>
      <c r="Q813" s="153">
        <v>21.14</v>
      </c>
      <c r="R813" s="153">
        <v>21.13</v>
      </c>
      <c r="S813" s="4"/>
      <c r="U813" s="147" t="s">
        <v>890</v>
      </c>
      <c r="V813" s="11"/>
      <c r="W813" s="4"/>
      <c r="X813" s="12"/>
      <c r="Y813" s="14"/>
      <c r="Z813" s="4"/>
      <c r="AA813" s="13"/>
      <c r="AB813" s="11"/>
      <c r="AC813" s="4"/>
      <c r="AD813" s="12"/>
      <c r="AE813" s="13"/>
      <c r="AF813" s="14">
        <v>5.0175999999999998</v>
      </c>
      <c r="AG813" s="133"/>
      <c r="AI813" s="84"/>
      <c r="AL813" s="64">
        <v>4.1733814999999996</v>
      </c>
      <c r="AM813" s="56">
        <v>14.440000000000101</v>
      </c>
      <c r="AN813" s="56">
        <v>16.440000000000051</v>
      </c>
      <c r="AO813" s="62">
        <v>22.480000000000011</v>
      </c>
      <c r="AQ813" s="64">
        <v>4.0825943833333334</v>
      </c>
      <c r="AR813" s="56">
        <v>14.00000000000006</v>
      </c>
      <c r="AS813" s="56">
        <v>15.460000000000029</v>
      </c>
      <c r="AT813" s="62">
        <v>19.56000000000007</v>
      </c>
      <c r="AV813" s="64">
        <v>3.730154349999999</v>
      </c>
      <c r="AW813" s="56">
        <v>13.45999999999998</v>
      </c>
      <c r="AX813" s="56">
        <v>14.9</v>
      </c>
      <c r="AY813" s="62">
        <v>19.599999999999969</v>
      </c>
      <c r="BA813" s="64">
        <v>3.1885341833333332</v>
      </c>
      <c r="BB813" s="56">
        <v>16.12</v>
      </c>
      <c r="BC813" s="56">
        <v>18.580000000000041</v>
      </c>
      <c r="BD813" s="62">
        <v>30.499999999999972</v>
      </c>
      <c r="BF813" s="64">
        <v>2.9368799999999999</v>
      </c>
      <c r="BG813" s="56">
        <v>20.16</v>
      </c>
      <c r="BH813" s="56">
        <v>27.140000000000079</v>
      </c>
      <c r="BI813" s="62">
        <v>56.560000000000073</v>
      </c>
      <c r="BJ813" s="70"/>
      <c r="BK813" s="51"/>
    </row>
    <row r="814" spans="1:63" ht="17.25" customHeight="1" thickBot="1" x14ac:dyDescent="0.45">
      <c r="A814" s="16" t="s">
        <v>891</v>
      </c>
      <c r="B814" s="4"/>
      <c r="C814" s="4"/>
      <c r="D814" s="4"/>
      <c r="E814" s="12"/>
      <c r="G814" s="147" t="s">
        <v>891</v>
      </c>
      <c r="H814" s="159">
        <v>70.055999999999997</v>
      </c>
      <c r="I814" s="153">
        <v>70.349999999999994</v>
      </c>
      <c r="J814" s="153">
        <v>70.349999999999994</v>
      </c>
      <c r="K814" s="153">
        <v>70.37</v>
      </c>
      <c r="L814" s="153">
        <v>70.319999999999993</v>
      </c>
      <c r="M814" s="80">
        <f t="shared" si="24"/>
        <v>70.37</v>
      </c>
      <c r="N814" s="80">
        <f t="shared" si="25"/>
        <v>70.319999999999993</v>
      </c>
      <c r="O814" s="153">
        <v>21.11</v>
      </c>
      <c r="P814" s="153">
        <v>21.12</v>
      </c>
      <c r="Q814" s="153">
        <v>21.11</v>
      </c>
      <c r="R814" s="153">
        <v>21.07</v>
      </c>
      <c r="S814" s="4"/>
      <c r="U814" s="147" t="s">
        <v>891</v>
      </c>
      <c r="V814" s="11"/>
      <c r="W814" s="4"/>
      <c r="X814" s="12"/>
      <c r="Y814" s="14"/>
      <c r="Z814" s="4"/>
      <c r="AA814" s="13"/>
      <c r="AB814" s="11"/>
      <c r="AC814" s="4"/>
      <c r="AD814" s="12"/>
      <c r="AE814" s="13"/>
      <c r="AF814" s="14">
        <v>5.0072999999999999</v>
      </c>
      <c r="AG814" s="133"/>
      <c r="AI814" s="84"/>
      <c r="AL814" s="64">
        <v>4.1734979666666661</v>
      </c>
      <c r="AM814" s="56">
        <v>14.400000000000009</v>
      </c>
      <c r="AN814" s="56">
        <v>16.39999999999997</v>
      </c>
      <c r="AO814" s="62">
        <v>22.379999999999889</v>
      </c>
      <c r="AQ814" s="64">
        <v>4.0824327333333326</v>
      </c>
      <c r="AR814" s="56">
        <v>14.39999999999984</v>
      </c>
      <c r="AS814" s="56">
        <v>15.87999999999994</v>
      </c>
      <c r="AT814" s="62">
        <v>19.999999999999929</v>
      </c>
      <c r="AV814" s="64">
        <v>3.7301744499999998</v>
      </c>
      <c r="AW814" s="56">
        <v>13.57999999999997</v>
      </c>
      <c r="AX814" s="56">
        <v>15.040000000000029</v>
      </c>
      <c r="AY814" s="62">
        <v>19.759999999999959</v>
      </c>
      <c r="BA814" s="64">
        <v>3.189359183333333</v>
      </c>
      <c r="BB814" s="56">
        <v>16.139999999999951</v>
      </c>
      <c r="BC814" s="56">
        <v>18.599999999999991</v>
      </c>
      <c r="BD814" s="62">
        <v>30.41999999999998</v>
      </c>
      <c r="BF814" s="64">
        <v>2.9292430999999999</v>
      </c>
      <c r="BG814" s="56">
        <v>20.16</v>
      </c>
      <c r="BH814" s="56">
        <v>27.25999999999997</v>
      </c>
      <c r="BI814" s="62">
        <v>57.259999999999962</v>
      </c>
      <c r="BJ814" s="70"/>
      <c r="BK814" s="51"/>
    </row>
    <row r="815" spans="1:63" ht="17.25" customHeight="1" thickBot="1" x14ac:dyDescent="0.45">
      <c r="A815" s="16" t="s">
        <v>892</v>
      </c>
      <c r="B815" s="4"/>
      <c r="C815" s="4"/>
      <c r="D815" s="4"/>
      <c r="E815" s="12"/>
      <c r="G815" s="147" t="s">
        <v>892</v>
      </c>
      <c r="H815" s="159">
        <v>70.075000000000003</v>
      </c>
      <c r="I815" s="153">
        <v>70.39</v>
      </c>
      <c r="J815" s="153">
        <v>70.34</v>
      </c>
      <c r="K815" s="153">
        <v>70.290000000000006</v>
      </c>
      <c r="L815" s="153">
        <v>70.36</v>
      </c>
      <c r="M815" s="80">
        <f t="shared" si="24"/>
        <v>70.39</v>
      </c>
      <c r="N815" s="80">
        <f t="shared" si="25"/>
        <v>70.290000000000006</v>
      </c>
      <c r="O815" s="153">
        <v>21.21</v>
      </c>
      <c r="P815" s="153">
        <v>21.07</v>
      </c>
      <c r="Q815" s="153">
        <v>21.07</v>
      </c>
      <c r="R815" s="153">
        <v>21.06</v>
      </c>
      <c r="S815" s="4"/>
      <c r="U815" s="147" t="s">
        <v>892</v>
      </c>
      <c r="V815" s="11"/>
      <c r="W815" s="4"/>
      <c r="X815" s="12"/>
      <c r="Y815" s="14"/>
      <c r="Z815" s="4"/>
      <c r="AA815" s="13"/>
      <c r="AB815" s="11"/>
      <c r="AC815" s="4"/>
      <c r="AD815" s="12"/>
      <c r="AE815" s="13"/>
      <c r="AF815" s="14">
        <v>5.0117000000000003</v>
      </c>
      <c r="AG815" s="133"/>
      <c r="AI815" s="84"/>
      <c r="AL815" s="64">
        <v>4.1730050333333333</v>
      </c>
      <c r="AM815" s="56">
        <v>14.460000000000051</v>
      </c>
      <c r="AN815" s="56">
        <v>16.460000000000012</v>
      </c>
      <c r="AO815" s="62">
        <v>22.460000000000061</v>
      </c>
      <c r="AQ815" s="64">
        <v>4.0822964000000006</v>
      </c>
      <c r="AR815" s="56">
        <v>14.08000000000005</v>
      </c>
      <c r="AS815" s="56">
        <v>15.54000000000002</v>
      </c>
      <c r="AT815" s="62">
        <v>19.620000000000019</v>
      </c>
      <c r="AV815" s="64">
        <v>3.729669250000001</v>
      </c>
      <c r="AW815" s="56">
        <v>13.419999999999989</v>
      </c>
      <c r="AX815" s="56">
        <v>14.87999999999996</v>
      </c>
      <c r="AY815" s="62">
        <v>19.54000000000002</v>
      </c>
      <c r="BA815" s="64">
        <v>3.1864148833333328</v>
      </c>
      <c r="BB815" s="56">
        <v>15.97999999999997</v>
      </c>
      <c r="BC815" s="56">
        <v>18.40000000000002</v>
      </c>
      <c r="BD815" s="62">
        <v>30.28000000000004</v>
      </c>
      <c r="BF815" s="64">
        <v>2.931365033333333</v>
      </c>
      <c r="BG815" s="56">
        <v>19.980000000000061</v>
      </c>
      <c r="BH815" s="56">
        <v>26.860000000000021</v>
      </c>
      <c r="BI815" s="62">
        <v>56.500000000000043</v>
      </c>
      <c r="BJ815" s="70"/>
      <c r="BK815" s="51"/>
    </row>
    <row r="816" spans="1:63" ht="17.25" customHeight="1" thickBot="1" x14ac:dyDescent="0.45">
      <c r="A816" s="16" t="s">
        <v>893</v>
      </c>
      <c r="B816" s="4"/>
      <c r="C816" s="4"/>
      <c r="D816" s="4"/>
      <c r="E816" s="12"/>
      <c r="G816" s="147" t="s">
        <v>893</v>
      </c>
      <c r="H816" s="159">
        <v>70.049000000000007</v>
      </c>
      <c r="I816" s="153">
        <v>70.37</v>
      </c>
      <c r="J816" s="153">
        <v>70.31</v>
      </c>
      <c r="K816" s="153">
        <v>70.38</v>
      </c>
      <c r="L816" s="153">
        <v>70.39</v>
      </c>
      <c r="M816" s="80">
        <f t="shared" si="24"/>
        <v>70.39</v>
      </c>
      <c r="N816" s="80">
        <f t="shared" si="25"/>
        <v>70.31</v>
      </c>
      <c r="O816" s="153">
        <v>21.14</v>
      </c>
      <c r="P816" s="153">
        <v>21.07</v>
      </c>
      <c r="Q816" s="153">
        <v>21.13</v>
      </c>
      <c r="R816" s="153">
        <v>21.01</v>
      </c>
      <c r="S816" s="4"/>
      <c r="U816" s="147" t="s">
        <v>893</v>
      </c>
      <c r="V816" s="11"/>
      <c r="W816" s="4"/>
      <c r="X816" s="12"/>
      <c r="Y816" s="14"/>
      <c r="Z816" s="4"/>
      <c r="AA816" s="13"/>
      <c r="AB816" s="11"/>
      <c r="AC816" s="4"/>
      <c r="AD816" s="12"/>
      <c r="AE816" s="13"/>
      <c r="AF816" s="14">
        <v>5.0106999999999999</v>
      </c>
      <c r="AG816" s="133"/>
      <c r="AI816" s="84"/>
      <c r="AL816" s="64">
        <v>4.1731557500000003</v>
      </c>
      <c r="AM816" s="56">
        <v>14.03999999999996</v>
      </c>
      <c r="AN816" s="56">
        <v>16.019999999999971</v>
      </c>
      <c r="AO816" s="62">
        <v>21.899999999999942</v>
      </c>
      <c r="AQ816" s="64">
        <v>4.0838534499999994</v>
      </c>
      <c r="AR816" s="56">
        <v>14.179999999999991</v>
      </c>
      <c r="AS816" s="56">
        <v>15.63999999999997</v>
      </c>
      <c r="AT816" s="62">
        <v>19.78</v>
      </c>
      <c r="AV816" s="64">
        <v>3.7312602166666671</v>
      </c>
      <c r="AW816" s="56">
        <v>13.419999999999989</v>
      </c>
      <c r="AX816" s="56">
        <v>14.84000000000005</v>
      </c>
      <c r="AY816" s="62">
        <v>19.519999999999978</v>
      </c>
      <c r="BA816" s="64">
        <v>3.1881396500000001</v>
      </c>
      <c r="BB816" s="56">
        <v>16.060000000000048</v>
      </c>
      <c r="BC816" s="56">
        <v>18.460000000000051</v>
      </c>
      <c r="BD816" s="62">
        <v>30.360000000000031</v>
      </c>
      <c r="BF816" s="64">
        <v>2.9324272333333332</v>
      </c>
      <c r="BG816" s="56">
        <v>20.04000000000001</v>
      </c>
      <c r="BH816" s="56">
        <v>27.02</v>
      </c>
      <c r="BI816" s="62">
        <v>56.639999999999979</v>
      </c>
      <c r="BJ816" s="70"/>
      <c r="BK816" s="51"/>
    </row>
    <row r="817" spans="1:63" ht="17.25" customHeight="1" thickBot="1" x14ac:dyDescent="0.45">
      <c r="A817" s="16" t="s">
        <v>894</v>
      </c>
      <c r="B817" s="4"/>
      <c r="C817" s="4"/>
      <c r="D817" s="4"/>
      <c r="E817" s="12"/>
      <c r="G817" s="147" t="s">
        <v>894</v>
      </c>
      <c r="H817" s="159">
        <v>70.082999999999998</v>
      </c>
      <c r="I817" s="153">
        <v>70.31</v>
      </c>
      <c r="J817" s="153">
        <v>70.400000000000006</v>
      </c>
      <c r="K817" s="153">
        <v>70.290000000000006</v>
      </c>
      <c r="L817" s="153">
        <v>70.3</v>
      </c>
      <c r="M817" s="80">
        <f t="shared" si="24"/>
        <v>70.400000000000006</v>
      </c>
      <c r="N817" s="80">
        <f t="shared" si="25"/>
        <v>70.290000000000006</v>
      </c>
      <c r="O817" s="153">
        <v>21.13</v>
      </c>
      <c r="P817" s="153">
        <v>21.13</v>
      </c>
      <c r="Q817" s="153">
        <v>21.13</v>
      </c>
      <c r="R817" s="153">
        <v>21.1</v>
      </c>
      <c r="S817" s="4"/>
      <c r="U817" s="147" t="s">
        <v>894</v>
      </c>
      <c r="V817" s="11"/>
      <c r="W817" s="4"/>
      <c r="X817" s="12"/>
      <c r="Y817" s="14"/>
      <c r="Z817" s="4"/>
      <c r="AA817" s="13"/>
      <c r="AB817" s="11"/>
      <c r="AC817" s="4"/>
      <c r="AD817" s="12"/>
      <c r="AE817" s="13"/>
      <c r="AF817" s="14">
        <v>5.0195999999999996</v>
      </c>
      <c r="AG817" s="133"/>
      <c r="AI817" s="84"/>
      <c r="AL817" s="64">
        <v>4.1728479500000004</v>
      </c>
      <c r="AM817" s="56">
        <v>14.19999999999995</v>
      </c>
      <c r="AN817" s="56">
        <v>16.16</v>
      </c>
      <c r="AO817" s="62">
        <v>22.139999999999919</v>
      </c>
      <c r="AQ817" s="64">
        <v>4.0828872500000006</v>
      </c>
      <c r="AR817" s="56">
        <v>14.08000000000005</v>
      </c>
      <c r="AS817" s="56">
        <v>15.56000000000015</v>
      </c>
      <c r="AT817" s="62">
        <v>19.6600000000001</v>
      </c>
      <c r="AV817" s="64">
        <v>3.7303412499999999</v>
      </c>
      <c r="AW817" s="56">
        <v>13.480000000000031</v>
      </c>
      <c r="AX817" s="56">
        <v>14.959999999999949</v>
      </c>
      <c r="AY817" s="62">
        <v>19.660000000000011</v>
      </c>
      <c r="BA817" s="64">
        <v>3.1869317499999998</v>
      </c>
      <c r="BB817" s="56">
        <v>15.81999999999999</v>
      </c>
      <c r="BC817" s="56">
        <v>18.259999999999991</v>
      </c>
      <c r="BD817" s="62">
        <v>30.09999999999993</v>
      </c>
      <c r="BF817" s="64">
        <v>2.930452783333334</v>
      </c>
      <c r="BG817" s="56">
        <v>19.799999999999951</v>
      </c>
      <c r="BH817" s="56">
        <v>26.719999999999992</v>
      </c>
      <c r="BI817" s="62">
        <v>56.319999999999922</v>
      </c>
      <c r="BJ817" s="69"/>
      <c r="BK817" s="51"/>
    </row>
    <row r="818" spans="1:63" ht="17.25" customHeight="1" thickBot="1" x14ac:dyDescent="0.45">
      <c r="A818" s="16" t="s">
        <v>895</v>
      </c>
      <c r="B818" s="4"/>
      <c r="C818" s="4"/>
      <c r="D818" s="4"/>
      <c r="E818" s="12"/>
      <c r="G818" s="147" t="s">
        <v>895</v>
      </c>
      <c r="H818" s="159">
        <v>70.090999999999994</v>
      </c>
      <c r="I818" s="153">
        <v>70.290000000000006</v>
      </c>
      <c r="J818" s="153">
        <v>70.39</v>
      </c>
      <c r="K818" s="153">
        <v>70.36</v>
      </c>
      <c r="L818" s="153">
        <v>70.290000000000006</v>
      </c>
      <c r="M818" s="80">
        <f t="shared" si="24"/>
        <v>70.39</v>
      </c>
      <c r="N818" s="80">
        <f t="shared" si="25"/>
        <v>70.290000000000006</v>
      </c>
      <c r="O818" s="153">
        <v>21.17</v>
      </c>
      <c r="P818" s="153">
        <v>21.16</v>
      </c>
      <c r="Q818" s="153">
        <v>21.12</v>
      </c>
      <c r="R818" s="153">
        <v>21.04</v>
      </c>
      <c r="S818" s="4"/>
      <c r="U818" s="147" t="s">
        <v>895</v>
      </c>
      <c r="V818" s="11"/>
      <c r="W818" s="4"/>
      <c r="X818" s="12"/>
      <c r="Y818" s="14"/>
      <c r="Z818" s="4"/>
      <c r="AA818" s="13"/>
      <c r="AB818" s="11"/>
      <c r="AC818" s="4"/>
      <c r="AD818" s="12"/>
      <c r="AE818" s="13"/>
      <c r="AF818" s="14">
        <v>5.0206</v>
      </c>
      <c r="AG818" s="133"/>
      <c r="AI818" s="84"/>
      <c r="AL818" s="64">
        <v>4.1727932833333332</v>
      </c>
      <c r="AM818" s="56">
        <v>14.94</v>
      </c>
      <c r="AN818" s="56">
        <v>16.959999999999908</v>
      </c>
      <c r="AO818" s="62">
        <v>22.999999999999861</v>
      </c>
      <c r="AQ818" s="64">
        <v>4.0801926166666664</v>
      </c>
      <c r="AR818" s="56">
        <v>14.539999999999861</v>
      </c>
      <c r="AS818" s="56">
        <v>16.05999999999996</v>
      </c>
      <c r="AT818" s="62">
        <v>20.19999999999991</v>
      </c>
      <c r="AV818" s="64">
        <v>3.7283451333333342</v>
      </c>
      <c r="AW818" s="56">
        <v>13.86000000000003</v>
      </c>
      <c r="AX818" s="56">
        <v>15.38000000000004</v>
      </c>
      <c r="AY818" s="62">
        <v>20.16</v>
      </c>
      <c r="BA818" s="64">
        <v>3.1871646999999999</v>
      </c>
      <c r="BB818" s="56">
        <v>16.699999999999982</v>
      </c>
      <c r="BC818" s="56">
        <v>19.200000000000021</v>
      </c>
      <c r="BD818" s="62">
        <v>31.13999999999999</v>
      </c>
      <c r="BF818" s="64">
        <v>2.92607515</v>
      </c>
      <c r="BG818" s="56">
        <v>20.859999999999971</v>
      </c>
      <c r="BH818" s="56">
        <v>27.82</v>
      </c>
      <c r="BI818" s="62">
        <v>57.540000000000013</v>
      </c>
      <c r="BJ818" s="70"/>
      <c r="BK818" s="51"/>
    </row>
    <row r="819" spans="1:63" ht="17.25" customHeight="1" thickBot="1" x14ac:dyDescent="0.45">
      <c r="A819" s="16" t="s">
        <v>896</v>
      </c>
      <c r="B819" s="4"/>
      <c r="C819" s="4"/>
      <c r="D819" s="4"/>
      <c r="E819" s="12"/>
      <c r="G819" s="147" t="s">
        <v>896</v>
      </c>
      <c r="H819" s="159">
        <v>70.13</v>
      </c>
      <c r="I819" s="153">
        <v>70.33</v>
      </c>
      <c r="J819" s="153">
        <v>70.349999999999994</v>
      </c>
      <c r="K819" s="153">
        <v>70.28</v>
      </c>
      <c r="L819" s="153">
        <v>70.38</v>
      </c>
      <c r="M819" s="80">
        <f t="shared" si="24"/>
        <v>70.38</v>
      </c>
      <c r="N819" s="80">
        <f t="shared" si="25"/>
        <v>70.28</v>
      </c>
      <c r="O819" s="153">
        <v>21.18</v>
      </c>
      <c r="P819" s="153">
        <v>21.13</v>
      </c>
      <c r="Q819" s="153">
        <v>21.13</v>
      </c>
      <c r="R819" s="153">
        <v>20.99</v>
      </c>
      <c r="S819" s="4"/>
      <c r="U819" s="147" t="s">
        <v>896</v>
      </c>
      <c r="V819" s="11"/>
      <c r="W819" s="4"/>
      <c r="X819" s="12"/>
      <c r="Y819" s="14"/>
      <c r="Z819" s="4"/>
      <c r="AA819" s="13"/>
      <c r="AB819" s="11"/>
      <c r="AC819" s="4"/>
      <c r="AD819" s="12"/>
      <c r="AE819" s="13"/>
      <c r="AF819" s="14">
        <v>5.0107999999999997</v>
      </c>
      <c r="AG819" s="133"/>
      <c r="AI819" s="84"/>
      <c r="AL819" s="64">
        <v>4.1726583999999987</v>
      </c>
      <c r="AM819" s="56">
        <v>14.56</v>
      </c>
      <c r="AN819" s="56">
        <v>16.54</v>
      </c>
      <c r="AO819" s="62">
        <v>22.440000000000101</v>
      </c>
      <c r="AQ819" s="64">
        <v>4.0819044166666654</v>
      </c>
      <c r="AR819" s="56">
        <v>14.400000000000009</v>
      </c>
      <c r="AS819" s="56">
        <v>15.89999999999989</v>
      </c>
      <c r="AT819" s="62">
        <v>19.999999999999929</v>
      </c>
      <c r="AV819" s="64">
        <v>3.7292746833333341</v>
      </c>
      <c r="AW819" s="56">
        <v>13.619999999999971</v>
      </c>
      <c r="AX819" s="56">
        <v>15.059999999999979</v>
      </c>
      <c r="AY819" s="62">
        <v>19.759999999999959</v>
      </c>
      <c r="BA819" s="64">
        <v>3.1877460499999999</v>
      </c>
      <c r="BB819" s="56">
        <v>16.180000000000039</v>
      </c>
      <c r="BC819" s="56">
        <v>18.63999999999999</v>
      </c>
      <c r="BD819" s="62">
        <v>30.50000000000006</v>
      </c>
      <c r="BF819" s="64">
        <v>2.933056833333334</v>
      </c>
      <c r="BG819" s="56">
        <v>20.319999999999979</v>
      </c>
      <c r="BH819" s="56">
        <v>27.320000000000011</v>
      </c>
      <c r="BI819" s="62">
        <v>56.97999999999999</v>
      </c>
      <c r="BJ819" s="70"/>
      <c r="BK819" s="51"/>
    </row>
    <row r="820" spans="1:63" ht="17.25" customHeight="1" thickBot="1" x14ac:dyDescent="0.45">
      <c r="A820" s="16" t="s">
        <v>897</v>
      </c>
      <c r="B820" s="4"/>
      <c r="C820" s="4"/>
      <c r="D820" s="4"/>
      <c r="E820" s="12"/>
      <c r="G820" s="147" t="s">
        <v>897</v>
      </c>
      <c r="H820" s="159">
        <v>70.066000000000003</v>
      </c>
      <c r="I820" s="153">
        <v>70.37</v>
      </c>
      <c r="J820" s="153">
        <v>70.34</v>
      </c>
      <c r="K820" s="153">
        <v>70.400000000000006</v>
      </c>
      <c r="L820" s="153">
        <v>70.319999999999993</v>
      </c>
      <c r="M820" s="80">
        <f t="shared" si="24"/>
        <v>70.400000000000006</v>
      </c>
      <c r="N820" s="80">
        <f t="shared" si="25"/>
        <v>70.319999999999993</v>
      </c>
      <c r="O820" s="153">
        <v>21.17</v>
      </c>
      <c r="P820" s="153">
        <v>21.11</v>
      </c>
      <c r="Q820" s="153">
        <v>21.16</v>
      </c>
      <c r="R820" s="153">
        <v>21.05</v>
      </c>
      <c r="S820" s="4"/>
      <c r="U820" s="147" t="s">
        <v>897</v>
      </c>
      <c r="V820" s="11"/>
      <c r="W820" s="4"/>
      <c r="X820" s="12"/>
      <c r="Y820" s="14"/>
      <c r="Z820" s="4"/>
      <c r="AA820" s="13"/>
      <c r="AB820" s="11"/>
      <c r="AC820" s="4"/>
      <c r="AD820" s="12"/>
      <c r="AE820" s="13"/>
      <c r="AF820" s="14">
        <v>5.0096999999999996</v>
      </c>
      <c r="AG820" s="133"/>
      <c r="AI820" s="84"/>
      <c r="AL820" s="64">
        <v>4.1727132499999993</v>
      </c>
      <c r="AM820" s="56">
        <v>14.57999999999995</v>
      </c>
      <c r="AN820" s="56">
        <v>16.520000000000049</v>
      </c>
      <c r="AO820" s="62">
        <v>22.519999999999921</v>
      </c>
      <c r="AQ820" s="64">
        <v>4.0794503666666664</v>
      </c>
      <c r="AR820" s="56">
        <v>13.9800000000001</v>
      </c>
      <c r="AS820" s="56">
        <v>15.460000000000029</v>
      </c>
      <c r="AT820" s="62">
        <v>19.56000000000007</v>
      </c>
      <c r="AV820" s="64">
        <v>3.726991533333333</v>
      </c>
      <c r="AW820" s="56">
        <v>13.44000000000003</v>
      </c>
      <c r="AX820" s="56">
        <v>14.920000000000041</v>
      </c>
      <c r="AY820" s="62">
        <v>19.620000000000019</v>
      </c>
      <c r="BA820" s="64">
        <v>3.18247065</v>
      </c>
      <c r="BB820" s="56">
        <v>15.75999999999995</v>
      </c>
      <c r="BC820" s="56">
        <v>18.19999999999995</v>
      </c>
      <c r="BD820" s="62">
        <v>29.97999999999994</v>
      </c>
      <c r="BF820" s="64">
        <v>2.922805116666666</v>
      </c>
      <c r="BG820" s="56">
        <v>19.720000000000049</v>
      </c>
      <c r="BH820" s="56">
        <v>26.6</v>
      </c>
      <c r="BI820" s="62">
        <v>56.34000000000006</v>
      </c>
      <c r="BJ820" s="69"/>
      <c r="BK820" s="51"/>
    </row>
    <row r="821" spans="1:63" ht="17.25" customHeight="1" thickBot="1" x14ac:dyDescent="0.45">
      <c r="A821" s="16" t="s">
        <v>898</v>
      </c>
      <c r="B821" s="4"/>
      <c r="C821" s="4"/>
      <c r="D821" s="4"/>
      <c r="E821" s="12"/>
      <c r="G821" s="147" t="s">
        <v>898</v>
      </c>
      <c r="H821" s="159">
        <v>70.102999999999994</v>
      </c>
      <c r="I821" s="153">
        <v>70.400000000000006</v>
      </c>
      <c r="J821" s="153">
        <v>70.36</v>
      </c>
      <c r="K821" s="153">
        <v>70.349999999999994</v>
      </c>
      <c r="L821" s="153">
        <v>70.290000000000006</v>
      </c>
      <c r="M821" s="80">
        <f t="shared" si="24"/>
        <v>70.400000000000006</v>
      </c>
      <c r="N821" s="80">
        <f t="shared" si="25"/>
        <v>70.290000000000006</v>
      </c>
      <c r="O821" s="153">
        <v>21.12</v>
      </c>
      <c r="P821" s="153">
        <v>21.07</v>
      </c>
      <c r="Q821" s="153">
        <v>21.11</v>
      </c>
      <c r="R821" s="153">
        <v>21.01</v>
      </c>
      <c r="S821" s="4"/>
      <c r="U821" s="147" t="s">
        <v>898</v>
      </c>
      <c r="V821" s="11"/>
      <c r="W821" s="4"/>
      <c r="X821" s="12"/>
      <c r="Y821" s="14"/>
      <c r="Z821" s="4"/>
      <c r="AA821" s="13"/>
      <c r="AB821" s="11"/>
      <c r="AC821" s="4"/>
      <c r="AD821" s="12"/>
      <c r="AE821" s="13"/>
      <c r="AF821" s="14">
        <v>5.0157999999999996</v>
      </c>
      <c r="AG821" s="133"/>
      <c r="AI821" s="84"/>
      <c r="AL821" s="64">
        <v>4.1726467500000002</v>
      </c>
      <c r="AM821" s="56">
        <v>14.76000000000006</v>
      </c>
      <c r="AN821" s="56">
        <v>16.8000000000001</v>
      </c>
      <c r="AO821" s="62">
        <v>22.879999999999971</v>
      </c>
      <c r="AQ821" s="64">
        <v>4.0811879666666666</v>
      </c>
      <c r="AR821" s="56">
        <v>14.33999999999997</v>
      </c>
      <c r="AS821" s="56">
        <v>15.84000000000003</v>
      </c>
      <c r="AT821" s="62">
        <v>19.979999999999979</v>
      </c>
      <c r="AV821" s="64">
        <v>3.7279495499999999</v>
      </c>
      <c r="AW821" s="56">
        <v>13.44000000000003</v>
      </c>
      <c r="AX821" s="56">
        <v>14.9</v>
      </c>
      <c r="AY821" s="62">
        <v>19.600000000000058</v>
      </c>
      <c r="BA821" s="64">
        <v>3.1833448</v>
      </c>
      <c r="BB821" s="56">
        <v>16.16</v>
      </c>
      <c r="BC821" s="56">
        <v>18.640000000000079</v>
      </c>
      <c r="BD821" s="62">
        <v>30.620000000000051</v>
      </c>
      <c r="BF821" s="64">
        <v>2.926598883333333</v>
      </c>
      <c r="BG821" s="56">
        <v>20.27999999999999</v>
      </c>
      <c r="BH821" s="56">
        <v>27.299999999999969</v>
      </c>
      <c r="BI821" s="62">
        <v>57.24</v>
      </c>
      <c r="BJ821" s="69"/>
      <c r="BK821" s="51"/>
    </row>
    <row r="822" spans="1:63" ht="17.25" customHeight="1" thickBot="1" x14ac:dyDescent="0.45">
      <c r="A822" s="16" t="s">
        <v>899</v>
      </c>
      <c r="B822" s="4"/>
      <c r="C822" s="4"/>
      <c r="D822" s="4"/>
      <c r="E822" s="12"/>
      <c r="G822" s="147" t="s">
        <v>899</v>
      </c>
      <c r="H822" s="159">
        <v>70.061000000000007</v>
      </c>
      <c r="I822" s="153">
        <v>70.38</v>
      </c>
      <c r="J822" s="153">
        <v>70.33</v>
      </c>
      <c r="K822" s="153">
        <v>70.290000000000006</v>
      </c>
      <c r="L822" s="153">
        <v>70.27</v>
      </c>
      <c r="M822" s="80">
        <f t="shared" si="24"/>
        <v>70.38</v>
      </c>
      <c r="N822" s="80">
        <f t="shared" si="25"/>
        <v>70.27</v>
      </c>
      <c r="O822" s="153">
        <v>21.12</v>
      </c>
      <c r="P822" s="153">
        <v>21.11</v>
      </c>
      <c r="Q822" s="153">
        <v>21.12</v>
      </c>
      <c r="R822" s="153">
        <v>21.11</v>
      </c>
      <c r="S822" s="4"/>
      <c r="U822" s="147" t="s">
        <v>899</v>
      </c>
      <c r="V822" s="11"/>
      <c r="W822" s="4"/>
      <c r="X822" s="12"/>
      <c r="Y822" s="14"/>
      <c r="Z822" s="4"/>
      <c r="AA822" s="13"/>
      <c r="AB822" s="11"/>
      <c r="AC822" s="4"/>
      <c r="AD822" s="12"/>
      <c r="AE822" s="13"/>
      <c r="AF822" s="14">
        <v>5.0095999999999998</v>
      </c>
      <c r="AG822" s="133"/>
      <c r="AI822" s="84"/>
      <c r="AL822" s="64">
        <v>4.1730318166666667</v>
      </c>
      <c r="AM822" s="56">
        <v>13.899999999999929</v>
      </c>
      <c r="AN822" s="56">
        <v>15.859999999999991</v>
      </c>
      <c r="AO822" s="62">
        <v>21.860000000000031</v>
      </c>
      <c r="AQ822" s="64">
        <v>4.0823184666666679</v>
      </c>
      <c r="AR822" s="56">
        <v>13.76000000000008</v>
      </c>
      <c r="AS822" s="56">
        <v>15.199999999999919</v>
      </c>
      <c r="AT822" s="62">
        <v>19.25999999999997</v>
      </c>
      <c r="AV822" s="64">
        <v>3.7300240166666661</v>
      </c>
      <c r="AW822" s="56">
        <v>13.18000000000001</v>
      </c>
      <c r="AX822" s="56">
        <v>14.60000000000008</v>
      </c>
      <c r="AY822" s="62">
        <v>19.240000000000009</v>
      </c>
      <c r="BA822" s="64">
        <v>3.1883206500000001</v>
      </c>
      <c r="BB822" s="56">
        <v>16.04000000000001</v>
      </c>
      <c r="BC822" s="56">
        <v>18.50000000000005</v>
      </c>
      <c r="BD822" s="62">
        <v>30.320000000000039</v>
      </c>
      <c r="BF822" s="64">
        <v>2.9285621000000011</v>
      </c>
      <c r="BG822" s="56">
        <v>20.019999999999971</v>
      </c>
      <c r="BH822" s="56">
        <v>26.999999999999961</v>
      </c>
      <c r="BI822" s="62">
        <v>56.699999999999932</v>
      </c>
      <c r="BJ822" s="69"/>
      <c r="BK822" s="51"/>
    </row>
    <row r="823" spans="1:63" ht="17.25" customHeight="1" thickBot="1" x14ac:dyDescent="0.45">
      <c r="A823" s="16" t="s">
        <v>900</v>
      </c>
      <c r="B823" s="4"/>
      <c r="C823" s="4"/>
      <c r="D823" s="4"/>
      <c r="E823" s="12"/>
      <c r="G823" s="147" t="s">
        <v>900</v>
      </c>
      <c r="H823" s="159">
        <v>70.177000000000007</v>
      </c>
      <c r="I823" s="153">
        <v>70.34</v>
      </c>
      <c r="J823" s="153">
        <v>70.34</v>
      </c>
      <c r="K823" s="153">
        <v>70.36</v>
      </c>
      <c r="L823" s="153">
        <v>70.39</v>
      </c>
      <c r="M823" s="80">
        <f t="shared" si="24"/>
        <v>70.39</v>
      </c>
      <c r="N823" s="80">
        <f t="shared" si="25"/>
        <v>70.34</v>
      </c>
      <c r="O823" s="153">
        <v>21.19</v>
      </c>
      <c r="P823" s="153">
        <v>21.14</v>
      </c>
      <c r="Q823" s="153">
        <v>21.15</v>
      </c>
      <c r="R823" s="153">
        <v>21.01</v>
      </c>
      <c r="S823" s="4"/>
      <c r="U823" s="147" t="s">
        <v>900</v>
      </c>
      <c r="V823" s="11"/>
      <c r="W823" s="4"/>
      <c r="X823" s="12"/>
      <c r="Y823" s="14"/>
      <c r="Z823" s="4"/>
      <c r="AA823" s="13"/>
      <c r="AB823" s="11"/>
      <c r="AC823" s="4"/>
      <c r="AD823" s="12"/>
      <c r="AE823" s="13"/>
      <c r="AF823" s="14">
        <v>5.0286</v>
      </c>
      <c r="AG823" s="133"/>
      <c r="AI823" s="84"/>
      <c r="AL823" s="64">
        <v>4.1726423999999991</v>
      </c>
      <c r="AM823" s="56">
        <v>14.84000000000005</v>
      </c>
      <c r="AN823" s="56">
        <v>16.840000000000011</v>
      </c>
      <c r="AO823" s="62">
        <v>22.739999999999942</v>
      </c>
      <c r="AQ823" s="64">
        <v>4.0804037333333323</v>
      </c>
      <c r="AR823" s="56">
        <v>14.220000000000081</v>
      </c>
      <c r="AS823" s="56">
        <v>15.7</v>
      </c>
      <c r="AT823" s="62">
        <v>19.80000000000004</v>
      </c>
      <c r="AV823" s="64">
        <v>3.7270956999999991</v>
      </c>
      <c r="AW823" s="56">
        <v>13.69999999999996</v>
      </c>
      <c r="AX823" s="56">
        <v>15.17999999999997</v>
      </c>
      <c r="AY823" s="62">
        <v>19.93999999999998</v>
      </c>
      <c r="BA823" s="64">
        <v>3.1831155666666668</v>
      </c>
      <c r="BB823" s="56">
        <v>16.660000000000071</v>
      </c>
      <c r="BC823" s="56">
        <v>19.18000000000006</v>
      </c>
      <c r="BD823" s="62">
        <v>31.280000000000019</v>
      </c>
      <c r="BF823" s="64">
        <v>2.927527383333334</v>
      </c>
      <c r="BG823" s="56">
        <v>20.739999999999981</v>
      </c>
      <c r="BH823" s="56">
        <v>27.799999999999962</v>
      </c>
      <c r="BI823" s="62">
        <v>57.67999999999995</v>
      </c>
      <c r="BJ823" s="70"/>
      <c r="BK823" s="51"/>
    </row>
    <row r="824" spans="1:63" ht="17.25" customHeight="1" thickBot="1" x14ac:dyDescent="0.45">
      <c r="A824" s="16" t="s">
        <v>901</v>
      </c>
      <c r="B824" s="4"/>
      <c r="C824" s="4"/>
      <c r="D824" s="4"/>
      <c r="E824" s="12"/>
      <c r="G824" s="147" t="s">
        <v>901</v>
      </c>
      <c r="H824" s="159">
        <v>70.173000000000002</v>
      </c>
      <c r="I824" s="153">
        <v>70.28</v>
      </c>
      <c r="J824" s="153">
        <v>70.37</v>
      </c>
      <c r="K824" s="153">
        <v>70.290000000000006</v>
      </c>
      <c r="L824" s="153">
        <v>70.38</v>
      </c>
      <c r="M824" s="80">
        <f t="shared" si="24"/>
        <v>70.38</v>
      </c>
      <c r="N824" s="80">
        <f t="shared" si="25"/>
        <v>70.28</v>
      </c>
      <c r="O824" s="153">
        <v>21.18</v>
      </c>
      <c r="P824" s="153">
        <v>21.11</v>
      </c>
      <c r="Q824" s="153">
        <v>21.15</v>
      </c>
      <c r="R824" s="153">
        <v>21.12</v>
      </c>
      <c r="S824" s="4"/>
      <c r="U824" s="147" t="s">
        <v>901</v>
      </c>
      <c r="V824" s="11"/>
      <c r="W824" s="4"/>
      <c r="X824" s="12"/>
      <c r="Y824" s="14"/>
      <c r="Z824" s="4"/>
      <c r="AA824" s="13"/>
      <c r="AB824" s="11"/>
      <c r="AC824" s="4"/>
      <c r="AD824" s="12"/>
      <c r="AE824" s="13"/>
      <c r="AF824" s="14">
        <v>5.0263999999999998</v>
      </c>
      <c r="AG824" s="133"/>
      <c r="AI824" s="84"/>
      <c r="AL824" s="64">
        <v>4.172661933333333</v>
      </c>
      <c r="AM824" s="56">
        <v>14.30000000000007</v>
      </c>
      <c r="AN824" s="56">
        <v>16.259999999999941</v>
      </c>
      <c r="AO824" s="62">
        <v>22.19999999999995</v>
      </c>
      <c r="AQ824" s="64">
        <v>4.0832595500000002</v>
      </c>
      <c r="AR824" s="56">
        <v>14.140000000000089</v>
      </c>
      <c r="AS824" s="56">
        <v>15.60000000000006</v>
      </c>
      <c r="AT824" s="62">
        <v>19.680000000000049</v>
      </c>
      <c r="AV824" s="64">
        <v>3.731357233333334</v>
      </c>
      <c r="AW824" s="56">
        <v>13.559999999999929</v>
      </c>
      <c r="AX824" s="56">
        <v>15.019999999999991</v>
      </c>
      <c r="AY824" s="62">
        <v>19.739999999999998</v>
      </c>
      <c r="BA824" s="64">
        <v>3.192698899999999</v>
      </c>
      <c r="BB824" s="56">
        <v>16.12</v>
      </c>
      <c r="BC824" s="56">
        <v>18.580000000000041</v>
      </c>
      <c r="BD824" s="62">
        <v>30.29999999999999</v>
      </c>
      <c r="BF824" s="64">
        <v>2.9289122999999999</v>
      </c>
      <c r="BG824" s="56">
        <v>20.300000000000029</v>
      </c>
      <c r="BH824" s="56">
        <v>27.13999999999999</v>
      </c>
      <c r="BI824" s="62">
        <v>56.86</v>
      </c>
      <c r="BJ824" s="69"/>
      <c r="BK824" s="51"/>
    </row>
    <row r="825" spans="1:63" ht="17.25" customHeight="1" thickBot="1" x14ac:dyDescent="0.45">
      <c r="A825" s="16" t="s">
        <v>902</v>
      </c>
      <c r="B825" s="4"/>
      <c r="C825" s="4"/>
      <c r="D825" s="4"/>
      <c r="E825" s="12"/>
      <c r="G825" s="147" t="s">
        <v>902</v>
      </c>
      <c r="H825" s="159">
        <v>70.02</v>
      </c>
      <c r="I825" s="153">
        <v>70.38</v>
      </c>
      <c r="J825" s="153">
        <v>70.34</v>
      </c>
      <c r="K825" s="153">
        <v>70.36</v>
      </c>
      <c r="L825" s="153">
        <v>70.31</v>
      </c>
      <c r="M825" s="80">
        <f t="shared" si="24"/>
        <v>70.38</v>
      </c>
      <c r="N825" s="80">
        <f t="shared" si="25"/>
        <v>70.31</v>
      </c>
      <c r="O825" s="153">
        <v>21.2</v>
      </c>
      <c r="P825" s="153">
        <v>21.06</v>
      </c>
      <c r="Q825" s="153">
        <v>21.11</v>
      </c>
      <c r="R825" s="153">
        <v>21.09</v>
      </c>
      <c r="S825" s="4"/>
      <c r="U825" s="147" t="s">
        <v>902</v>
      </c>
      <c r="V825" s="11"/>
      <c r="W825" s="4"/>
      <c r="X825" s="12"/>
      <c r="Y825" s="14"/>
      <c r="Z825" s="4"/>
      <c r="AA825" s="13"/>
      <c r="AB825" s="11"/>
      <c r="AC825" s="4"/>
      <c r="AD825" s="12"/>
      <c r="AE825" s="13"/>
      <c r="AF825" s="14">
        <v>5.0220000000000002</v>
      </c>
      <c r="AG825" s="133"/>
      <c r="AI825" s="84"/>
      <c r="AL825" s="64">
        <v>4.1726644499999992</v>
      </c>
      <c r="AM825" s="56">
        <v>13.879999999999979</v>
      </c>
      <c r="AN825" s="56">
        <v>15.859999999999991</v>
      </c>
      <c r="AO825" s="62">
        <v>21.78000000000004</v>
      </c>
      <c r="AQ825" s="64">
        <v>4.0834688000000003</v>
      </c>
      <c r="AR825" s="56">
        <v>13.78000000000004</v>
      </c>
      <c r="AS825" s="56">
        <v>15.199999999999919</v>
      </c>
      <c r="AT825" s="62">
        <v>19.21999999999997</v>
      </c>
      <c r="AV825" s="64">
        <v>3.7314395500000002</v>
      </c>
      <c r="AW825" s="56">
        <v>13.060000000000031</v>
      </c>
      <c r="AX825" s="56">
        <v>14.50000000000005</v>
      </c>
      <c r="AY825" s="62">
        <v>19.120000000000029</v>
      </c>
      <c r="BA825" s="64">
        <v>3.192257566666667</v>
      </c>
      <c r="BB825" s="56">
        <v>15.53999999999993</v>
      </c>
      <c r="BC825" s="56">
        <v>17.91999999999998</v>
      </c>
      <c r="BD825" s="62">
        <v>29.539999999999988</v>
      </c>
      <c r="BF825" s="64">
        <v>2.9318057166666671</v>
      </c>
      <c r="BG825" s="56">
        <v>19.640000000000061</v>
      </c>
      <c r="BH825" s="56">
        <v>26.40000000000002</v>
      </c>
      <c r="BI825" s="62">
        <v>55.78000000000003</v>
      </c>
      <c r="BJ825" s="69"/>
      <c r="BK825" s="51"/>
    </row>
    <row r="826" spans="1:63" ht="17.25" customHeight="1" thickBot="1" x14ac:dyDescent="0.45">
      <c r="A826" s="16" t="s">
        <v>903</v>
      </c>
      <c r="B826" s="4"/>
      <c r="C826" s="4"/>
      <c r="D826" s="4"/>
      <c r="E826" s="12"/>
      <c r="G826" s="147" t="s">
        <v>903</v>
      </c>
      <c r="H826" s="159">
        <v>70.138000000000005</v>
      </c>
      <c r="I826" s="153">
        <v>70.33</v>
      </c>
      <c r="J826" s="153">
        <v>70.38</v>
      </c>
      <c r="K826" s="153">
        <v>70.33</v>
      </c>
      <c r="L826" s="153">
        <v>70.319999999999993</v>
      </c>
      <c r="M826" s="80">
        <f t="shared" si="24"/>
        <v>70.38</v>
      </c>
      <c r="N826" s="80">
        <f t="shared" si="25"/>
        <v>70.319999999999993</v>
      </c>
      <c r="O826" s="153">
        <v>21.14</v>
      </c>
      <c r="P826" s="153">
        <v>21.11</v>
      </c>
      <c r="Q826" s="153">
        <v>21.13</v>
      </c>
      <c r="R826" s="153">
        <v>21.06</v>
      </c>
      <c r="S826" s="4"/>
      <c r="U826" s="147" t="s">
        <v>903</v>
      </c>
      <c r="V826" s="11"/>
      <c r="W826" s="4"/>
      <c r="X826" s="12"/>
      <c r="Y826" s="14"/>
      <c r="Z826" s="4"/>
      <c r="AA826" s="13"/>
      <c r="AB826" s="11"/>
      <c r="AC826" s="4"/>
      <c r="AD826" s="12"/>
      <c r="AE826" s="13"/>
      <c r="AF826" s="14">
        <v>5.0228000000000002</v>
      </c>
      <c r="AG826" s="133"/>
      <c r="AI826" s="84"/>
      <c r="AL826" s="64">
        <v>4.1724093166666671</v>
      </c>
      <c r="AM826" s="56">
        <v>14.979999999999899</v>
      </c>
      <c r="AN826" s="56">
        <v>17.01999999999995</v>
      </c>
      <c r="AO826" s="62">
        <v>23.199999999999928</v>
      </c>
      <c r="AQ826" s="64">
        <v>4.0824093000000001</v>
      </c>
      <c r="AR826" s="56">
        <v>14.620000000000029</v>
      </c>
      <c r="AS826" s="56">
        <v>16.17999999999995</v>
      </c>
      <c r="AT826" s="62">
        <v>20.359999999999982</v>
      </c>
      <c r="AV826" s="64">
        <v>3.7295672666666668</v>
      </c>
      <c r="AW826" s="56">
        <v>14.160000000000039</v>
      </c>
      <c r="AX826" s="56">
        <v>15.680000000000049</v>
      </c>
      <c r="AY826" s="62">
        <v>20.54</v>
      </c>
      <c r="BA826" s="64">
        <v>3.1868500333333341</v>
      </c>
      <c r="BB826" s="56">
        <v>16.659999999999989</v>
      </c>
      <c r="BC826" s="56">
        <v>19.179999999999971</v>
      </c>
      <c r="BD826" s="62">
        <v>31.24000000000002</v>
      </c>
      <c r="BF826" s="64">
        <v>2.9303236333333329</v>
      </c>
      <c r="BG826" s="56">
        <v>20.679999999999939</v>
      </c>
      <c r="BH826" s="56">
        <v>27.83999999999995</v>
      </c>
      <c r="BI826" s="62">
        <v>57.819999999999979</v>
      </c>
      <c r="BJ826" s="70"/>
      <c r="BK826" s="51"/>
    </row>
    <row r="827" spans="1:63" ht="17.25" customHeight="1" thickBot="1" x14ac:dyDescent="0.45">
      <c r="A827" s="16" t="s">
        <v>904</v>
      </c>
      <c r="B827" s="4"/>
      <c r="C827" s="4"/>
      <c r="D827" s="4"/>
      <c r="E827" s="12"/>
      <c r="G827" s="147" t="s">
        <v>904</v>
      </c>
      <c r="H827" s="159">
        <v>70.087000000000003</v>
      </c>
      <c r="I827" s="153">
        <v>70.33</v>
      </c>
      <c r="J827" s="153">
        <v>70.38</v>
      </c>
      <c r="K827" s="153">
        <v>70.31</v>
      </c>
      <c r="L827" s="153">
        <v>70.290000000000006</v>
      </c>
      <c r="M827" s="80">
        <f t="shared" si="24"/>
        <v>70.38</v>
      </c>
      <c r="N827" s="80">
        <f t="shared" si="25"/>
        <v>70.290000000000006</v>
      </c>
      <c r="O827" s="153">
        <v>21.18</v>
      </c>
      <c r="P827" s="153">
        <v>21.07</v>
      </c>
      <c r="Q827" s="153">
        <v>21.08</v>
      </c>
      <c r="R827" s="153">
        <v>21.07</v>
      </c>
      <c r="S827" s="4"/>
      <c r="U827" s="147" t="s">
        <v>904</v>
      </c>
      <c r="V827" s="11"/>
      <c r="W827" s="4"/>
      <c r="X827" s="12"/>
      <c r="Y827" s="14"/>
      <c r="Z827" s="4"/>
      <c r="AA827" s="13"/>
      <c r="AB827" s="11"/>
      <c r="AC827" s="4"/>
      <c r="AD827" s="12"/>
      <c r="AE827" s="13"/>
      <c r="AF827" s="14">
        <v>5.0186999999999999</v>
      </c>
      <c r="AG827" s="133"/>
      <c r="AI827" s="84"/>
      <c r="AL827" s="64">
        <v>4.1727254666666669</v>
      </c>
      <c r="AM827" s="56">
        <v>14.400000000000009</v>
      </c>
      <c r="AN827" s="56">
        <v>16.39999999999997</v>
      </c>
      <c r="AO827" s="62">
        <v>22.240000000000041</v>
      </c>
      <c r="AQ827" s="64">
        <v>4.0822072333333326</v>
      </c>
      <c r="AR827" s="56">
        <v>14.179999999999991</v>
      </c>
      <c r="AS827" s="56">
        <v>15.6600000000001</v>
      </c>
      <c r="AT827" s="62">
        <v>19.78000000000009</v>
      </c>
      <c r="AV827" s="64">
        <v>3.7299863666666671</v>
      </c>
      <c r="AW827" s="56">
        <v>13.480000000000031</v>
      </c>
      <c r="AX827" s="56">
        <v>14.94</v>
      </c>
      <c r="AY827" s="62">
        <v>19.620000000000019</v>
      </c>
      <c r="BA827" s="64">
        <v>3.1888327666666658</v>
      </c>
      <c r="BB827" s="56">
        <v>16.459999999999919</v>
      </c>
      <c r="BC827" s="56">
        <v>18.919999999999959</v>
      </c>
      <c r="BD827" s="62">
        <v>30.81999999999994</v>
      </c>
      <c r="BF827" s="64">
        <v>2.9314285166666672</v>
      </c>
      <c r="BG827" s="56">
        <v>20.420000000000019</v>
      </c>
      <c r="BH827" s="56">
        <v>27.34000000000005</v>
      </c>
      <c r="BI827" s="62">
        <v>56.660000000000032</v>
      </c>
      <c r="BJ827" s="69"/>
      <c r="BK827" s="51"/>
    </row>
    <row r="828" spans="1:63" ht="17.25" customHeight="1" thickBot="1" x14ac:dyDescent="0.45">
      <c r="A828" s="16" t="s">
        <v>905</v>
      </c>
      <c r="B828" s="4"/>
      <c r="C828" s="4"/>
      <c r="D828" s="4"/>
      <c r="E828" s="12"/>
      <c r="G828" s="147" t="s">
        <v>905</v>
      </c>
      <c r="H828" s="159">
        <v>70.096999999999994</v>
      </c>
      <c r="I828" s="153">
        <v>70.36</v>
      </c>
      <c r="J828" s="153">
        <v>70.38</v>
      </c>
      <c r="K828" s="153">
        <v>70.28</v>
      </c>
      <c r="L828" s="153">
        <v>70.3</v>
      </c>
      <c r="M828" s="80">
        <f t="shared" si="24"/>
        <v>70.38</v>
      </c>
      <c r="N828" s="80">
        <f t="shared" si="25"/>
        <v>70.28</v>
      </c>
      <c r="O828" s="153">
        <v>21.11</v>
      </c>
      <c r="P828" s="153">
        <v>21.05</v>
      </c>
      <c r="Q828" s="153">
        <v>21.15</v>
      </c>
      <c r="R828" s="153">
        <v>21.06</v>
      </c>
      <c r="S828" s="4"/>
      <c r="U828" s="147" t="s">
        <v>905</v>
      </c>
      <c r="V828" s="11"/>
      <c r="W828" s="4"/>
      <c r="X828" s="12"/>
      <c r="Y828" s="14"/>
      <c r="Z828" s="4"/>
      <c r="AA828" s="13"/>
      <c r="AB828" s="11"/>
      <c r="AC828" s="4"/>
      <c r="AD828" s="12"/>
      <c r="AE828" s="13"/>
      <c r="AF828" s="14">
        <v>5.0194999999999999</v>
      </c>
      <c r="AG828" s="133"/>
      <c r="AI828" s="84"/>
      <c r="AL828" s="64">
        <v>4.1722414666666667</v>
      </c>
      <c r="AM828" s="56">
        <v>14.03999999999996</v>
      </c>
      <c r="AN828" s="56">
        <v>16.019999999999971</v>
      </c>
      <c r="AO828" s="62">
        <v>22.020000000000021</v>
      </c>
      <c r="AQ828" s="64">
        <v>4.0833681499999992</v>
      </c>
      <c r="AR828" s="56">
        <v>13.79999999999999</v>
      </c>
      <c r="AS828" s="56">
        <v>15.28000000000009</v>
      </c>
      <c r="AT828" s="62">
        <v>19.380000000000042</v>
      </c>
      <c r="AV828" s="64">
        <v>3.7305684000000001</v>
      </c>
      <c r="AW828" s="56">
        <v>13.160000000000061</v>
      </c>
      <c r="AX828" s="56">
        <v>14.580000000000039</v>
      </c>
      <c r="AY828" s="62">
        <v>19.260000000000051</v>
      </c>
      <c r="BA828" s="64">
        <v>3.1875018166666669</v>
      </c>
      <c r="BB828" s="56">
        <v>15.58000000000002</v>
      </c>
      <c r="BC828" s="56">
        <v>18.04000000000006</v>
      </c>
      <c r="BD828" s="62">
        <v>29.860000000000039</v>
      </c>
      <c r="BF828" s="64">
        <v>2.9313824666666668</v>
      </c>
      <c r="BG828" s="56">
        <v>19.520000000000071</v>
      </c>
      <c r="BH828" s="56">
        <v>26.40000000000002</v>
      </c>
      <c r="BI828" s="62">
        <v>55.90000000000002</v>
      </c>
      <c r="BJ828" s="70"/>
      <c r="BK828" s="51"/>
    </row>
    <row r="829" spans="1:63" ht="17.25" customHeight="1" thickBot="1" x14ac:dyDescent="0.45">
      <c r="A829" s="16" t="s">
        <v>906</v>
      </c>
      <c r="B829" s="4"/>
      <c r="C829" s="4"/>
      <c r="D829" s="4"/>
      <c r="E829" s="12"/>
      <c r="G829" s="147" t="s">
        <v>906</v>
      </c>
      <c r="H829" s="159">
        <v>70.191999999999993</v>
      </c>
      <c r="I829" s="153">
        <v>70.290000000000006</v>
      </c>
      <c r="J829" s="153">
        <v>70.319999999999993</v>
      </c>
      <c r="K829" s="153">
        <v>70.33</v>
      </c>
      <c r="L829" s="153">
        <v>70.37</v>
      </c>
      <c r="M829" s="80">
        <f t="shared" si="24"/>
        <v>70.37</v>
      </c>
      <c r="N829" s="80">
        <f t="shared" si="25"/>
        <v>70.290000000000006</v>
      </c>
      <c r="O829" s="153">
        <v>21.11</v>
      </c>
      <c r="P829" s="153">
        <v>21.09</v>
      </c>
      <c r="Q829" s="153">
        <v>21.14</v>
      </c>
      <c r="R829" s="153">
        <v>21.05</v>
      </c>
      <c r="S829" s="4"/>
      <c r="U829" s="147" t="s">
        <v>906</v>
      </c>
      <c r="V829" s="11"/>
      <c r="W829" s="4"/>
      <c r="X829" s="12"/>
      <c r="Y829" s="14"/>
      <c r="Z829" s="4"/>
      <c r="AA829" s="13"/>
      <c r="AB829" s="11"/>
      <c r="AC829" s="4"/>
      <c r="AD829" s="12"/>
      <c r="AE829" s="13"/>
      <c r="AF829" s="14">
        <v>5.0320999999999998</v>
      </c>
      <c r="AG829" s="133"/>
      <c r="AI829" s="84"/>
      <c r="AL829" s="64">
        <v>4.1727029166666663</v>
      </c>
      <c r="AM829" s="56">
        <v>14.35999999999993</v>
      </c>
      <c r="AN829" s="56">
        <v>16.319999999999979</v>
      </c>
      <c r="AO829" s="62">
        <v>22.19999999999995</v>
      </c>
      <c r="AQ829" s="64">
        <v>4.0813725000000014</v>
      </c>
      <c r="AR829" s="56">
        <v>13.940000000000021</v>
      </c>
      <c r="AS829" s="56">
        <v>15.39999999999999</v>
      </c>
      <c r="AT829" s="62">
        <v>19.480000000000079</v>
      </c>
      <c r="AV829" s="64">
        <v>3.7285184833333331</v>
      </c>
      <c r="AW829" s="56">
        <v>13.3</v>
      </c>
      <c r="AX829" s="56">
        <v>14.72000000000007</v>
      </c>
      <c r="AY829" s="62">
        <v>19.380000000000042</v>
      </c>
      <c r="BA829" s="64">
        <v>3.1856285</v>
      </c>
      <c r="BB829" s="56">
        <v>16.300000000000029</v>
      </c>
      <c r="BC829" s="56">
        <v>18.780000000000019</v>
      </c>
      <c r="BD829" s="62">
        <v>30.74000000000003</v>
      </c>
      <c r="BF829" s="64">
        <v>2.9283581833333332</v>
      </c>
      <c r="BG829" s="56">
        <v>20.359999999999982</v>
      </c>
      <c r="BH829" s="56">
        <v>27.47999999999999</v>
      </c>
      <c r="BI829" s="62">
        <v>57.479999999999983</v>
      </c>
      <c r="BJ829" s="70"/>
      <c r="BK829" s="51"/>
    </row>
    <row r="830" spans="1:63" ht="17.25" customHeight="1" thickBot="1" x14ac:dyDescent="0.45">
      <c r="A830" s="16" t="s">
        <v>907</v>
      </c>
      <c r="B830" s="4"/>
      <c r="C830" s="4"/>
      <c r="D830" s="4"/>
      <c r="E830" s="12"/>
      <c r="G830" s="147" t="s">
        <v>907</v>
      </c>
      <c r="H830" s="159">
        <v>70.141999999999996</v>
      </c>
      <c r="I830" s="153">
        <v>70.349999999999994</v>
      </c>
      <c r="J830" s="153">
        <v>70.349999999999994</v>
      </c>
      <c r="K830" s="153">
        <v>70.319999999999993</v>
      </c>
      <c r="L830" s="153">
        <v>70.38</v>
      </c>
      <c r="M830" s="80">
        <f t="shared" si="24"/>
        <v>70.38</v>
      </c>
      <c r="N830" s="80">
        <f t="shared" si="25"/>
        <v>70.319999999999993</v>
      </c>
      <c r="O830" s="153">
        <v>21.17</v>
      </c>
      <c r="P830" s="153">
        <v>21.04</v>
      </c>
      <c r="Q830" s="153">
        <v>21.13</v>
      </c>
      <c r="R830" s="153">
        <v>21.05</v>
      </c>
      <c r="S830" s="4"/>
      <c r="U830" s="147" t="s">
        <v>907</v>
      </c>
      <c r="V830" s="11"/>
      <c r="W830" s="4"/>
      <c r="X830" s="12"/>
      <c r="Y830" s="14"/>
      <c r="Z830" s="4"/>
      <c r="AA830" s="13"/>
      <c r="AB830" s="11"/>
      <c r="AC830" s="4"/>
      <c r="AD830" s="12"/>
      <c r="AE830" s="13"/>
      <c r="AF830" s="14">
        <v>5.0324999999999998</v>
      </c>
      <c r="AG830" s="133"/>
      <c r="AI830" s="84"/>
      <c r="AL830" s="64">
        <v>4.1722130166666673</v>
      </c>
      <c r="AM830" s="56">
        <v>14.060000000000089</v>
      </c>
      <c r="AN830" s="56">
        <v>16.000000000000011</v>
      </c>
      <c r="AO830" s="62">
        <v>21.900000000000119</v>
      </c>
      <c r="AQ830" s="64">
        <v>4.081226</v>
      </c>
      <c r="AR830" s="56">
        <v>13.640000000000009</v>
      </c>
      <c r="AS830" s="56">
        <v>15.059999999999899</v>
      </c>
      <c r="AT830" s="62">
        <v>19.079999999999941</v>
      </c>
      <c r="AV830" s="64">
        <v>3.729275799999999</v>
      </c>
      <c r="AW830" s="56">
        <v>13.15999999999997</v>
      </c>
      <c r="AX830" s="56">
        <v>14.599999999999991</v>
      </c>
      <c r="AY830" s="62">
        <v>19.240000000000009</v>
      </c>
      <c r="BA830" s="64">
        <v>3.189600683333333</v>
      </c>
      <c r="BB830" s="56">
        <v>15.50000000000002</v>
      </c>
      <c r="BC830" s="56">
        <v>17.88000000000007</v>
      </c>
      <c r="BD830" s="62">
        <v>29.42</v>
      </c>
      <c r="BF830" s="64">
        <v>2.9250176333333329</v>
      </c>
      <c r="BG830" s="56">
        <v>19.54000000000002</v>
      </c>
      <c r="BH830" s="56">
        <v>26.320000000000029</v>
      </c>
      <c r="BI830" s="62">
        <v>55.919999999999973</v>
      </c>
      <c r="BJ830" s="70"/>
      <c r="BK830" s="51"/>
    </row>
    <row r="831" spans="1:63" ht="17.25" customHeight="1" thickBot="1" x14ac:dyDescent="0.45">
      <c r="A831" s="16" t="s">
        <v>908</v>
      </c>
      <c r="B831" s="4"/>
      <c r="C831" s="4"/>
      <c r="D831" s="4"/>
      <c r="E831" s="12"/>
      <c r="G831" s="147" t="s">
        <v>908</v>
      </c>
      <c r="H831" s="159">
        <v>70.063000000000002</v>
      </c>
      <c r="I831" s="153">
        <v>70.33</v>
      </c>
      <c r="J831" s="153">
        <v>70.400000000000006</v>
      </c>
      <c r="K831" s="153">
        <v>70.349999999999994</v>
      </c>
      <c r="L831" s="153">
        <v>70.290000000000006</v>
      </c>
      <c r="M831" s="80">
        <f t="shared" si="24"/>
        <v>70.400000000000006</v>
      </c>
      <c r="N831" s="80">
        <f t="shared" si="25"/>
        <v>70.290000000000006</v>
      </c>
      <c r="O831" s="153">
        <v>21.15</v>
      </c>
      <c r="P831" s="153">
        <v>21.13</v>
      </c>
      <c r="Q831" s="153">
        <v>21.11</v>
      </c>
      <c r="R831" s="153">
        <v>21.04</v>
      </c>
      <c r="S831" s="4"/>
      <c r="U831" s="147" t="s">
        <v>908</v>
      </c>
      <c r="V831" s="11"/>
      <c r="W831" s="4"/>
      <c r="X831" s="12"/>
      <c r="Y831" s="14"/>
      <c r="Z831" s="4"/>
      <c r="AA831" s="13"/>
      <c r="AB831" s="11"/>
      <c r="AC831" s="4"/>
      <c r="AD831" s="12"/>
      <c r="AE831" s="13"/>
      <c r="AF831" s="14">
        <v>5.0105000000000004</v>
      </c>
      <c r="AG831" s="133"/>
      <c r="AI831" s="84"/>
      <c r="AL831" s="64">
        <v>4.1729564666666663</v>
      </c>
      <c r="AM831" s="56">
        <v>14.340000000000151</v>
      </c>
      <c r="AN831" s="56">
        <v>16.300000000000029</v>
      </c>
      <c r="AO831" s="62">
        <v>22.18</v>
      </c>
      <c r="AQ831" s="64">
        <v>4.0819714833333336</v>
      </c>
      <c r="AR831" s="56">
        <v>14.02000000000001</v>
      </c>
      <c r="AS831" s="56">
        <v>15.479999999999981</v>
      </c>
      <c r="AT831" s="62">
        <v>19.559999999999981</v>
      </c>
      <c r="AV831" s="64">
        <v>3.7301871833333329</v>
      </c>
      <c r="AW831" s="56">
        <v>13.42000000000008</v>
      </c>
      <c r="AX831" s="56">
        <v>14.880000000000051</v>
      </c>
      <c r="AY831" s="62">
        <v>19.58000000000002</v>
      </c>
      <c r="BA831" s="64">
        <v>3.1910034333333339</v>
      </c>
      <c r="BB831" s="56">
        <v>16.340000000000021</v>
      </c>
      <c r="BC831" s="56">
        <v>18.75999999999998</v>
      </c>
      <c r="BD831" s="62">
        <v>30.480000000000022</v>
      </c>
      <c r="BF831" s="64">
        <v>2.923923933333334</v>
      </c>
      <c r="BG831" s="56">
        <v>20.479999999999961</v>
      </c>
      <c r="BH831" s="56">
        <v>27.44</v>
      </c>
      <c r="BI831" s="62">
        <v>57.419999999999938</v>
      </c>
      <c r="BJ831" s="69"/>
      <c r="BK831" s="51"/>
    </row>
    <row r="832" spans="1:63" ht="17.25" customHeight="1" thickBot="1" x14ac:dyDescent="0.45">
      <c r="A832" s="16" t="s">
        <v>909</v>
      </c>
      <c r="B832" s="4"/>
      <c r="C832" s="4"/>
      <c r="D832" s="4"/>
      <c r="E832" s="12"/>
      <c r="G832" s="147" t="s">
        <v>909</v>
      </c>
      <c r="H832" s="159">
        <v>70.061000000000007</v>
      </c>
      <c r="I832" s="153">
        <v>70.36</v>
      </c>
      <c r="J832" s="153">
        <v>70.31</v>
      </c>
      <c r="K832" s="153">
        <v>70.36</v>
      </c>
      <c r="L832" s="153">
        <v>70.28</v>
      </c>
      <c r="M832" s="80">
        <f t="shared" si="24"/>
        <v>70.36</v>
      </c>
      <c r="N832" s="80">
        <f t="shared" si="25"/>
        <v>70.28</v>
      </c>
      <c r="O832" s="153">
        <v>21.2</v>
      </c>
      <c r="P832" s="153">
        <v>21.07</v>
      </c>
      <c r="Q832" s="153">
        <v>21.15</v>
      </c>
      <c r="R832" s="153">
        <v>21.05</v>
      </c>
      <c r="S832" s="4"/>
      <c r="U832" s="147" t="s">
        <v>909</v>
      </c>
      <c r="V832" s="11"/>
      <c r="W832" s="4"/>
      <c r="X832" s="12"/>
      <c r="Y832" s="14"/>
      <c r="Z832" s="4"/>
      <c r="AA832" s="13"/>
      <c r="AB832" s="11"/>
      <c r="AC832" s="4"/>
      <c r="AD832" s="12"/>
      <c r="AE832" s="13"/>
      <c r="AF832" s="14">
        <v>5.0231000000000003</v>
      </c>
      <c r="AG832" s="133"/>
      <c r="AI832" s="84"/>
      <c r="AL832" s="64">
        <v>4.1725412333333329</v>
      </c>
      <c r="AM832" s="56">
        <v>14.60000000000008</v>
      </c>
      <c r="AN832" s="56">
        <v>16.600000000000041</v>
      </c>
      <c r="AO832" s="62">
        <v>22.540000000000049</v>
      </c>
      <c r="AQ832" s="64">
        <v>4.0825730499999988</v>
      </c>
      <c r="AR832" s="56">
        <v>14.24000000000003</v>
      </c>
      <c r="AS832" s="56">
        <v>15.740000000000091</v>
      </c>
      <c r="AT832" s="62">
        <v>19.90000000000007</v>
      </c>
      <c r="AV832" s="64">
        <v>3.729558683333333</v>
      </c>
      <c r="AW832" s="56">
        <v>13.659999999999959</v>
      </c>
      <c r="AX832" s="56">
        <v>15.139999999999979</v>
      </c>
      <c r="AY832" s="62">
        <v>19.899999999999981</v>
      </c>
      <c r="BA832" s="64">
        <v>3.1840091666666668</v>
      </c>
      <c r="BB832" s="56">
        <v>16.12</v>
      </c>
      <c r="BC832" s="56">
        <v>18.599999999999991</v>
      </c>
      <c r="BD832" s="62">
        <v>30.64</v>
      </c>
      <c r="BF832" s="64">
        <v>2.9308200666666671</v>
      </c>
      <c r="BG832" s="56">
        <v>20.080000000000009</v>
      </c>
      <c r="BH832" s="56">
        <v>27.02</v>
      </c>
      <c r="BI832" s="62">
        <v>56.600000000000072</v>
      </c>
      <c r="BJ832" s="70"/>
      <c r="BK832" s="51"/>
    </row>
    <row r="833" spans="1:63" ht="17.25" customHeight="1" thickBot="1" x14ac:dyDescent="0.45">
      <c r="A833" s="16" t="s">
        <v>910</v>
      </c>
      <c r="B833" s="4"/>
      <c r="C833" s="4"/>
      <c r="D833" s="4"/>
      <c r="E833" s="12"/>
      <c r="G833" s="147" t="s">
        <v>910</v>
      </c>
      <c r="H833" s="159">
        <v>70.08</v>
      </c>
      <c r="I833" s="153">
        <v>70.290000000000006</v>
      </c>
      <c r="J833" s="153">
        <v>70.38</v>
      </c>
      <c r="K833" s="153">
        <v>70.3</v>
      </c>
      <c r="L833" s="153">
        <v>70.38</v>
      </c>
      <c r="M833" s="80">
        <f t="shared" si="24"/>
        <v>70.38</v>
      </c>
      <c r="N833" s="80">
        <f t="shared" si="25"/>
        <v>70.290000000000006</v>
      </c>
      <c r="O833" s="153">
        <v>21.12</v>
      </c>
      <c r="P833" s="153">
        <v>21.06</v>
      </c>
      <c r="Q833" s="153">
        <v>21.1</v>
      </c>
      <c r="R833" s="153">
        <v>21.05</v>
      </c>
      <c r="S833" s="4"/>
      <c r="U833" s="147" t="s">
        <v>910</v>
      </c>
      <c r="V833" s="11"/>
      <c r="W833" s="4"/>
      <c r="X833" s="12"/>
      <c r="Y833" s="14"/>
      <c r="Z833" s="4"/>
      <c r="AA833" s="13"/>
      <c r="AB833" s="11"/>
      <c r="AC833" s="4"/>
      <c r="AD833" s="12"/>
      <c r="AE833" s="13"/>
      <c r="AF833" s="14">
        <v>5.0228000000000002</v>
      </c>
      <c r="AG833" s="133"/>
      <c r="AI833" s="84"/>
      <c r="AL833" s="64">
        <v>4.1724460333333333</v>
      </c>
      <c r="AM833" s="56">
        <v>14.94</v>
      </c>
      <c r="AN833" s="56">
        <v>16.999999999999989</v>
      </c>
      <c r="AO833" s="62">
        <v>23.099999999999991</v>
      </c>
      <c r="AQ833" s="64">
        <v>4.0819963166666673</v>
      </c>
      <c r="AR833" s="56">
        <v>14.700000000000021</v>
      </c>
      <c r="AS833" s="56">
        <v>16.220000000000031</v>
      </c>
      <c r="AT833" s="62">
        <v>20.419999999999931</v>
      </c>
      <c r="AV833" s="64">
        <v>3.7292044666666659</v>
      </c>
      <c r="AW833" s="56">
        <v>14.119999999999949</v>
      </c>
      <c r="AX833" s="56">
        <v>15.63999999999997</v>
      </c>
      <c r="AY833" s="62">
        <v>20.460000000000012</v>
      </c>
      <c r="BA833" s="64">
        <v>3.1869171166666659</v>
      </c>
      <c r="BB833" s="56">
        <v>16.739999999999981</v>
      </c>
      <c r="BC833" s="56">
        <v>19.25999999999997</v>
      </c>
      <c r="BD833" s="62">
        <v>31.319999999999929</v>
      </c>
      <c r="BF833" s="64">
        <v>2.9300328666666671</v>
      </c>
      <c r="BG833" s="56">
        <v>20.800000000000018</v>
      </c>
      <c r="BH833" s="56">
        <v>27.92000000000003</v>
      </c>
      <c r="BI833" s="62">
        <v>58.020000000000053</v>
      </c>
      <c r="BJ833" s="69"/>
      <c r="BK833" s="51"/>
    </row>
    <row r="834" spans="1:63" ht="17.25" customHeight="1" thickBot="1" x14ac:dyDescent="0.45">
      <c r="A834" s="16" t="s">
        <v>911</v>
      </c>
      <c r="B834" s="4"/>
      <c r="C834" s="4"/>
      <c r="D834" s="4"/>
      <c r="E834" s="12"/>
      <c r="G834" s="147" t="s">
        <v>911</v>
      </c>
      <c r="H834" s="159">
        <v>70.067999999999998</v>
      </c>
      <c r="I834" s="153">
        <v>70.31</v>
      </c>
      <c r="J834" s="153">
        <v>70.349999999999994</v>
      </c>
      <c r="K834" s="153">
        <v>70.36</v>
      </c>
      <c r="L834" s="153">
        <v>70.34</v>
      </c>
      <c r="M834" s="80">
        <f t="shared" si="24"/>
        <v>70.36</v>
      </c>
      <c r="N834" s="80">
        <f t="shared" si="25"/>
        <v>70.31</v>
      </c>
      <c r="O834" s="153">
        <v>21.14</v>
      </c>
      <c r="P834" s="153">
        <v>21.1</v>
      </c>
      <c r="Q834" s="153">
        <v>21.16</v>
      </c>
      <c r="R834" s="153">
        <v>21.03</v>
      </c>
      <c r="S834" s="4"/>
      <c r="U834" s="147" t="s">
        <v>911</v>
      </c>
      <c r="V834" s="11"/>
      <c r="W834" s="4"/>
      <c r="X834" s="12"/>
      <c r="Y834" s="14"/>
      <c r="Z834" s="4"/>
      <c r="AA834" s="13"/>
      <c r="AB834" s="11"/>
      <c r="AC834" s="4"/>
      <c r="AD834" s="12"/>
      <c r="AE834" s="13"/>
      <c r="AF834" s="14">
        <v>5.0183</v>
      </c>
      <c r="AG834" s="133"/>
      <c r="AI834" s="84"/>
      <c r="AL834" s="64">
        <v>4.1725843833333336</v>
      </c>
      <c r="AM834" s="56">
        <v>14.700000000000021</v>
      </c>
      <c r="AN834" s="56">
        <v>16.699999999999982</v>
      </c>
      <c r="AO834" s="62">
        <v>22.65999999999995</v>
      </c>
      <c r="AQ834" s="64">
        <v>4.082001983333333</v>
      </c>
      <c r="AR834" s="56">
        <v>14.31999999999984</v>
      </c>
      <c r="AS834" s="56">
        <v>15.819999999999901</v>
      </c>
      <c r="AT834" s="62">
        <v>19.97999999999989</v>
      </c>
      <c r="AV834" s="64">
        <v>3.7295357166666672</v>
      </c>
      <c r="AW834" s="56">
        <v>13.839999999999989</v>
      </c>
      <c r="AX834" s="56">
        <v>15.340000000000041</v>
      </c>
      <c r="AY834" s="62">
        <v>20.16</v>
      </c>
      <c r="BA834" s="64">
        <v>3.1867561833333329</v>
      </c>
      <c r="BB834" s="56">
        <v>16.420000000000009</v>
      </c>
      <c r="BC834" s="56">
        <v>18.920000000000051</v>
      </c>
      <c r="BD834" s="62">
        <v>30.860000000000021</v>
      </c>
      <c r="BF834" s="64">
        <v>2.9239050666666659</v>
      </c>
      <c r="BG834" s="56">
        <v>20.520000000000049</v>
      </c>
      <c r="BH834" s="56">
        <v>27.47999999999999</v>
      </c>
      <c r="BI834" s="62">
        <v>57.540000000000013</v>
      </c>
      <c r="BJ834" s="70"/>
      <c r="BK834" s="51"/>
    </row>
    <row r="835" spans="1:63" ht="17.25" customHeight="1" thickBot="1" x14ac:dyDescent="0.45">
      <c r="A835" s="16" t="s">
        <v>912</v>
      </c>
      <c r="B835" s="4"/>
      <c r="C835" s="4"/>
      <c r="D835" s="4"/>
      <c r="E835" s="12"/>
      <c r="G835" s="147" t="s">
        <v>912</v>
      </c>
      <c r="H835" s="159">
        <v>70.072000000000003</v>
      </c>
      <c r="I835" s="153">
        <v>70.31</v>
      </c>
      <c r="J835" s="153">
        <v>70.3</v>
      </c>
      <c r="K835" s="153">
        <v>70.27</v>
      </c>
      <c r="L835" s="153">
        <v>70.31</v>
      </c>
      <c r="M835" s="80">
        <f t="shared" si="24"/>
        <v>70.31</v>
      </c>
      <c r="N835" s="80">
        <f t="shared" si="25"/>
        <v>70.27</v>
      </c>
      <c r="O835" s="153">
        <v>21.14</v>
      </c>
      <c r="P835" s="153">
        <v>21.11</v>
      </c>
      <c r="Q835" s="153">
        <v>21.15</v>
      </c>
      <c r="R835" s="153">
        <v>21.12</v>
      </c>
      <c r="S835" s="4"/>
      <c r="U835" s="147" t="s">
        <v>912</v>
      </c>
      <c r="V835" s="11"/>
      <c r="W835" s="4"/>
      <c r="X835" s="12"/>
      <c r="Y835" s="14"/>
      <c r="Z835" s="4"/>
      <c r="AA835" s="13"/>
      <c r="AB835" s="11"/>
      <c r="AC835" s="4"/>
      <c r="AD835" s="12"/>
      <c r="AE835" s="13"/>
      <c r="AF835" s="14">
        <v>5.0175000000000001</v>
      </c>
      <c r="AG835" s="133"/>
      <c r="AI835" s="84"/>
      <c r="AL835" s="64">
        <v>4.17270465</v>
      </c>
      <c r="AM835" s="56">
        <v>14.57999999999995</v>
      </c>
      <c r="AN835" s="56">
        <v>16.559999999999949</v>
      </c>
      <c r="AO835" s="62">
        <v>22.460000000000061</v>
      </c>
      <c r="AQ835" s="64">
        <v>4.0811828833333337</v>
      </c>
      <c r="AR835" s="56">
        <v>14.13999999999991</v>
      </c>
      <c r="AS835" s="56">
        <v>15.65999999999992</v>
      </c>
      <c r="AT835" s="62">
        <v>19.71999999999996</v>
      </c>
      <c r="AV835" s="64">
        <v>3.7280479666666659</v>
      </c>
      <c r="AW835" s="56">
        <v>13.68</v>
      </c>
      <c r="AX835" s="56">
        <v>15.16000000000002</v>
      </c>
      <c r="AY835" s="62">
        <v>19.92000000000003</v>
      </c>
      <c r="BA835" s="64">
        <v>3.1842503999999998</v>
      </c>
      <c r="BB835" s="56">
        <v>16.39999999999997</v>
      </c>
      <c r="BC835" s="56">
        <v>18.86000000000001</v>
      </c>
      <c r="BD835" s="62">
        <v>30.90000000000002</v>
      </c>
      <c r="BF835" s="64">
        <v>2.931612166666667</v>
      </c>
      <c r="BG835" s="56">
        <v>20.180000000000039</v>
      </c>
      <c r="BH835" s="56">
        <v>27.179999999999978</v>
      </c>
      <c r="BI835" s="62">
        <v>56.48</v>
      </c>
      <c r="BJ835" s="70"/>
      <c r="BK835" s="51"/>
    </row>
    <row r="836" spans="1:63" ht="17.25" customHeight="1" thickBot="1" x14ac:dyDescent="0.45">
      <c r="A836" s="16" t="s">
        <v>913</v>
      </c>
      <c r="B836" s="4"/>
      <c r="C836" s="4"/>
      <c r="D836" s="4"/>
      <c r="E836" s="12"/>
      <c r="G836" s="147" t="s">
        <v>913</v>
      </c>
      <c r="H836" s="159">
        <v>70.072000000000003</v>
      </c>
      <c r="I836" s="153">
        <v>70.349999999999994</v>
      </c>
      <c r="J836" s="153">
        <v>70.39</v>
      </c>
      <c r="K836" s="153">
        <v>70.38</v>
      </c>
      <c r="L836" s="153">
        <v>70.37</v>
      </c>
      <c r="M836" s="80">
        <f t="shared" si="24"/>
        <v>70.39</v>
      </c>
      <c r="N836" s="80">
        <f t="shared" si="25"/>
        <v>70.349999999999994</v>
      </c>
      <c r="O836" s="153">
        <v>21.16</v>
      </c>
      <c r="P836" s="153">
        <v>21.13</v>
      </c>
      <c r="Q836" s="153">
        <v>21.12</v>
      </c>
      <c r="R836" s="153">
        <v>21.09</v>
      </c>
      <c r="S836" s="4"/>
      <c r="U836" s="147" t="s">
        <v>913</v>
      </c>
      <c r="V836" s="11"/>
      <c r="W836" s="4"/>
      <c r="X836" s="12"/>
      <c r="Y836" s="14"/>
      <c r="Z836" s="4"/>
      <c r="AA836" s="13"/>
      <c r="AB836" s="11"/>
      <c r="AC836" s="4"/>
      <c r="AD836" s="12"/>
      <c r="AE836" s="13"/>
      <c r="AF836" s="14">
        <v>5.0163000000000002</v>
      </c>
      <c r="AG836" s="133"/>
      <c r="AI836" s="84"/>
      <c r="AL836" s="64">
        <v>4.172700616666666</v>
      </c>
      <c r="AM836" s="56">
        <v>14.00000000000006</v>
      </c>
      <c r="AN836" s="56">
        <v>15.939999999999969</v>
      </c>
      <c r="AO836" s="62">
        <v>21.94000000000003</v>
      </c>
      <c r="AQ836" s="64">
        <v>4.0834681833333333</v>
      </c>
      <c r="AR836" s="56">
        <v>13.620000000000051</v>
      </c>
      <c r="AS836" s="56">
        <v>15.09999999999998</v>
      </c>
      <c r="AT836" s="62">
        <v>19.160000000000021</v>
      </c>
      <c r="AV836" s="64">
        <v>3.7302748166666668</v>
      </c>
      <c r="AW836" s="56">
        <v>13.18000000000001</v>
      </c>
      <c r="AX836" s="56">
        <v>14.599999999999991</v>
      </c>
      <c r="AY836" s="62">
        <v>19.25999999999997</v>
      </c>
      <c r="BA836" s="64">
        <v>3.185839633333333</v>
      </c>
      <c r="BB836" s="56">
        <v>15.859999999999991</v>
      </c>
      <c r="BC836" s="56">
        <v>18.320000000000029</v>
      </c>
      <c r="BD836" s="62">
        <v>30.28000000000004</v>
      </c>
      <c r="BF836" s="64">
        <v>2.9334193000000002</v>
      </c>
      <c r="BG836" s="56">
        <v>19.599999999999969</v>
      </c>
      <c r="BH836" s="56">
        <v>26.65999999999995</v>
      </c>
      <c r="BI836" s="62">
        <v>56.159999999999947</v>
      </c>
      <c r="BJ836" s="70"/>
      <c r="BK836" s="51"/>
    </row>
    <row r="837" spans="1:63" ht="17.25" customHeight="1" thickBot="1" x14ac:dyDescent="0.45">
      <c r="A837" s="16" t="s">
        <v>914</v>
      </c>
      <c r="B837" s="4"/>
      <c r="C837" s="4"/>
      <c r="D837" s="4"/>
      <c r="E837" s="12"/>
      <c r="G837" s="147" t="s">
        <v>914</v>
      </c>
      <c r="H837" s="159">
        <v>70.204999999999998</v>
      </c>
      <c r="I837" s="153">
        <v>70.37</v>
      </c>
      <c r="J837" s="153">
        <v>70.36</v>
      </c>
      <c r="K837" s="153">
        <v>70.3</v>
      </c>
      <c r="L837" s="153">
        <v>70.39</v>
      </c>
      <c r="M837" s="80">
        <f t="shared" si="24"/>
        <v>70.39</v>
      </c>
      <c r="N837" s="80">
        <f t="shared" si="25"/>
        <v>70.3</v>
      </c>
      <c r="O837" s="153">
        <v>21.21</v>
      </c>
      <c r="P837" s="153">
        <v>21.08</v>
      </c>
      <c r="Q837" s="153">
        <v>21.13</v>
      </c>
      <c r="R837" s="153">
        <v>21.12</v>
      </c>
      <c r="S837" s="4"/>
      <c r="U837" s="147" t="s">
        <v>914</v>
      </c>
      <c r="V837" s="11"/>
      <c r="W837" s="4"/>
      <c r="X837" s="12"/>
      <c r="Y837" s="14"/>
      <c r="Z837" s="4"/>
      <c r="AA837" s="13"/>
      <c r="AB837" s="11"/>
      <c r="AC837" s="4"/>
      <c r="AD837" s="12"/>
      <c r="AE837" s="13"/>
      <c r="AF837" s="14">
        <v>5.0334000000000003</v>
      </c>
      <c r="AG837" s="133"/>
      <c r="AI837" s="84"/>
      <c r="AL837" s="64">
        <v>4.1725512666666669</v>
      </c>
      <c r="AM837" s="56">
        <v>14.50000000000014</v>
      </c>
      <c r="AN837" s="56">
        <v>16.520000000000049</v>
      </c>
      <c r="AO837" s="62">
        <v>22.420000000000151</v>
      </c>
      <c r="AQ837" s="64">
        <v>4.0824272499999994</v>
      </c>
      <c r="AR837" s="56">
        <v>14.299999999999891</v>
      </c>
      <c r="AS837" s="56">
        <v>15.799999999999949</v>
      </c>
      <c r="AT837" s="62">
        <v>19.999999999999929</v>
      </c>
      <c r="AV837" s="64">
        <v>3.7294968833333342</v>
      </c>
      <c r="AW837" s="56">
        <v>13.72</v>
      </c>
      <c r="AX837" s="56">
        <v>15.20000000000001</v>
      </c>
      <c r="AY837" s="62">
        <v>19.979999999999979</v>
      </c>
      <c r="BA837" s="64">
        <v>3.185105416666667</v>
      </c>
      <c r="BB837" s="56">
        <v>16.479999999999961</v>
      </c>
      <c r="BC837" s="56">
        <v>19.000000000000039</v>
      </c>
      <c r="BD837" s="62">
        <v>31.06</v>
      </c>
      <c r="BF837" s="64">
        <v>2.9292492000000001</v>
      </c>
      <c r="BG837" s="56">
        <v>20.639999999999951</v>
      </c>
      <c r="BH837" s="56">
        <v>27.58000000000003</v>
      </c>
      <c r="BI837" s="62">
        <v>57.399999999999977</v>
      </c>
      <c r="BJ837" s="70"/>
      <c r="BK837" s="51"/>
    </row>
    <row r="838" spans="1:63" ht="17.25" customHeight="1" thickBot="1" x14ac:dyDescent="0.45">
      <c r="A838" s="16" t="s">
        <v>915</v>
      </c>
      <c r="B838" s="4"/>
      <c r="C838" s="4"/>
      <c r="D838" s="4"/>
      <c r="E838" s="12"/>
      <c r="G838" s="147" t="s">
        <v>915</v>
      </c>
      <c r="H838" s="159">
        <v>70.084000000000003</v>
      </c>
      <c r="I838" s="153">
        <v>70.36</v>
      </c>
      <c r="J838" s="153">
        <v>70.34</v>
      </c>
      <c r="K838" s="153">
        <v>70.28</v>
      </c>
      <c r="L838" s="153">
        <v>70.33</v>
      </c>
      <c r="M838" s="80">
        <f t="shared" ref="M838:M901" si="26">MAX(I838:L838)</f>
        <v>70.36</v>
      </c>
      <c r="N838" s="80">
        <f t="shared" ref="N838:N901" si="27">MIN(I838:L838)</f>
        <v>70.28</v>
      </c>
      <c r="O838" s="153">
        <v>21.19</v>
      </c>
      <c r="P838" s="153">
        <v>21.04</v>
      </c>
      <c r="Q838" s="153">
        <v>21.14</v>
      </c>
      <c r="R838" s="153">
        <v>21.12</v>
      </c>
      <c r="S838" s="4"/>
      <c r="U838" s="147" t="s">
        <v>915</v>
      </c>
      <c r="V838" s="11"/>
      <c r="W838" s="4"/>
      <c r="X838" s="12"/>
      <c r="Y838" s="14"/>
      <c r="Z838" s="4"/>
      <c r="AA838" s="13"/>
      <c r="AB838" s="11"/>
      <c r="AC838" s="4"/>
      <c r="AD838" s="12"/>
      <c r="AE838" s="13"/>
      <c r="AF838" s="14">
        <v>5.0296000000000003</v>
      </c>
      <c r="AG838" s="133"/>
      <c r="AI838" s="84"/>
      <c r="AL838" s="64">
        <v>4.1727747833333328</v>
      </c>
      <c r="AM838" s="56">
        <v>14.02000000000001</v>
      </c>
      <c r="AN838" s="56">
        <v>15.95999999999993</v>
      </c>
      <c r="AO838" s="62">
        <v>21.899999999999942</v>
      </c>
      <c r="AQ838" s="64">
        <v>4.0830924333333343</v>
      </c>
      <c r="AR838" s="56">
        <v>13.700000000000051</v>
      </c>
      <c r="AS838" s="56">
        <v>15.140000000000059</v>
      </c>
      <c r="AT838" s="62">
        <v>19.179999999999971</v>
      </c>
      <c r="AV838" s="64">
        <v>3.7307212999999999</v>
      </c>
      <c r="AW838" s="56">
        <v>13.079999999999981</v>
      </c>
      <c r="AX838" s="56">
        <v>14.52</v>
      </c>
      <c r="AY838" s="62">
        <v>19.160000000000021</v>
      </c>
      <c r="BA838" s="64">
        <v>3.1904582833333328</v>
      </c>
      <c r="BB838" s="56">
        <v>15.26000000000005</v>
      </c>
      <c r="BC838" s="56">
        <v>17.620000000000061</v>
      </c>
      <c r="BD838" s="62">
        <v>29.11999999999999</v>
      </c>
      <c r="BF838" s="64">
        <v>2.9252253499999998</v>
      </c>
      <c r="BG838" s="56">
        <v>19.240000000000009</v>
      </c>
      <c r="BH838" s="56">
        <v>26.039999999999971</v>
      </c>
      <c r="BI838" s="62">
        <v>55.799999999999983</v>
      </c>
      <c r="BJ838" s="70"/>
      <c r="BK838" s="51"/>
    </row>
    <row r="839" spans="1:63" ht="17.25" customHeight="1" thickBot="1" x14ac:dyDescent="0.45">
      <c r="A839" s="16" t="s">
        <v>916</v>
      </c>
      <c r="B839" s="4"/>
      <c r="C839" s="4"/>
      <c r="D839" s="4"/>
      <c r="E839" s="12"/>
      <c r="G839" s="147" t="s">
        <v>916</v>
      </c>
      <c r="H839" s="159">
        <v>70.051000000000002</v>
      </c>
      <c r="I839" s="153">
        <v>70.33</v>
      </c>
      <c r="J839" s="153">
        <v>70.38</v>
      </c>
      <c r="K839" s="153">
        <v>70.34</v>
      </c>
      <c r="L839" s="153">
        <v>70.319999999999993</v>
      </c>
      <c r="M839" s="80">
        <f t="shared" si="26"/>
        <v>70.38</v>
      </c>
      <c r="N839" s="80">
        <f t="shared" si="27"/>
        <v>70.319999999999993</v>
      </c>
      <c r="O839" s="153">
        <v>21.2</v>
      </c>
      <c r="P839" s="153">
        <v>21.06</v>
      </c>
      <c r="Q839" s="153">
        <v>21.11</v>
      </c>
      <c r="R839" s="153">
        <v>21.05</v>
      </c>
      <c r="S839" s="4"/>
      <c r="U839" s="147" t="s">
        <v>916</v>
      </c>
      <c r="V839" s="11"/>
      <c r="W839" s="4"/>
      <c r="X839" s="12"/>
      <c r="Y839" s="14"/>
      <c r="Z839" s="4"/>
      <c r="AA839" s="13"/>
      <c r="AB839" s="11"/>
      <c r="AC839" s="4"/>
      <c r="AD839" s="12"/>
      <c r="AE839" s="13"/>
      <c r="AF839" s="14">
        <v>5.0266999999999999</v>
      </c>
      <c r="AG839" s="133"/>
      <c r="AI839" s="84"/>
      <c r="AL839" s="64">
        <v>4.1721965166666672</v>
      </c>
      <c r="AM839" s="56">
        <v>14.920000000000041</v>
      </c>
      <c r="AN839" s="56">
        <v>16.939999999999959</v>
      </c>
      <c r="AO839" s="62">
        <v>23.120000000000118</v>
      </c>
      <c r="AQ839" s="64">
        <v>4.0815592166666672</v>
      </c>
      <c r="AR839" s="56">
        <v>14.620000000000029</v>
      </c>
      <c r="AS839" s="56">
        <v>16.099999999999959</v>
      </c>
      <c r="AT839" s="62">
        <v>20.339999999999939</v>
      </c>
      <c r="AV839" s="64">
        <v>3.7291118000000001</v>
      </c>
      <c r="AW839" s="56">
        <v>14.02000000000001</v>
      </c>
      <c r="AX839" s="56">
        <v>15.460000000000029</v>
      </c>
      <c r="AY839" s="62">
        <v>20.319999999999979</v>
      </c>
      <c r="BA839" s="64">
        <v>3.1869243333333341</v>
      </c>
      <c r="BB839" s="56">
        <v>17.199999999999971</v>
      </c>
      <c r="BC839" s="56">
        <v>19.759999999999959</v>
      </c>
      <c r="BD839" s="62">
        <v>32.059999999999967</v>
      </c>
      <c r="BF839" s="64">
        <v>2.9518167833333329</v>
      </c>
      <c r="BG839" s="56">
        <v>21.640000000000011</v>
      </c>
      <c r="BH839" s="56">
        <v>29.72000000000001</v>
      </c>
      <c r="BI839" s="62">
        <v>61.399999999999991</v>
      </c>
      <c r="BJ839" s="70"/>
      <c r="BK839" s="51"/>
    </row>
    <row r="840" spans="1:63" ht="17.25" customHeight="1" thickBot="1" x14ac:dyDescent="0.45">
      <c r="A840" s="16" t="s">
        <v>917</v>
      </c>
      <c r="B840" s="4"/>
      <c r="C840" s="4"/>
      <c r="D840" s="4"/>
      <c r="E840" s="12"/>
      <c r="G840" s="147" t="s">
        <v>917</v>
      </c>
      <c r="H840" s="159">
        <v>70.090999999999994</v>
      </c>
      <c r="I840" s="153">
        <v>70.400000000000006</v>
      </c>
      <c r="J840" s="153">
        <v>70.28</v>
      </c>
      <c r="K840" s="153">
        <v>70.319999999999993</v>
      </c>
      <c r="L840" s="153">
        <v>70.28</v>
      </c>
      <c r="M840" s="80">
        <f t="shared" si="26"/>
        <v>70.400000000000006</v>
      </c>
      <c r="N840" s="80">
        <f t="shared" si="27"/>
        <v>70.28</v>
      </c>
      <c r="O840" s="153">
        <v>21.2</v>
      </c>
      <c r="P840" s="153">
        <v>21.07</v>
      </c>
      <c r="Q840" s="153">
        <v>21.14</v>
      </c>
      <c r="R840" s="153">
        <v>20.99</v>
      </c>
      <c r="S840" s="4"/>
      <c r="U840" s="147" t="s">
        <v>917</v>
      </c>
      <c r="V840" s="11"/>
      <c r="W840" s="4"/>
      <c r="X840" s="12"/>
      <c r="Y840" s="14"/>
      <c r="Z840" s="4"/>
      <c r="AA840" s="13"/>
      <c r="AB840" s="11"/>
      <c r="AC840" s="4"/>
      <c r="AD840" s="12"/>
      <c r="AE840" s="13"/>
      <c r="AF840" s="14">
        <v>5.0180999999999996</v>
      </c>
      <c r="AG840" s="133"/>
      <c r="AI840" s="84"/>
      <c r="AL840" s="64">
        <v>4.1723418499999996</v>
      </c>
      <c r="AM840" s="56">
        <v>14.620000000000029</v>
      </c>
      <c r="AN840" s="56">
        <v>16.579999999999909</v>
      </c>
      <c r="AO840" s="62">
        <v>22.579999999999959</v>
      </c>
      <c r="AQ840" s="64">
        <v>4.0811593500000001</v>
      </c>
      <c r="AR840" s="56">
        <v>14.400000000000009</v>
      </c>
      <c r="AS840" s="56">
        <v>15.859999999999991</v>
      </c>
      <c r="AT840" s="62">
        <v>20.05999999999997</v>
      </c>
      <c r="AV840" s="64">
        <v>3.72905555</v>
      </c>
      <c r="AW840" s="56">
        <v>13.72</v>
      </c>
      <c r="AX840" s="56">
        <v>15.16000000000002</v>
      </c>
      <c r="AY840" s="62">
        <v>19.93999999999998</v>
      </c>
      <c r="BA840" s="64">
        <v>3.1865046499999998</v>
      </c>
      <c r="BB840" s="56">
        <v>16.819999999999968</v>
      </c>
      <c r="BC840" s="56">
        <v>19.32</v>
      </c>
      <c r="BD840" s="62">
        <v>31.44</v>
      </c>
      <c r="BF840" s="64">
        <v>2.9470486500000002</v>
      </c>
      <c r="BG840" s="56">
        <v>21.140000000000029</v>
      </c>
      <c r="BH840" s="56">
        <v>28.820000000000071</v>
      </c>
      <c r="BI840" s="62">
        <v>59.740000000000038</v>
      </c>
      <c r="BJ840" s="70"/>
      <c r="BK840" s="51"/>
    </row>
    <row r="841" spans="1:63" ht="17.25" customHeight="1" thickBot="1" x14ac:dyDescent="0.45">
      <c r="A841" s="16" t="s">
        <v>918</v>
      </c>
      <c r="B841" s="4"/>
      <c r="C841" s="4"/>
      <c r="D841" s="4"/>
      <c r="E841" s="12"/>
      <c r="G841" s="147" t="s">
        <v>918</v>
      </c>
      <c r="H841" s="159">
        <v>70.164000000000001</v>
      </c>
      <c r="I841" s="153">
        <v>70.37</v>
      </c>
      <c r="J841" s="153">
        <v>70.39</v>
      </c>
      <c r="K841" s="153">
        <v>70.31</v>
      </c>
      <c r="L841" s="153">
        <v>70.38</v>
      </c>
      <c r="M841" s="80">
        <f t="shared" si="26"/>
        <v>70.39</v>
      </c>
      <c r="N841" s="80">
        <f t="shared" si="27"/>
        <v>70.31</v>
      </c>
      <c r="O841" s="153">
        <v>21.15</v>
      </c>
      <c r="P841" s="153">
        <v>21.13</v>
      </c>
      <c r="Q841" s="153">
        <v>21.13</v>
      </c>
      <c r="R841" s="153">
        <v>21.06</v>
      </c>
      <c r="S841" s="4"/>
      <c r="U841" s="147" t="s">
        <v>918</v>
      </c>
      <c r="V841" s="11"/>
      <c r="W841" s="4"/>
      <c r="X841" s="12"/>
      <c r="Y841" s="14"/>
      <c r="Z841" s="4"/>
      <c r="AA841" s="13"/>
      <c r="AB841" s="11"/>
      <c r="AC841" s="4"/>
      <c r="AD841" s="12"/>
      <c r="AE841" s="13"/>
      <c r="AF841" s="14">
        <v>5.0374999999999996</v>
      </c>
      <c r="AG841" s="133"/>
      <c r="AI841" s="84"/>
      <c r="AL841" s="64">
        <v>4.1722683666666667</v>
      </c>
      <c r="AM841" s="56">
        <v>14.86000000000001</v>
      </c>
      <c r="AN841" s="56">
        <v>16.840000000000011</v>
      </c>
      <c r="AO841" s="62">
        <v>22.89999999999992</v>
      </c>
      <c r="AQ841" s="64">
        <v>4.0812013000000009</v>
      </c>
      <c r="AR841" s="56">
        <v>14.43999999999992</v>
      </c>
      <c r="AS841" s="56">
        <v>15.939999999999969</v>
      </c>
      <c r="AT841" s="62">
        <v>20.219999999999949</v>
      </c>
      <c r="AV841" s="64">
        <v>3.7281312500000001</v>
      </c>
      <c r="AW841" s="56">
        <v>13.82000000000003</v>
      </c>
      <c r="AX841" s="56">
        <v>15.26000000000005</v>
      </c>
      <c r="AY841" s="62">
        <v>20.080000000000009</v>
      </c>
      <c r="BA841" s="64">
        <v>3.1836169999999999</v>
      </c>
      <c r="BB841" s="56">
        <v>16.88000000000001</v>
      </c>
      <c r="BC841" s="56">
        <v>19.439999999999991</v>
      </c>
      <c r="BD841" s="62">
        <v>31.75999999999997</v>
      </c>
      <c r="BF841" s="64">
        <v>2.9527267333333329</v>
      </c>
      <c r="BG841" s="56">
        <v>21.260000000000009</v>
      </c>
      <c r="BH841" s="56">
        <v>28.98000000000005</v>
      </c>
      <c r="BI841" s="62">
        <v>59.620000000000047</v>
      </c>
      <c r="BJ841" s="70"/>
      <c r="BK841" s="51"/>
    </row>
    <row r="842" spans="1:63" ht="17.25" customHeight="1" thickBot="1" x14ac:dyDescent="0.45">
      <c r="A842" s="16" t="s">
        <v>919</v>
      </c>
      <c r="B842" s="4"/>
      <c r="C842" s="4"/>
      <c r="D842" s="4"/>
      <c r="E842" s="12"/>
      <c r="G842" s="147" t="s">
        <v>919</v>
      </c>
      <c r="H842" s="159">
        <v>70.096999999999994</v>
      </c>
      <c r="I842" s="153">
        <v>70.31</v>
      </c>
      <c r="J842" s="153">
        <v>70.39</v>
      </c>
      <c r="K842" s="153">
        <v>70.37</v>
      </c>
      <c r="L842" s="153">
        <v>70.37</v>
      </c>
      <c r="M842" s="80">
        <f t="shared" si="26"/>
        <v>70.39</v>
      </c>
      <c r="N842" s="80">
        <f t="shared" si="27"/>
        <v>70.31</v>
      </c>
      <c r="O842" s="153">
        <v>21.17</v>
      </c>
      <c r="P842" s="153">
        <v>21.03</v>
      </c>
      <c r="Q842" s="153">
        <v>21.15</v>
      </c>
      <c r="R842" s="153">
        <v>21.01</v>
      </c>
      <c r="S842" s="4"/>
      <c r="U842" s="147" t="s">
        <v>919</v>
      </c>
      <c r="V842" s="11"/>
      <c r="W842" s="4"/>
      <c r="X842" s="12"/>
      <c r="Y842" s="14"/>
      <c r="Z842" s="4"/>
      <c r="AA842" s="13"/>
      <c r="AB842" s="11"/>
      <c r="AC842" s="4"/>
      <c r="AD842" s="12"/>
      <c r="AE842" s="13"/>
      <c r="AF842" s="14">
        <v>5.0213000000000001</v>
      </c>
      <c r="AG842" s="133"/>
      <c r="AI842" s="84"/>
      <c r="AL842" s="64">
        <v>4.172525966666667</v>
      </c>
      <c r="AM842" s="56">
        <v>14.41999999999997</v>
      </c>
      <c r="AN842" s="56">
        <v>16.38000000000002</v>
      </c>
      <c r="AO842" s="62">
        <v>22.520000000000099</v>
      </c>
      <c r="AQ842" s="64">
        <v>4.0815819333333341</v>
      </c>
      <c r="AR842" s="56">
        <v>14.1</v>
      </c>
      <c r="AS842" s="56">
        <v>15.55999999999997</v>
      </c>
      <c r="AT842" s="62">
        <v>19.71999999999996</v>
      </c>
      <c r="AV842" s="64">
        <v>3.7294100833333328</v>
      </c>
      <c r="AW842" s="56">
        <v>13.57999999999997</v>
      </c>
      <c r="AX842" s="56">
        <v>15.019999999999991</v>
      </c>
      <c r="AY842" s="62">
        <v>19.799999999999951</v>
      </c>
      <c r="BA842" s="64">
        <v>3.1895462166666668</v>
      </c>
      <c r="BB842" s="56">
        <v>16.479999999999961</v>
      </c>
      <c r="BC842" s="56">
        <v>18.940000000000001</v>
      </c>
      <c r="BD842" s="62">
        <v>30.90000000000002</v>
      </c>
      <c r="BF842" s="64">
        <v>2.9500576333333339</v>
      </c>
      <c r="BG842" s="56">
        <v>20.940000000000051</v>
      </c>
      <c r="BH842" s="56">
        <v>28.54000000000001</v>
      </c>
      <c r="BI842" s="62">
        <v>59.200000000000053</v>
      </c>
      <c r="BJ842" s="70"/>
      <c r="BK842" s="51"/>
    </row>
    <row r="843" spans="1:63" ht="17.25" customHeight="1" thickBot="1" x14ac:dyDescent="0.45">
      <c r="A843" s="16" t="s">
        <v>920</v>
      </c>
      <c r="B843" s="4"/>
      <c r="C843" s="4"/>
      <c r="D843" s="4"/>
      <c r="E843" s="12"/>
      <c r="G843" s="147" t="s">
        <v>920</v>
      </c>
      <c r="H843" s="159">
        <v>70.082999999999998</v>
      </c>
      <c r="I843" s="153">
        <v>70.27</v>
      </c>
      <c r="J843" s="153">
        <v>70.400000000000006</v>
      </c>
      <c r="K843" s="153">
        <v>70.36</v>
      </c>
      <c r="L843" s="153">
        <v>70.31</v>
      </c>
      <c r="M843" s="80">
        <f t="shared" si="26"/>
        <v>70.400000000000006</v>
      </c>
      <c r="N843" s="80">
        <f t="shared" si="27"/>
        <v>70.27</v>
      </c>
      <c r="O843" s="153">
        <v>21.1</v>
      </c>
      <c r="P843" s="153">
        <v>21.09</v>
      </c>
      <c r="Q843" s="153">
        <v>21.11</v>
      </c>
      <c r="R843" s="153">
        <v>21.06</v>
      </c>
      <c r="S843" s="4"/>
      <c r="U843" s="147" t="s">
        <v>920</v>
      </c>
      <c r="V843" s="11"/>
      <c r="W843" s="4"/>
      <c r="X843" s="12"/>
      <c r="Y843" s="14"/>
      <c r="Z843" s="4"/>
      <c r="AA843" s="13"/>
      <c r="AB843" s="11"/>
      <c r="AC843" s="4"/>
      <c r="AD843" s="12"/>
      <c r="AE843" s="13"/>
      <c r="AF843" s="14">
        <v>5.0285000000000002</v>
      </c>
      <c r="AG843" s="133"/>
      <c r="AI843" s="84"/>
      <c r="AL843" s="64">
        <v>4.1725643666666663</v>
      </c>
      <c r="AM843" s="56">
        <v>14.86000000000001</v>
      </c>
      <c r="AN843" s="56">
        <v>16.840000000000011</v>
      </c>
      <c r="AO843" s="62">
        <v>22.960000000000139</v>
      </c>
      <c r="AQ843" s="64">
        <v>4.0822228833333334</v>
      </c>
      <c r="AR843" s="56">
        <v>14.620000000000029</v>
      </c>
      <c r="AS843" s="56">
        <v>16.10000000000014</v>
      </c>
      <c r="AT843" s="62">
        <v>20.400000000000059</v>
      </c>
      <c r="AV843" s="64">
        <v>3.729304533333333</v>
      </c>
      <c r="AW843" s="56">
        <v>13.959999999999971</v>
      </c>
      <c r="AX843" s="56">
        <v>15.39999999999999</v>
      </c>
      <c r="AY843" s="62">
        <v>20.220000000000041</v>
      </c>
      <c r="BA843" s="64">
        <v>3.1855161166666668</v>
      </c>
      <c r="BB843" s="56">
        <v>17.079999999999981</v>
      </c>
      <c r="BC843" s="56">
        <v>19.639999999999969</v>
      </c>
      <c r="BD843" s="62">
        <v>31.919999999999948</v>
      </c>
      <c r="BF843" s="64">
        <v>2.9556851000000002</v>
      </c>
      <c r="BG843" s="56">
        <v>21.54000000000007</v>
      </c>
      <c r="BH843" s="56">
        <v>29.300000000000011</v>
      </c>
      <c r="BI843" s="62">
        <v>59.860000000000028</v>
      </c>
      <c r="BJ843" s="70"/>
      <c r="BK843" s="51"/>
    </row>
    <row r="844" spans="1:63" ht="17.25" customHeight="1" thickBot="1" x14ac:dyDescent="0.45">
      <c r="A844" s="16" t="s">
        <v>921</v>
      </c>
      <c r="B844" s="4"/>
      <c r="C844" s="4"/>
      <c r="D844" s="4"/>
      <c r="E844" s="12"/>
      <c r="G844" s="147" t="s">
        <v>921</v>
      </c>
      <c r="H844" s="159">
        <v>70.116</v>
      </c>
      <c r="I844" s="153">
        <v>70.38</v>
      </c>
      <c r="J844" s="153">
        <v>70.31</v>
      </c>
      <c r="K844" s="153">
        <v>70.38</v>
      </c>
      <c r="L844" s="153">
        <v>70.28</v>
      </c>
      <c r="M844" s="80">
        <f t="shared" si="26"/>
        <v>70.38</v>
      </c>
      <c r="N844" s="80">
        <f t="shared" si="27"/>
        <v>70.28</v>
      </c>
      <c r="O844" s="153">
        <v>21.2</v>
      </c>
      <c r="P844" s="153">
        <v>21.1</v>
      </c>
      <c r="Q844" s="153">
        <v>21.12</v>
      </c>
      <c r="R844" s="153">
        <v>21.07</v>
      </c>
      <c r="S844" s="4"/>
      <c r="U844" s="147" t="s">
        <v>921</v>
      </c>
      <c r="V844" s="11"/>
      <c r="W844" s="4"/>
      <c r="X844" s="12"/>
      <c r="Y844" s="14"/>
      <c r="Z844" s="4"/>
      <c r="AA844" s="13"/>
      <c r="AB844" s="11"/>
      <c r="AC844" s="4"/>
      <c r="AD844" s="12"/>
      <c r="AE844" s="13"/>
      <c r="AF844" s="14">
        <v>5.0217000000000001</v>
      </c>
      <c r="AG844" s="133"/>
      <c r="AI844" s="84"/>
      <c r="AL844" s="64">
        <v>4.1724150333333334</v>
      </c>
      <c r="AM844" s="56">
        <v>15.059999999999899</v>
      </c>
      <c r="AN844" s="56">
        <v>17.079999999999981</v>
      </c>
      <c r="AO844" s="62">
        <v>23.07999999999986</v>
      </c>
      <c r="AQ844" s="64">
        <v>4.0811507333333337</v>
      </c>
      <c r="AR844" s="56">
        <v>14.680000000000071</v>
      </c>
      <c r="AS844" s="56">
        <v>16.17999999999995</v>
      </c>
      <c r="AT844" s="62">
        <v>20.420000000000019</v>
      </c>
      <c r="AV844" s="64">
        <v>3.7288415833333342</v>
      </c>
      <c r="AW844" s="56">
        <v>14.119999999999949</v>
      </c>
      <c r="AX844" s="56">
        <v>15.599999999999969</v>
      </c>
      <c r="AY844" s="62">
        <v>20.479999999999961</v>
      </c>
      <c r="BA844" s="64">
        <v>3.1875138000000001</v>
      </c>
      <c r="BB844" s="56">
        <v>17.32000000000005</v>
      </c>
      <c r="BC844" s="56">
        <v>19.880000000000031</v>
      </c>
      <c r="BD844" s="62">
        <v>32.120000000000019</v>
      </c>
      <c r="BF844" s="64">
        <v>2.9523492500000001</v>
      </c>
      <c r="BG844" s="56">
        <v>21.819999999999951</v>
      </c>
      <c r="BH844" s="56">
        <v>29.539999999999988</v>
      </c>
      <c r="BI844" s="62">
        <v>60.079999999999963</v>
      </c>
      <c r="BJ844" s="70"/>
      <c r="BK844" s="51"/>
    </row>
    <row r="845" spans="1:63" ht="17.25" customHeight="1" thickBot="1" x14ac:dyDescent="0.45">
      <c r="A845" s="16" t="s">
        <v>922</v>
      </c>
      <c r="B845" s="4"/>
      <c r="C845" s="4"/>
      <c r="D845" s="4"/>
      <c r="E845" s="12"/>
      <c r="G845" s="147" t="s">
        <v>922</v>
      </c>
      <c r="H845" s="159">
        <v>70.039000000000001</v>
      </c>
      <c r="I845" s="153">
        <v>70.36</v>
      </c>
      <c r="J845" s="153">
        <v>70.34</v>
      </c>
      <c r="K845" s="153">
        <v>70.28</v>
      </c>
      <c r="L845" s="153">
        <v>70.3</v>
      </c>
      <c r="M845" s="80">
        <f t="shared" si="26"/>
        <v>70.36</v>
      </c>
      <c r="N845" s="80">
        <f t="shared" si="27"/>
        <v>70.28</v>
      </c>
      <c r="O845" s="153">
        <v>21.11</v>
      </c>
      <c r="P845" s="153">
        <v>21.07</v>
      </c>
      <c r="Q845" s="153">
        <v>21.09</v>
      </c>
      <c r="R845" s="153">
        <v>21.04</v>
      </c>
      <c r="S845" s="4"/>
      <c r="U845" s="147" t="s">
        <v>922</v>
      </c>
      <c r="V845" s="11"/>
      <c r="W845" s="4"/>
      <c r="X845" s="12"/>
      <c r="Y845" s="14"/>
      <c r="Z845" s="4"/>
      <c r="AA845" s="13"/>
      <c r="AB845" s="11"/>
      <c r="AC845" s="4"/>
      <c r="AD845" s="12"/>
      <c r="AE845" s="13"/>
      <c r="AF845" s="14">
        <v>5.0174000000000003</v>
      </c>
      <c r="AG845" s="133"/>
      <c r="AI845" s="84"/>
      <c r="AL845" s="64">
        <v>4.172550583333333</v>
      </c>
      <c r="AM845" s="56">
        <v>14.60000000000008</v>
      </c>
      <c r="AN845" s="56">
        <v>16.58000000000008</v>
      </c>
      <c r="AO845" s="62">
        <v>22.63999999999999</v>
      </c>
      <c r="AQ845" s="64">
        <v>4.0822038333333328</v>
      </c>
      <c r="AR845" s="56">
        <v>14.41999999999997</v>
      </c>
      <c r="AS845" s="56">
        <v>15.920000000000019</v>
      </c>
      <c r="AT845" s="62">
        <v>20.14000000000005</v>
      </c>
      <c r="AV845" s="64">
        <v>3.7293335666666669</v>
      </c>
      <c r="AW845" s="56">
        <v>13.759999999999989</v>
      </c>
      <c r="AX845" s="56">
        <v>15.240000000000011</v>
      </c>
      <c r="AY845" s="62">
        <v>20.080000000000009</v>
      </c>
      <c r="BA845" s="64">
        <v>3.1852926333333329</v>
      </c>
      <c r="BB845" s="56">
        <v>16.920000000000002</v>
      </c>
      <c r="BC845" s="56">
        <v>19.47999999999999</v>
      </c>
      <c r="BD845" s="62">
        <v>31.75999999999997</v>
      </c>
      <c r="BF845" s="64">
        <v>2.950669416666666</v>
      </c>
      <c r="BG845" s="56">
        <v>21.279999999999969</v>
      </c>
      <c r="BH845" s="56">
        <v>29.079999999999991</v>
      </c>
      <c r="BI845" s="62">
        <v>59.959999999999972</v>
      </c>
      <c r="BJ845" s="70"/>
      <c r="BK845" s="51"/>
    </row>
    <row r="846" spans="1:63" ht="17.25" customHeight="1" thickBot="1" x14ac:dyDescent="0.45">
      <c r="A846" s="16" t="s">
        <v>923</v>
      </c>
      <c r="B846" s="4"/>
      <c r="C846" s="4"/>
      <c r="D846" s="4"/>
      <c r="E846" s="12"/>
      <c r="G846" s="147" t="s">
        <v>923</v>
      </c>
      <c r="H846" s="159">
        <v>70.064999999999998</v>
      </c>
      <c r="I846" s="153">
        <v>70.27</v>
      </c>
      <c r="J846" s="153">
        <v>70.33</v>
      </c>
      <c r="K846" s="153">
        <v>70.31</v>
      </c>
      <c r="L846" s="153">
        <v>70.349999999999994</v>
      </c>
      <c r="M846" s="80">
        <f t="shared" si="26"/>
        <v>70.349999999999994</v>
      </c>
      <c r="N846" s="80">
        <f t="shared" si="27"/>
        <v>70.27</v>
      </c>
      <c r="O846" s="153">
        <v>21.21</v>
      </c>
      <c r="P846" s="153">
        <v>21.1</v>
      </c>
      <c r="Q846" s="153">
        <v>21.13</v>
      </c>
      <c r="R846" s="153">
        <v>21.08</v>
      </c>
      <c r="S846" s="4"/>
      <c r="U846" s="147" t="s">
        <v>923</v>
      </c>
      <c r="V846" s="11"/>
      <c r="W846" s="4"/>
      <c r="X846" s="12"/>
      <c r="Y846" s="14"/>
      <c r="Z846" s="4"/>
      <c r="AA846" s="13"/>
      <c r="AB846" s="11"/>
      <c r="AC846" s="4"/>
      <c r="AD846" s="12"/>
      <c r="AE846" s="13"/>
      <c r="AF846" s="14">
        <v>5.0179</v>
      </c>
      <c r="AG846" s="133"/>
      <c r="AI846" s="84"/>
      <c r="AL846" s="64">
        <v>4.1723904333333337</v>
      </c>
      <c r="AM846" s="56">
        <v>14.780000000000021</v>
      </c>
      <c r="AN846" s="56">
        <v>16.760000000000019</v>
      </c>
      <c r="AO846" s="62">
        <v>22.89999999999992</v>
      </c>
      <c r="AQ846" s="64">
        <v>4.0820259000000014</v>
      </c>
      <c r="AR846" s="56">
        <v>14.5999999999999</v>
      </c>
      <c r="AS846" s="56">
        <v>16.080000000000009</v>
      </c>
      <c r="AT846" s="62">
        <v>20.31999999999989</v>
      </c>
      <c r="AV846" s="64">
        <v>3.729183616666667</v>
      </c>
      <c r="AW846" s="56">
        <v>13.959999999999971</v>
      </c>
      <c r="AX846" s="56">
        <v>15.39999999999999</v>
      </c>
      <c r="AY846" s="62">
        <v>20.239999999999991</v>
      </c>
      <c r="BA846" s="64">
        <v>3.1849447333333338</v>
      </c>
      <c r="BB846" s="56">
        <v>17.280000000000051</v>
      </c>
      <c r="BC846" s="56">
        <v>19.840000000000039</v>
      </c>
      <c r="BD846" s="62">
        <v>32.180000000000057</v>
      </c>
      <c r="BF846" s="64">
        <v>2.9526017000000011</v>
      </c>
      <c r="BG846" s="56">
        <v>21.679999999999922</v>
      </c>
      <c r="BH846" s="56">
        <v>29.46</v>
      </c>
      <c r="BI846" s="62">
        <v>60.259999999999977</v>
      </c>
      <c r="BJ846" s="70"/>
      <c r="BK846" s="51"/>
    </row>
    <row r="847" spans="1:63" ht="17.25" customHeight="1" thickBot="1" x14ac:dyDescent="0.45">
      <c r="A847" s="16" t="s">
        <v>924</v>
      </c>
      <c r="B847" s="4"/>
      <c r="C847" s="4"/>
      <c r="D847" s="4"/>
      <c r="E847" s="12"/>
      <c r="G847" s="147" t="s">
        <v>924</v>
      </c>
      <c r="H847" s="159">
        <v>70.146000000000001</v>
      </c>
      <c r="I847" s="153">
        <v>70.31</v>
      </c>
      <c r="J847" s="153">
        <v>70.31</v>
      </c>
      <c r="K847" s="153">
        <v>70.37</v>
      </c>
      <c r="L847" s="153">
        <v>70.28</v>
      </c>
      <c r="M847" s="80">
        <f t="shared" si="26"/>
        <v>70.37</v>
      </c>
      <c r="N847" s="80">
        <f t="shared" si="27"/>
        <v>70.28</v>
      </c>
      <c r="O847" s="153">
        <v>21.13</v>
      </c>
      <c r="P847" s="153">
        <v>21.07</v>
      </c>
      <c r="Q847" s="153">
        <v>21.14</v>
      </c>
      <c r="R847" s="153">
        <v>21.06</v>
      </c>
      <c r="S847" s="4"/>
      <c r="U847" s="147" t="s">
        <v>924</v>
      </c>
      <c r="V847" s="11"/>
      <c r="W847" s="4"/>
      <c r="X847" s="12"/>
      <c r="Y847" s="14"/>
      <c r="Z847" s="4"/>
      <c r="AA847" s="13"/>
      <c r="AB847" s="11"/>
      <c r="AC847" s="4"/>
      <c r="AD847" s="12"/>
      <c r="AE847" s="13"/>
      <c r="AF847" s="14">
        <v>5.0277000000000003</v>
      </c>
      <c r="AG847" s="133"/>
      <c r="AI847" s="84"/>
      <c r="AL847" s="64">
        <v>4.1717264500000004</v>
      </c>
      <c r="AM847" s="56">
        <v>14.1</v>
      </c>
      <c r="AN847" s="56">
        <v>16.060000000000048</v>
      </c>
      <c r="AO847" s="62">
        <v>22.060000000000102</v>
      </c>
      <c r="AQ847" s="64">
        <v>4.0834482333333328</v>
      </c>
      <c r="AR847" s="56">
        <v>14.179999999999991</v>
      </c>
      <c r="AS847" s="56">
        <v>15.60000000000006</v>
      </c>
      <c r="AT847" s="62">
        <v>19.81999999999999</v>
      </c>
      <c r="AV847" s="64">
        <v>3.730544183333333</v>
      </c>
      <c r="AW847" s="56">
        <v>13.60000000000001</v>
      </c>
      <c r="AX847" s="56">
        <v>15.039999999999941</v>
      </c>
      <c r="AY847" s="62">
        <v>19.81999999999999</v>
      </c>
      <c r="BA847" s="64">
        <v>3.1855906666666671</v>
      </c>
      <c r="BB847" s="56">
        <v>16.560000000000041</v>
      </c>
      <c r="BC847" s="56">
        <v>19.120000000000029</v>
      </c>
      <c r="BD847" s="62">
        <v>31.400000000000009</v>
      </c>
      <c r="BF847" s="64">
        <v>2.9556786833333342</v>
      </c>
      <c r="BG847" s="56">
        <v>20.659999999999989</v>
      </c>
      <c r="BH847" s="56">
        <v>28.36000000000007</v>
      </c>
      <c r="BI847" s="62">
        <v>59.080000000000062</v>
      </c>
      <c r="BJ847" s="70"/>
      <c r="BK847" s="51"/>
    </row>
    <row r="848" spans="1:63" ht="17.25" customHeight="1" thickBot="1" x14ac:dyDescent="0.45">
      <c r="A848" s="16" t="s">
        <v>925</v>
      </c>
      <c r="B848" s="4"/>
      <c r="C848" s="4"/>
      <c r="D848" s="4"/>
      <c r="E848" s="12"/>
      <c r="G848" s="147" t="s">
        <v>925</v>
      </c>
      <c r="H848" s="159">
        <v>70.058999999999997</v>
      </c>
      <c r="I848" s="153">
        <v>70.39</v>
      </c>
      <c r="J848" s="153">
        <v>70.38</v>
      </c>
      <c r="K848" s="153">
        <v>70.36</v>
      </c>
      <c r="L848" s="153">
        <v>70.349999999999994</v>
      </c>
      <c r="M848" s="80">
        <f t="shared" si="26"/>
        <v>70.39</v>
      </c>
      <c r="N848" s="80">
        <f t="shared" si="27"/>
        <v>70.349999999999994</v>
      </c>
      <c r="O848" s="153">
        <v>21.16</v>
      </c>
      <c r="P848" s="153">
        <v>20.99</v>
      </c>
      <c r="Q848" s="153">
        <v>21.1</v>
      </c>
      <c r="R848" s="153">
        <v>21.09</v>
      </c>
      <c r="S848" s="4"/>
      <c r="U848" s="147" t="s">
        <v>925</v>
      </c>
      <c r="V848" s="11"/>
      <c r="W848" s="4"/>
      <c r="X848" s="12"/>
      <c r="Y848" s="14"/>
      <c r="Z848" s="4"/>
      <c r="AA848" s="13"/>
      <c r="AB848" s="11"/>
      <c r="AC848" s="4"/>
      <c r="AD848" s="12"/>
      <c r="AE848" s="13"/>
      <c r="AF848" s="14">
        <v>5.0198999999999998</v>
      </c>
      <c r="AG848" s="133"/>
      <c r="AI848" s="84"/>
      <c r="AL848" s="64">
        <v>4.1720450500000004</v>
      </c>
      <c r="AM848" s="56">
        <v>15.180000000000151</v>
      </c>
      <c r="AN848" s="56">
        <v>17.18000000000011</v>
      </c>
      <c r="AO848" s="62">
        <v>23.360000000000088</v>
      </c>
      <c r="AQ848" s="64">
        <v>4.080808283333333</v>
      </c>
      <c r="AR848" s="56">
        <v>14.94</v>
      </c>
      <c r="AS848" s="56">
        <v>16.420000000000009</v>
      </c>
      <c r="AT848" s="62">
        <v>20.699999999999989</v>
      </c>
      <c r="AV848" s="64">
        <v>3.728027883333334</v>
      </c>
      <c r="AW848" s="56">
        <v>14.14</v>
      </c>
      <c r="AX848" s="56">
        <v>15.599999999999969</v>
      </c>
      <c r="AY848" s="62">
        <v>20.420000000000019</v>
      </c>
      <c r="BA848" s="64">
        <v>3.186159383333333</v>
      </c>
      <c r="BB848" s="56">
        <v>17.060000000000031</v>
      </c>
      <c r="BC848" s="56">
        <v>19.600000000000058</v>
      </c>
      <c r="BD848" s="62">
        <v>31.780000000000008</v>
      </c>
      <c r="BF848" s="64">
        <v>2.9555882499999999</v>
      </c>
      <c r="BG848" s="56">
        <v>21.23999999999997</v>
      </c>
      <c r="BH848" s="56">
        <v>29.239999999999981</v>
      </c>
      <c r="BI848" s="62">
        <v>59.999999999999957</v>
      </c>
      <c r="BJ848" s="70"/>
      <c r="BK848" s="51"/>
    </row>
    <row r="849" spans="1:63" ht="17.25" customHeight="1" thickBot="1" x14ac:dyDescent="0.45">
      <c r="A849" s="16" t="s">
        <v>926</v>
      </c>
      <c r="B849" s="4"/>
      <c r="C849" s="4"/>
      <c r="D849" s="4"/>
      <c r="E849" s="12"/>
      <c r="G849" s="147" t="s">
        <v>926</v>
      </c>
      <c r="H849" s="159">
        <v>70.138000000000005</v>
      </c>
      <c r="I849" s="153">
        <v>70.39</v>
      </c>
      <c r="J849" s="153">
        <v>70.290000000000006</v>
      </c>
      <c r="K849" s="153">
        <v>70.28</v>
      </c>
      <c r="L849" s="153">
        <v>70.3</v>
      </c>
      <c r="M849" s="80">
        <f t="shared" si="26"/>
        <v>70.39</v>
      </c>
      <c r="N849" s="80">
        <f t="shared" si="27"/>
        <v>70.28</v>
      </c>
      <c r="O849" s="153">
        <v>21.17</v>
      </c>
      <c r="P849" s="153">
        <v>21.16</v>
      </c>
      <c r="Q849" s="153">
        <v>21.11</v>
      </c>
      <c r="R849" s="153">
        <v>21.04</v>
      </c>
      <c r="S849" s="4"/>
      <c r="U849" s="147" t="s">
        <v>926</v>
      </c>
      <c r="V849" s="11"/>
      <c r="W849" s="4"/>
      <c r="X849" s="12"/>
      <c r="Y849" s="14"/>
      <c r="Z849" s="4"/>
      <c r="AA849" s="13"/>
      <c r="AB849" s="11"/>
      <c r="AC849" s="4"/>
      <c r="AD849" s="12"/>
      <c r="AE849" s="13"/>
      <c r="AF849" s="14">
        <v>5.0316999999999998</v>
      </c>
      <c r="AG849" s="133"/>
      <c r="AI849" s="84"/>
      <c r="AL849" s="64">
        <v>4.1717902833333333</v>
      </c>
      <c r="AM849" s="56">
        <v>14.700000000000021</v>
      </c>
      <c r="AN849" s="56">
        <v>16.680000000000032</v>
      </c>
      <c r="AO849" s="62">
        <v>22.719999999999981</v>
      </c>
      <c r="AQ849" s="64">
        <v>4.0806113166666664</v>
      </c>
      <c r="AR849" s="56">
        <v>14.400000000000009</v>
      </c>
      <c r="AS849" s="56">
        <v>15.859999999999991</v>
      </c>
      <c r="AT849" s="62">
        <v>20.12</v>
      </c>
      <c r="AV849" s="64">
        <v>3.727433</v>
      </c>
      <c r="AW849" s="56">
        <v>13.78000000000004</v>
      </c>
      <c r="AX849" s="56">
        <v>15.21999999999997</v>
      </c>
      <c r="AY849" s="62">
        <v>20.019999999999971</v>
      </c>
      <c r="BA849" s="64">
        <v>3.1836009500000002</v>
      </c>
      <c r="BB849" s="56">
        <v>17.640000000000011</v>
      </c>
      <c r="BC849" s="56">
        <v>20.219999999999949</v>
      </c>
      <c r="BD849" s="62">
        <v>32.739999999999988</v>
      </c>
      <c r="BF849" s="64">
        <v>2.9570594333333329</v>
      </c>
      <c r="BG849" s="56">
        <v>21.900000000000031</v>
      </c>
      <c r="BH849" s="56">
        <v>29.760000000000009</v>
      </c>
      <c r="BI849" s="62">
        <v>60.580000000000027</v>
      </c>
      <c r="BJ849" s="70"/>
      <c r="BK849" s="51"/>
    </row>
    <row r="850" spans="1:63" ht="17.25" customHeight="1" thickBot="1" x14ac:dyDescent="0.45">
      <c r="A850" s="16" t="s">
        <v>927</v>
      </c>
      <c r="B850" s="4"/>
      <c r="C850" s="4"/>
      <c r="D850" s="4"/>
      <c r="E850" s="12"/>
      <c r="G850" s="147" t="s">
        <v>927</v>
      </c>
      <c r="H850" s="159">
        <v>70.034000000000006</v>
      </c>
      <c r="I850" s="153">
        <v>70.37</v>
      </c>
      <c r="J850" s="153">
        <v>70.27</v>
      </c>
      <c r="K850" s="153">
        <v>70.349999999999994</v>
      </c>
      <c r="L850" s="153">
        <v>70.400000000000006</v>
      </c>
      <c r="M850" s="80">
        <f t="shared" si="26"/>
        <v>70.400000000000006</v>
      </c>
      <c r="N850" s="80">
        <f t="shared" si="27"/>
        <v>70.27</v>
      </c>
      <c r="O850" s="153">
        <v>21.2</v>
      </c>
      <c r="P850" s="153">
        <v>21.09</v>
      </c>
      <c r="Q850" s="153">
        <v>21.06</v>
      </c>
      <c r="R850" s="153">
        <v>21.05</v>
      </c>
      <c r="S850" s="4"/>
      <c r="U850" s="147" t="s">
        <v>927</v>
      </c>
      <c r="V850" s="11"/>
      <c r="W850" s="4"/>
      <c r="X850" s="12"/>
      <c r="Y850" s="14"/>
      <c r="Z850" s="4"/>
      <c r="AA850" s="13"/>
      <c r="AB850" s="11"/>
      <c r="AC850" s="4"/>
      <c r="AD850" s="12"/>
      <c r="AE850" s="13"/>
      <c r="AF850" s="14">
        <v>5.0162000000000004</v>
      </c>
      <c r="AG850" s="133"/>
      <c r="AI850" s="84"/>
      <c r="AL850" s="64">
        <v>4.1721667666666669</v>
      </c>
      <c r="AM850" s="56">
        <v>15.17999999999997</v>
      </c>
      <c r="AN850" s="56">
        <v>17.18000000000011</v>
      </c>
      <c r="AO850" s="62">
        <v>23.30000000000005</v>
      </c>
      <c r="AQ850" s="64">
        <v>4.0807093499999993</v>
      </c>
      <c r="AR850" s="56">
        <v>14.739999999999929</v>
      </c>
      <c r="AS850" s="56">
        <v>16.239999999999991</v>
      </c>
      <c r="AT850" s="62">
        <v>20.439999999999969</v>
      </c>
      <c r="AV850" s="64">
        <v>3.7286392333333338</v>
      </c>
      <c r="AW850" s="56">
        <v>14.33999999999997</v>
      </c>
      <c r="AX850" s="56">
        <v>15.839999999999939</v>
      </c>
      <c r="AY850" s="62">
        <v>20.719999999999938</v>
      </c>
      <c r="BA850" s="64">
        <v>3.188482266666667</v>
      </c>
      <c r="BB850" s="56">
        <v>17.499999999999979</v>
      </c>
      <c r="BC850" s="56">
        <v>20.060000000000059</v>
      </c>
      <c r="BD850" s="62">
        <v>32.24</v>
      </c>
      <c r="BF850" s="64">
        <v>2.950437533333333</v>
      </c>
      <c r="BG850" s="56">
        <v>21.8</v>
      </c>
      <c r="BH850" s="56">
        <v>29.60000000000003</v>
      </c>
      <c r="BI850" s="62">
        <v>60.219999999999978</v>
      </c>
      <c r="BJ850" s="70"/>
      <c r="BK850" s="51"/>
    </row>
    <row r="851" spans="1:63" ht="17.25" customHeight="1" thickBot="1" x14ac:dyDescent="0.45">
      <c r="A851" s="16" t="s">
        <v>928</v>
      </c>
      <c r="B851" s="4"/>
      <c r="C851" s="4"/>
      <c r="D851" s="4"/>
      <c r="E851" s="12"/>
      <c r="G851" s="147" t="s">
        <v>928</v>
      </c>
      <c r="H851" s="159">
        <v>70.114000000000004</v>
      </c>
      <c r="I851" s="153">
        <v>70.38</v>
      </c>
      <c r="J851" s="153">
        <v>70.34</v>
      </c>
      <c r="K851" s="153">
        <v>70.28</v>
      </c>
      <c r="L851" s="153">
        <v>70.38</v>
      </c>
      <c r="M851" s="80">
        <f t="shared" si="26"/>
        <v>70.38</v>
      </c>
      <c r="N851" s="80">
        <f t="shared" si="27"/>
        <v>70.28</v>
      </c>
      <c r="O851" s="153">
        <v>21.1</v>
      </c>
      <c r="P851" s="153">
        <v>20.97</v>
      </c>
      <c r="Q851" s="153">
        <v>21.16</v>
      </c>
      <c r="R851" s="153">
        <v>21.1</v>
      </c>
      <c r="S851" s="4"/>
      <c r="U851" s="147" t="s">
        <v>928</v>
      </c>
      <c r="V851" s="11"/>
      <c r="W851" s="4"/>
      <c r="X851" s="12"/>
      <c r="Y851" s="14"/>
      <c r="Z851" s="4"/>
      <c r="AA851" s="13"/>
      <c r="AB851" s="11"/>
      <c r="AC851" s="4"/>
      <c r="AD851" s="12"/>
      <c r="AE851" s="13"/>
      <c r="AF851" s="14">
        <v>5.0336999999999996</v>
      </c>
      <c r="AG851" s="133"/>
      <c r="AI851" s="84"/>
      <c r="AL851" s="64">
        <v>4.1719280666666663</v>
      </c>
      <c r="AM851" s="56">
        <v>14.56</v>
      </c>
      <c r="AN851" s="56">
        <v>16.54</v>
      </c>
      <c r="AO851" s="62">
        <v>22.65999999999995</v>
      </c>
      <c r="AQ851" s="64">
        <v>4.0813812000000009</v>
      </c>
      <c r="AR851" s="56">
        <v>14.25999999999998</v>
      </c>
      <c r="AS851" s="56">
        <v>15.72000000000013</v>
      </c>
      <c r="AT851" s="62">
        <v>19.920000000000119</v>
      </c>
      <c r="AV851" s="64">
        <v>3.7281223333333329</v>
      </c>
      <c r="AW851" s="56">
        <v>13.700000000000051</v>
      </c>
      <c r="AX851" s="56">
        <v>15.140000000000059</v>
      </c>
      <c r="AY851" s="62">
        <v>19.940000000000069</v>
      </c>
      <c r="BA851" s="64">
        <v>3.1825763333333339</v>
      </c>
      <c r="BB851" s="56">
        <v>17.039999999999988</v>
      </c>
      <c r="BC851" s="56">
        <v>19.599999999999969</v>
      </c>
      <c r="BD851" s="62">
        <v>31.97999999999999</v>
      </c>
      <c r="BF851" s="64">
        <v>2.95093315</v>
      </c>
      <c r="BG851" s="56">
        <v>21.38</v>
      </c>
      <c r="BH851" s="56">
        <v>29.199999999999982</v>
      </c>
      <c r="BI851" s="62">
        <v>60.080000000000041</v>
      </c>
      <c r="BJ851" s="70"/>
      <c r="BK851" s="51"/>
    </row>
    <row r="852" spans="1:63" ht="17.25" customHeight="1" thickBot="1" x14ac:dyDescent="0.45">
      <c r="A852" s="16" t="s">
        <v>929</v>
      </c>
      <c r="B852" s="4"/>
      <c r="C852" s="4"/>
      <c r="D852" s="4"/>
      <c r="E852" s="12"/>
      <c r="G852" s="147" t="s">
        <v>929</v>
      </c>
      <c r="H852" s="159">
        <v>70.081000000000003</v>
      </c>
      <c r="I852" s="153">
        <v>70.349999999999994</v>
      </c>
      <c r="J852" s="153">
        <v>70.28</v>
      </c>
      <c r="K852" s="153">
        <v>70.28</v>
      </c>
      <c r="L852" s="153">
        <v>70.39</v>
      </c>
      <c r="M852" s="80">
        <f t="shared" si="26"/>
        <v>70.39</v>
      </c>
      <c r="N852" s="80">
        <f t="shared" si="27"/>
        <v>70.28</v>
      </c>
      <c r="O852" s="153">
        <v>21.2</v>
      </c>
      <c r="P852" s="153">
        <v>21.13</v>
      </c>
      <c r="Q852" s="153">
        <v>21.09</v>
      </c>
      <c r="R852" s="153">
        <v>21.08</v>
      </c>
      <c r="S852" s="4"/>
      <c r="U852" s="147" t="s">
        <v>929</v>
      </c>
      <c r="V852" s="11"/>
      <c r="W852" s="4"/>
      <c r="X852" s="12"/>
      <c r="Y852" s="14"/>
      <c r="Z852" s="4"/>
      <c r="AA852" s="13"/>
      <c r="AB852" s="11"/>
      <c r="AC852" s="4"/>
      <c r="AD852" s="12"/>
      <c r="AE852" s="13"/>
      <c r="AF852" s="14">
        <v>5.0321999999999996</v>
      </c>
      <c r="AG852" s="133"/>
      <c r="AI852" s="84"/>
      <c r="AL852" s="64">
        <v>4.1719284499999993</v>
      </c>
      <c r="AM852" s="56">
        <v>14.519999999999911</v>
      </c>
      <c r="AN852" s="56">
        <v>16.479999999999961</v>
      </c>
      <c r="AO852" s="62">
        <v>22.579999999999959</v>
      </c>
      <c r="AQ852" s="64">
        <v>4.0822529833333343</v>
      </c>
      <c r="AR852" s="56">
        <v>14.43999999999992</v>
      </c>
      <c r="AS852" s="56">
        <v>15.90000000000007</v>
      </c>
      <c r="AT852" s="62">
        <v>20.16</v>
      </c>
      <c r="AV852" s="64">
        <v>3.7298265499999999</v>
      </c>
      <c r="AW852" s="56">
        <v>13.56000000000002</v>
      </c>
      <c r="AX852" s="56">
        <v>14.98000000000008</v>
      </c>
      <c r="AY852" s="62">
        <v>19.739999999999998</v>
      </c>
      <c r="BA852" s="64">
        <v>3.189144283333333</v>
      </c>
      <c r="BB852" s="56">
        <v>16.5</v>
      </c>
      <c r="BC852" s="56">
        <v>18.98</v>
      </c>
      <c r="BD852" s="62">
        <v>31.03999999999996</v>
      </c>
      <c r="BF852" s="64">
        <v>2.9584697333333332</v>
      </c>
      <c r="BG852" s="56">
        <v>20.79999999999993</v>
      </c>
      <c r="BH852" s="56">
        <v>28.739999999999991</v>
      </c>
      <c r="BI852" s="62">
        <v>59.499999999999979</v>
      </c>
      <c r="BJ852" s="70"/>
      <c r="BK852" s="51"/>
    </row>
    <row r="853" spans="1:63" ht="17.25" customHeight="1" thickBot="1" x14ac:dyDescent="0.45">
      <c r="A853" s="16" t="s">
        <v>930</v>
      </c>
      <c r="B853" s="4"/>
      <c r="C853" s="4"/>
      <c r="D853" s="4"/>
      <c r="E853" s="12"/>
      <c r="G853" s="147" t="s">
        <v>930</v>
      </c>
      <c r="H853" s="159">
        <v>70.099999999999994</v>
      </c>
      <c r="I853" s="153">
        <v>70.36</v>
      </c>
      <c r="J853" s="153">
        <v>70.38</v>
      </c>
      <c r="K853" s="153">
        <v>70.38</v>
      </c>
      <c r="L853" s="153">
        <v>70.34</v>
      </c>
      <c r="M853" s="80">
        <f t="shared" si="26"/>
        <v>70.38</v>
      </c>
      <c r="N853" s="80">
        <f t="shared" si="27"/>
        <v>70.34</v>
      </c>
      <c r="O853" s="153">
        <v>21.2</v>
      </c>
      <c r="P853" s="153">
        <v>21.15</v>
      </c>
      <c r="Q853" s="153">
        <v>21.17</v>
      </c>
      <c r="R853" s="153">
        <v>21.11</v>
      </c>
      <c r="S853" s="4"/>
      <c r="U853" s="147" t="s">
        <v>930</v>
      </c>
      <c r="V853" s="11"/>
      <c r="W853" s="4"/>
      <c r="X853" s="12"/>
      <c r="Y853" s="14"/>
      <c r="Z853" s="4"/>
      <c r="AA853" s="13"/>
      <c r="AB853" s="11"/>
      <c r="AC853" s="4"/>
      <c r="AD853" s="12"/>
      <c r="AE853" s="13"/>
      <c r="AF853" s="14">
        <v>5.0243000000000002</v>
      </c>
      <c r="AG853" s="133"/>
      <c r="AI853" s="84"/>
      <c r="AL853" s="64">
        <v>4.1722786166666674</v>
      </c>
      <c r="AM853" s="56">
        <v>14.700000000000021</v>
      </c>
      <c r="AN853" s="56">
        <v>16.660000000000071</v>
      </c>
      <c r="AO853" s="62">
        <v>22.739999999999942</v>
      </c>
      <c r="AQ853" s="64">
        <v>4.081927433333334</v>
      </c>
      <c r="AR853" s="56">
        <v>14.48</v>
      </c>
      <c r="AS853" s="56">
        <v>15.95999999999993</v>
      </c>
      <c r="AT853" s="62">
        <v>20.180000000000039</v>
      </c>
      <c r="AV853" s="64">
        <v>3.7295365500000011</v>
      </c>
      <c r="AW853" s="56">
        <v>13.940000000000021</v>
      </c>
      <c r="AX853" s="56">
        <v>15.39999999999999</v>
      </c>
      <c r="AY853" s="62">
        <v>20.239999999999991</v>
      </c>
      <c r="BA853" s="64">
        <v>3.1886272833333331</v>
      </c>
      <c r="BB853" s="56">
        <v>16.579999999999991</v>
      </c>
      <c r="BC853" s="56">
        <v>19.079999999999941</v>
      </c>
      <c r="BD853" s="62">
        <v>31.15999999999994</v>
      </c>
      <c r="BF853" s="64">
        <v>2.9485889333333328</v>
      </c>
      <c r="BG853" s="56">
        <v>20.879999999999921</v>
      </c>
      <c r="BH853" s="56">
        <v>28.91999999999992</v>
      </c>
      <c r="BI853" s="62">
        <v>60.339999999999968</v>
      </c>
      <c r="BJ853" s="70"/>
      <c r="BK853" s="51"/>
    </row>
    <row r="854" spans="1:63" ht="17.25" customHeight="1" thickBot="1" x14ac:dyDescent="0.45">
      <c r="A854" s="16" t="s">
        <v>931</v>
      </c>
      <c r="B854" s="4"/>
      <c r="C854" s="4"/>
      <c r="D854" s="4"/>
      <c r="E854" s="12"/>
      <c r="G854" s="147" t="s">
        <v>931</v>
      </c>
      <c r="H854" s="159">
        <v>70.096999999999994</v>
      </c>
      <c r="I854" s="153">
        <v>70.34</v>
      </c>
      <c r="J854" s="153">
        <v>70.33</v>
      </c>
      <c r="K854" s="153">
        <v>70.31</v>
      </c>
      <c r="L854" s="153">
        <v>70.33</v>
      </c>
      <c r="M854" s="80">
        <f t="shared" si="26"/>
        <v>70.34</v>
      </c>
      <c r="N854" s="80">
        <f t="shared" si="27"/>
        <v>70.31</v>
      </c>
      <c r="O854" s="153">
        <v>21.17</v>
      </c>
      <c r="P854" s="153">
        <v>21.06</v>
      </c>
      <c r="Q854" s="153">
        <v>21.15</v>
      </c>
      <c r="R854" s="153">
        <v>21.03</v>
      </c>
      <c r="S854" s="4"/>
      <c r="U854" s="147" t="s">
        <v>931</v>
      </c>
      <c r="V854" s="11"/>
      <c r="W854" s="4"/>
      <c r="X854" s="12"/>
      <c r="Y854" s="14"/>
      <c r="Z854" s="4"/>
      <c r="AA854" s="13"/>
      <c r="AB854" s="11"/>
      <c r="AC854" s="4"/>
      <c r="AD854" s="12"/>
      <c r="AE854" s="13"/>
      <c r="AF854" s="14">
        <v>5.0266999999999999</v>
      </c>
      <c r="AG854" s="133"/>
      <c r="AI854" s="84"/>
      <c r="AL854" s="64">
        <v>4.1724979833333338</v>
      </c>
      <c r="AM854" s="56">
        <v>15.32</v>
      </c>
      <c r="AN854" s="56">
        <v>17.320000000000139</v>
      </c>
      <c r="AO854" s="62">
        <v>23.500000000000121</v>
      </c>
      <c r="AQ854" s="64">
        <v>4.0809973000000017</v>
      </c>
      <c r="AR854" s="56">
        <v>14.76000000000006</v>
      </c>
      <c r="AS854" s="56">
        <v>16.24000000000008</v>
      </c>
      <c r="AT854" s="62">
        <v>20.48000000000005</v>
      </c>
      <c r="AV854" s="64">
        <v>3.7286674166666671</v>
      </c>
      <c r="AW854" s="56">
        <v>14.079999999999959</v>
      </c>
      <c r="AX854" s="56">
        <v>15.54000000000002</v>
      </c>
      <c r="AY854" s="62">
        <v>20.39999999999997</v>
      </c>
      <c r="BA854" s="64">
        <v>3.18693925</v>
      </c>
      <c r="BB854" s="56">
        <v>17.11999999999998</v>
      </c>
      <c r="BC854" s="56">
        <v>19.659999999999918</v>
      </c>
      <c r="BD854" s="62">
        <v>31.86</v>
      </c>
      <c r="BF854" s="64">
        <v>2.951192516666667</v>
      </c>
      <c r="BG854" s="56">
        <v>21.419999999999991</v>
      </c>
      <c r="BH854" s="56">
        <v>29.239999999999981</v>
      </c>
      <c r="BI854" s="62">
        <v>59.90000000000002</v>
      </c>
      <c r="BJ854" s="70"/>
      <c r="BK854" s="51"/>
    </row>
    <row r="855" spans="1:63" ht="17.25" customHeight="1" thickBot="1" x14ac:dyDescent="0.45">
      <c r="A855" s="16" t="s">
        <v>932</v>
      </c>
      <c r="B855" s="4"/>
      <c r="C855" s="4"/>
      <c r="D855" s="4"/>
      <c r="E855" s="12"/>
      <c r="G855" s="147" t="s">
        <v>932</v>
      </c>
      <c r="H855" s="159">
        <v>70.132999999999996</v>
      </c>
      <c r="I855" s="153">
        <v>70.37</v>
      </c>
      <c r="J855" s="153">
        <v>70.349999999999994</v>
      </c>
      <c r="K855" s="153">
        <v>70.39</v>
      </c>
      <c r="L855" s="153">
        <v>70.33</v>
      </c>
      <c r="M855" s="80">
        <f t="shared" si="26"/>
        <v>70.39</v>
      </c>
      <c r="N855" s="80">
        <f t="shared" si="27"/>
        <v>70.33</v>
      </c>
      <c r="O855" s="153">
        <v>21.18</v>
      </c>
      <c r="P855" s="153">
        <v>21.13</v>
      </c>
      <c r="Q855" s="153">
        <v>21.07</v>
      </c>
      <c r="R855" s="153">
        <v>21.06</v>
      </c>
      <c r="S855" s="4"/>
      <c r="U855" s="147" t="s">
        <v>932</v>
      </c>
      <c r="V855" s="11"/>
      <c r="W855" s="4"/>
      <c r="X855" s="12"/>
      <c r="Y855" s="14"/>
      <c r="Z855" s="4"/>
      <c r="AA855" s="13"/>
      <c r="AB855" s="11"/>
      <c r="AC855" s="4"/>
      <c r="AD855" s="12"/>
      <c r="AE855" s="13"/>
      <c r="AF855" s="14">
        <v>5.0279999999999996</v>
      </c>
      <c r="AG855" s="133"/>
      <c r="AI855" s="84"/>
      <c r="AL855" s="64">
        <v>4.1723720499999999</v>
      </c>
      <c r="AM855" s="56">
        <v>15.08000000000003</v>
      </c>
      <c r="AN855" s="56">
        <v>17.05999999999985</v>
      </c>
      <c r="AO855" s="62">
        <v>23.219999999999889</v>
      </c>
      <c r="AQ855" s="64">
        <v>4.0812355499999997</v>
      </c>
      <c r="AR855" s="56">
        <v>14.5999999999999</v>
      </c>
      <c r="AS855" s="56">
        <v>16.099999999999959</v>
      </c>
      <c r="AT855" s="62">
        <v>20.339999999999939</v>
      </c>
      <c r="AV855" s="64">
        <v>3.7285064666666661</v>
      </c>
      <c r="AW855" s="56">
        <v>14.160000000000039</v>
      </c>
      <c r="AX855" s="56">
        <v>15.64000000000005</v>
      </c>
      <c r="AY855" s="62">
        <v>20.520000000000049</v>
      </c>
      <c r="BA855" s="64">
        <v>3.186519983333334</v>
      </c>
      <c r="BB855" s="56">
        <v>17.419999999999991</v>
      </c>
      <c r="BC855" s="56">
        <v>20.019999999999971</v>
      </c>
      <c r="BD855" s="62">
        <v>32.359999999999992</v>
      </c>
      <c r="BF855" s="64">
        <v>2.9533083333333332</v>
      </c>
      <c r="BG855" s="56">
        <v>21.779999999999951</v>
      </c>
      <c r="BH855" s="56">
        <v>29.659999999999979</v>
      </c>
      <c r="BI855" s="62">
        <v>60.400000000000013</v>
      </c>
      <c r="BJ855" s="70"/>
      <c r="BK855" s="51"/>
    </row>
    <row r="856" spans="1:63" ht="17.25" customHeight="1" thickBot="1" x14ac:dyDescent="0.45">
      <c r="A856" s="16" t="s">
        <v>933</v>
      </c>
      <c r="B856" s="4"/>
      <c r="C856" s="4"/>
      <c r="D856" s="4"/>
      <c r="E856" s="12"/>
      <c r="G856" s="147" t="s">
        <v>933</v>
      </c>
      <c r="H856" s="159">
        <v>70.069999999999993</v>
      </c>
      <c r="I856" s="153">
        <v>70.349999999999994</v>
      </c>
      <c r="J856" s="153">
        <v>70.349999999999994</v>
      </c>
      <c r="K856" s="153">
        <v>70.349999999999994</v>
      </c>
      <c r="L856" s="153">
        <v>70.36</v>
      </c>
      <c r="M856" s="80">
        <f t="shared" si="26"/>
        <v>70.36</v>
      </c>
      <c r="N856" s="80">
        <f t="shared" si="27"/>
        <v>70.349999999999994</v>
      </c>
      <c r="O856" s="153">
        <v>21.21</v>
      </c>
      <c r="P856" s="153">
        <v>21.01</v>
      </c>
      <c r="Q856" s="153">
        <v>21.16</v>
      </c>
      <c r="R856" s="153">
        <v>21.04</v>
      </c>
      <c r="S856" s="4"/>
      <c r="U856" s="147" t="s">
        <v>933</v>
      </c>
      <c r="V856" s="11"/>
      <c r="W856" s="4"/>
      <c r="X856" s="12"/>
      <c r="Y856" s="14"/>
      <c r="Z856" s="4"/>
      <c r="AA856" s="13"/>
      <c r="AB856" s="11"/>
      <c r="AC856" s="4"/>
      <c r="AD856" s="12"/>
      <c r="AE856" s="13"/>
      <c r="AF856" s="14">
        <v>5.0175999999999998</v>
      </c>
      <c r="AG856" s="133"/>
      <c r="AI856" s="84"/>
      <c r="AL856" s="64">
        <v>4.1728066666666663</v>
      </c>
      <c r="AM856" s="56">
        <v>14.86000000000001</v>
      </c>
      <c r="AN856" s="56">
        <v>16.840000000000011</v>
      </c>
      <c r="AO856" s="62">
        <v>22.839999999999879</v>
      </c>
      <c r="AQ856" s="64">
        <v>4.0814834499999986</v>
      </c>
      <c r="AR856" s="56">
        <v>14.54000000000004</v>
      </c>
      <c r="AS856" s="56">
        <v>16.000000000000011</v>
      </c>
      <c r="AT856" s="62">
        <v>20.26000000000003</v>
      </c>
      <c r="AV856" s="64">
        <v>3.7294206833333319</v>
      </c>
      <c r="AW856" s="56">
        <v>13.99999999999997</v>
      </c>
      <c r="AX856" s="56">
        <v>15.479999999999981</v>
      </c>
      <c r="AY856" s="62">
        <v>20.319999999999979</v>
      </c>
      <c r="BA856" s="64">
        <v>3.1888086666666671</v>
      </c>
      <c r="BB856" s="56">
        <v>17.3</v>
      </c>
      <c r="BC856" s="56">
        <v>19.83999999999995</v>
      </c>
      <c r="BD856" s="62">
        <v>32.039999999999942</v>
      </c>
      <c r="BF856" s="64">
        <v>2.9515225666666671</v>
      </c>
      <c r="BG856" s="56">
        <v>21.659999999999972</v>
      </c>
      <c r="BH856" s="56">
        <v>29.51999999999995</v>
      </c>
      <c r="BI856" s="62">
        <v>60.320000000000022</v>
      </c>
      <c r="BJ856" s="70"/>
      <c r="BK856" s="51"/>
    </row>
    <row r="857" spans="1:63" ht="17.25" customHeight="1" thickBot="1" x14ac:dyDescent="0.45">
      <c r="A857" s="16" t="s">
        <v>934</v>
      </c>
      <c r="B857" s="4"/>
      <c r="C857" s="4"/>
      <c r="D857" s="4"/>
      <c r="E857" s="12"/>
      <c r="G857" s="147" t="s">
        <v>934</v>
      </c>
      <c r="H857" s="159">
        <v>70.064999999999998</v>
      </c>
      <c r="I857" s="153">
        <v>70.3</v>
      </c>
      <c r="J857" s="153">
        <v>70.34</v>
      </c>
      <c r="K857" s="153">
        <v>70.28</v>
      </c>
      <c r="L857" s="153">
        <v>70.319999999999993</v>
      </c>
      <c r="M857" s="80">
        <f t="shared" si="26"/>
        <v>70.34</v>
      </c>
      <c r="N857" s="80">
        <f t="shared" si="27"/>
        <v>70.28</v>
      </c>
      <c r="O857" s="153">
        <v>21.15</v>
      </c>
      <c r="P857" s="153">
        <v>21.13</v>
      </c>
      <c r="Q857" s="153">
        <v>21.15</v>
      </c>
      <c r="R857" s="153">
        <v>21.11</v>
      </c>
      <c r="S857" s="4"/>
      <c r="U857" s="147" t="s">
        <v>934</v>
      </c>
      <c r="V857" s="11"/>
      <c r="W857" s="4"/>
      <c r="X857" s="12"/>
      <c r="Y857" s="14"/>
      <c r="Z857" s="4"/>
      <c r="AA857" s="13"/>
      <c r="AB857" s="11"/>
      <c r="AC857" s="4"/>
      <c r="AD857" s="12"/>
      <c r="AE857" s="13"/>
      <c r="AF857" s="14">
        <v>5.0319000000000003</v>
      </c>
      <c r="AG857" s="133"/>
      <c r="AI857" s="84"/>
      <c r="AL857" s="64">
        <v>4.1723065333333338</v>
      </c>
      <c r="AM857" s="56">
        <v>14.680000000000071</v>
      </c>
      <c r="AN857" s="56">
        <v>16.63999999999994</v>
      </c>
      <c r="AO857" s="62">
        <v>22.719999999999981</v>
      </c>
      <c r="AQ857" s="64">
        <v>4.0817446999999989</v>
      </c>
      <c r="AR857" s="56">
        <v>14.57999999999995</v>
      </c>
      <c r="AS857" s="56">
        <v>16.059999999999871</v>
      </c>
      <c r="AT857" s="62">
        <v>20.339999999999939</v>
      </c>
      <c r="AV857" s="64">
        <v>3.728958866666666</v>
      </c>
      <c r="AW857" s="56">
        <v>13.940000000000021</v>
      </c>
      <c r="AX857" s="56">
        <v>15.42000000000003</v>
      </c>
      <c r="AY857" s="62">
        <v>20.26000000000003</v>
      </c>
      <c r="BA857" s="64">
        <v>3.1848441666666658</v>
      </c>
      <c r="BB857" s="56">
        <v>17.44000000000003</v>
      </c>
      <c r="BC857" s="56">
        <v>20.019999999999971</v>
      </c>
      <c r="BD857" s="62">
        <v>32.460000000000022</v>
      </c>
      <c r="BF857" s="64">
        <v>2.9530168666666659</v>
      </c>
      <c r="BG857" s="56">
        <v>21.759999999999909</v>
      </c>
      <c r="BH857" s="56">
        <v>29.559999999999938</v>
      </c>
      <c r="BI857" s="62">
        <v>60.339999999999968</v>
      </c>
      <c r="BJ857" s="70"/>
      <c r="BK857" s="51"/>
    </row>
    <row r="858" spans="1:63" ht="17.25" customHeight="1" thickBot="1" x14ac:dyDescent="0.45">
      <c r="A858" s="16" t="s">
        <v>935</v>
      </c>
      <c r="B858" s="4"/>
      <c r="C858" s="4"/>
      <c r="D858" s="4"/>
      <c r="E858" s="12"/>
      <c r="G858" s="147" t="s">
        <v>935</v>
      </c>
      <c r="H858" s="159">
        <v>70.100999999999999</v>
      </c>
      <c r="I858" s="153">
        <v>70.33</v>
      </c>
      <c r="J858" s="153">
        <v>70.349999999999994</v>
      </c>
      <c r="K858" s="153">
        <v>70.39</v>
      </c>
      <c r="L858" s="153">
        <v>70.349999999999994</v>
      </c>
      <c r="M858" s="80">
        <f t="shared" si="26"/>
        <v>70.39</v>
      </c>
      <c r="N858" s="80">
        <f t="shared" si="27"/>
        <v>70.33</v>
      </c>
      <c r="O858" s="153">
        <v>21.14</v>
      </c>
      <c r="P858" s="153">
        <v>21.15</v>
      </c>
      <c r="Q858" s="153">
        <v>21.15</v>
      </c>
      <c r="R858" s="153">
        <v>21.02</v>
      </c>
      <c r="S858" s="4"/>
      <c r="U858" s="147" t="s">
        <v>935</v>
      </c>
      <c r="V858" s="11"/>
      <c r="W858" s="4"/>
      <c r="X858" s="12"/>
      <c r="Y858" s="14"/>
      <c r="Z858" s="4"/>
      <c r="AA858" s="13"/>
      <c r="AB858" s="11"/>
      <c r="AC858" s="4"/>
      <c r="AD858" s="12"/>
      <c r="AE858" s="13"/>
      <c r="AF858" s="14">
        <v>5.0208000000000004</v>
      </c>
      <c r="AG858" s="133"/>
      <c r="AI858" s="84"/>
      <c r="AL858" s="64">
        <v>4.1723959499999994</v>
      </c>
      <c r="AM858" s="56">
        <v>14.839999999999881</v>
      </c>
      <c r="AN858" s="56">
        <v>16.840000000000011</v>
      </c>
      <c r="AO858" s="62">
        <v>23.039999999999949</v>
      </c>
      <c r="AQ858" s="64">
        <v>4.0825139833333326</v>
      </c>
      <c r="AR858" s="56">
        <v>14.839999999999881</v>
      </c>
      <c r="AS858" s="56">
        <v>16.359999999999889</v>
      </c>
      <c r="AT858" s="62">
        <v>20.619999999999909</v>
      </c>
      <c r="AV858" s="64">
        <v>3.7299080999999998</v>
      </c>
      <c r="AW858" s="56">
        <v>14.1</v>
      </c>
      <c r="AX858" s="56">
        <v>15.58000000000002</v>
      </c>
      <c r="AY858" s="62">
        <v>20.439999999999969</v>
      </c>
      <c r="BA858" s="64">
        <v>3.188487733333333</v>
      </c>
      <c r="BB858" s="56">
        <v>17.199999999999971</v>
      </c>
      <c r="BC858" s="56">
        <v>19.78</v>
      </c>
      <c r="BD858" s="62">
        <v>32.08000000000002</v>
      </c>
      <c r="BF858" s="64">
        <v>2.9549859833333332</v>
      </c>
      <c r="BG858" s="56">
        <v>21.679999999999922</v>
      </c>
      <c r="BH858" s="56">
        <v>29.659999999999979</v>
      </c>
      <c r="BI858" s="62">
        <v>61.059999999999981</v>
      </c>
      <c r="BJ858" s="70"/>
      <c r="BK858" s="51"/>
    </row>
    <row r="859" spans="1:63" ht="17.25" customHeight="1" thickBot="1" x14ac:dyDescent="0.45">
      <c r="A859" s="16" t="s">
        <v>936</v>
      </c>
      <c r="B859" s="4"/>
      <c r="C859" s="4"/>
      <c r="D859" s="4"/>
      <c r="E859" s="12"/>
      <c r="G859" s="147" t="s">
        <v>936</v>
      </c>
      <c r="H859" s="159">
        <v>70.117000000000004</v>
      </c>
      <c r="I859" s="153">
        <v>70.37</v>
      </c>
      <c r="J859" s="153">
        <v>70.34</v>
      </c>
      <c r="K859" s="153">
        <v>70.349999999999994</v>
      </c>
      <c r="L859" s="153">
        <v>70.28</v>
      </c>
      <c r="M859" s="80">
        <f t="shared" si="26"/>
        <v>70.37</v>
      </c>
      <c r="N859" s="80">
        <f t="shared" si="27"/>
        <v>70.28</v>
      </c>
      <c r="O859" s="153">
        <v>21.18</v>
      </c>
      <c r="P859" s="153">
        <v>21.1</v>
      </c>
      <c r="Q859" s="153">
        <v>21.12</v>
      </c>
      <c r="R859" s="153">
        <v>21.09</v>
      </c>
      <c r="S859" s="4"/>
      <c r="U859" s="147" t="s">
        <v>936</v>
      </c>
      <c r="V859" s="11"/>
      <c r="W859" s="4"/>
      <c r="X859" s="12"/>
      <c r="Y859" s="14"/>
      <c r="Z859" s="4"/>
      <c r="AA859" s="13"/>
      <c r="AB859" s="11"/>
      <c r="AC859" s="4"/>
      <c r="AD859" s="12"/>
      <c r="AE859" s="13"/>
      <c r="AF859" s="14">
        <v>5.0194000000000001</v>
      </c>
      <c r="AG859" s="133"/>
      <c r="AI859" s="84"/>
      <c r="AL859" s="64">
        <v>4.1722687333333326</v>
      </c>
      <c r="AM859" s="56">
        <v>14.81999999999992</v>
      </c>
      <c r="AN859" s="56">
        <v>16.79999999999993</v>
      </c>
      <c r="AO859" s="62">
        <v>22.920000000000051</v>
      </c>
      <c r="AQ859" s="64">
        <v>4.080968050000001</v>
      </c>
      <c r="AR859" s="56">
        <v>14.76000000000006</v>
      </c>
      <c r="AS859" s="56">
        <v>16.260000000000119</v>
      </c>
      <c r="AT859" s="62">
        <v>20.560000000000041</v>
      </c>
      <c r="AV859" s="64">
        <v>3.727852566666666</v>
      </c>
      <c r="AW859" s="56">
        <v>13.940000000000021</v>
      </c>
      <c r="AX859" s="56">
        <v>15.39999999999999</v>
      </c>
      <c r="AY859" s="62">
        <v>20.239999999999991</v>
      </c>
      <c r="BA859" s="64">
        <v>3.1842723666666668</v>
      </c>
      <c r="BB859" s="56">
        <v>17.22000000000001</v>
      </c>
      <c r="BC859" s="56">
        <v>19.799999999999951</v>
      </c>
      <c r="BD859" s="62">
        <v>32.179999999999957</v>
      </c>
      <c r="BF859" s="64">
        <v>2.9532568000000001</v>
      </c>
      <c r="BG859" s="56">
        <v>21.69999999999996</v>
      </c>
      <c r="BH859" s="56">
        <v>29.72000000000001</v>
      </c>
      <c r="BI859" s="62">
        <v>60.879999999999953</v>
      </c>
      <c r="BJ859" s="70"/>
      <c r="BK859" s="51"/>
    </row>
    <row r="860" spans="1:63" ht="17.25" customHeight="1" thickBot="1" x14ac:dyDescent="0.45">
      <c r="A860" s="16" t="s">
        <v>937</v>
      </c>
      <c r="B860" s="4"/>
      <c r="C860" s="4"/>
      <c r="D860" s="4"/>
      <c r="E860" s="12"/>
      <c r="G860" s="147" t="s">
        <v>937</v>
      </c>
      <c r="H860" s="159">
        <v>70.063999999999993</v>
      </c>
      <c r="I860" s="153">
        <v>70.3</v>
      </c>
      <c r="J860" s="153">
        <v>70.319999999999993</v>
      </c>
      <c r="K860" s="153">
        <v>70.33</v>
      </c>
      <c r="L860" s="153">
        <v>70.28</v>
      </c>
      <c r="M860" s="80">
        <f t="shared" si="26"/>
        <v>70.33</v>
      </c>
      <c r="N860" s="80">
        <f t="shared" si="27"/>
        <v>70.28</v>
      </c>
      <c r="O860" s="153">
        <v>21.12</v>
      </c>
      <c r="P860" s="153">
        <v>21.11</v>
      </c>
      <c r="Q860" s="153">
        <v>21.16</v>
      </c>
      <c r="R860" s="153">
        <v>21.1</v>
      </c>
      <c r="S860" s="4"/>
      <c r="U860" s="147" t="s">
        <v>937</v>
      </c>
      <c r="V860" s="11"/>
      <c r="W860" s="4"/>
      <c r="X860" s="12"/>
      <c r="Y860" s="14"/>
      <c r="Z860" s="4"/>
      <c r="AA860" s="13"/>
      <c r="AB860" s="11"/>
      <c r="AC860" s="4"/>
      <c r="AD860" s="12"/>
      <c r="AE860" s="13"/>
      <c r="AF860" s="14">
        <v>5.0218999999999996</v>
      </c>
      <c r="AG860" s="133"/>
      <c r="AI860" s="84"/>
      <c r="AL860" s="64">
        <v>4.1724965833333334</v>
      </c>
      <c r="AM860" s="56">
        <v>15.06000000000007</v>
      </c>
      <c r="AN860" s="56">
        <v>17.079999999999981</v>
      </c>
      <c r="AO860" s="62">
        <v>23.120000000000118</v>
      </c>
      <c r="AQ860" s="64">
        <v>4.0813021666666662</v>
      </c>
      <c r="AR860" s="56">
        <v>14.839999999999881</v>
      </c>
      <c r="AS860" s="56">
        <v>16.319999999999979</v>
      </c>
      <c r="AT860" s="62">
        <v>20.55999999999996</v>
      </c>
      <c r="AV860" s="64">
        <v>3.728515583333333</v>
      </c>
      <c r="AW860" s="56">
        <v>14.24000000000003</v>
      </c>
      <c r="AX860" s="56">
        <v>15.7</v>
      </c>
      <c r="AY860" s="62">
        <v>20.560000000000041</v>
      </c>
      <c r="BA860" s="64">
        <v>3.1848143166666669</v>
      </c>
      <c r="BB860" s="56">
        <v>17.559999999999931</v>
      </c>
      <c r="BC860" s="56">
        <v>20.139999999999961</v>
      </c>
      <c r="BD860" s="62">
        <v>32.519999999999968</v>
      </c>
      <c r="BF860" s="64">
        <v>2.95338755</v>
      </c>
      <c r="BG860" s="56">
        <v>21.860000000000031</v>
      </c>
      <c r="BH860" s="56">
        <v>29.620000000000068</v>
      </c>
      <c r="BI860" s="62">
        <v>60.24000000000003</v>
      </c>
      <c r="BJ860" s="70"/>
      <c r="BK860" s="51"/>
    </row>
    <row r="861" spans="1:63" ht="17.25" customHeight="1" thickBot="1" x14ac:dyDescent="0.45">
      <c r="A861" s="16" t="s">
        <v>938</v>
      </c>
      <c r="B861" s="4"/>
      <c r="C861" s="4"/>
      <c r="D861" s="4"/>
      <c r="E861" s="12"/>
      <c r="G861" s="147" t="s">
        <v>938</v>
      </c>
      <c r="H861" s="159">
        <v>70.179000000000002</v>
      </c>
      <c r="I861" s="153">
        <v>70.290000000000006</v>
      </c>
      <c r="J861" s="153">
        <v>70.31</v>
      </c>
      <c r="K861" s="153">
        <v>70.400000000000006</v>
      </c>
      <c r="L861" s="153">
        <v>70.31</v>
      </c>
      <c r="M861" s="80">
        <f t="shared" si="26"/>
        <v>70.400000000000006</v>
      </c>
      <c r="N861" s="80">
        <f t="shared" si="27"/>
        <v>70.290000000000006</v>
      </c>
      <c r="O861" s="153">
        <v>21.13</v>
      </c>
      <c r="P861" s="153">
        <v>21.03</v>
      </c>
      <c r="Q861" s="153">
        <v>21.13</v>
      </c>
      <c r="R861" s="153">
        <v>21.08</v>
      </c>
      <c r="S861" s="4"/>
      <c r="U861" s="147" t="s">
        <v>938</v>
      </c>
      <c r="V861" s="11"/>
      <c r="W861" s="4"/>
      <c r="X861" s="12"/>
      <c r="Y861" s="14"/>
      <c r="Z861" s="4"/>
      <c r="AA861" s="13"/>
      <c r="AB861" s="11"/>
      <c r="AC861" s="4"/>
      <c r="AD861" s="12"/>
      <c r="AE861" s="13"/>
      <c r="AF861" s="14">
        <v>5.0389999999999997</v>
      </c>
      <c r="AG861" s="133"/>
      <c r="AI861" s="84"/>
      <c r="AL861" s="64">
        <v>4.1724067666666667</v>
      </c>
      <c r="AM861" s="56">
        <v>15.09999999999998</v>
      </c>
      <c r="AN861" s="56">
        <v>17.140000000000018</v>
      </c>
      <c r="AO861" s="62">
        <v>23.320000000000011</v>
      </c>
      <c r="AQ861" s="64">
        <v>4.0826600833333337</v>
      </c>
      <c r="AR861" s="56">
        <v>14.86000000000001</v>
      </c>
      <c r="AS861" s="56">
        <v>16.36000000000006</v>
      </c>
      <c r="AT861" s="62">
        <v>20.580000000000091</v>
      </c>
      <c r="AV861" s="64">
        <v>3.7303490500000001</v>
      </c>
      <c r="AW861" s="56">
        <v>14.25999999999998</v>
      </c>
      <c r="AX861" s="56">
        <v>15.74</v>
      </c>
      <c r="AY861" s="62">
        <v>20.61999999999999</v>
      </c>
      <c r="BA861" s="64">
        <v>3.1882766</v>
      </c>
      <c r="BB861" s="56">
        <v>17.240000000000059</v>
      </c>
      <c r="BC861" s="56">
        <v>19.80000000000004</v>
      </c>
      <c r="BD861" s="62">
        <v>32.099999999999973</v>
      </c>
      <c r="BF861" s="64">
        <v>2.956654883333333</v>
      </c>
      <c r="BG861" s="56">
        <v>21.400000000000041</v>
      </c>
      <c r="BH861" s="56">
        <v>29.199999999999982</v>
      </c>
      <c r="BI861" s="62">
        <v>59.72</v>
      </c>
      <c r="BJ861" s="70"/>
      <c r="BK861" s="51"/>
    </row>
    <row r="862" spans="1:63" ht="17.25" customHeight="1" thickBot="1" x14ac:dyDescent="0.45">
      <c r="A862" s="16" t="s">
        <v>939</v>
      </c>
      <c r="B862" s="4"/>
      <c r="C862" s="4"/>
      <c r="D862" s="4"/>
      <c r="E862" s="12"/>
      <c r="G862" s="147" t="s">
        <v>939</v>
      </c>
      <c r="H862" s="159">
        <v>70.100999999999999</v>
      </c>
      <c r="I862" s="153">
        <v>70.33</v>
      </c>
      <c r="J862" s="153">
        <v>70.3</v>
      </c>
      <c r="K862" s="153">
        <v>70.349999999999994</v>
      </c>
      <c r="L862" s="153">
        <v>70.31</v>
      </c>
      <c r="M862" s="80">
        <f t="shared" si="26"/>
        <v>70.349999999999994</v>
      </c>
      <c r="N862" s="80">
        <f t="shared" si="27"/>
        <v>70.3</v>
      </c>
      <c r="O862" s="153">
        <v>21.13</v>
      </c>
      <c r="P862" s="153">
        <v>21.06</v>
      </c>
      <c r="Q862" s="153">
        <v>21.16</v>
      </c>
      <c r="R862" s="153">
        <v>20.98</v>
      </c>
      <c r="S862" s="4"/>
      <c r="U862" s="147" t="s">
        <v>939</v>
      </c>
      <c r="V862" s="11"/>
      <c r="W862" s="4"/>
      <c r="X862" s="12"/>
      <c r="Y862" s="14"/>
      <c r="Z862" s="4"/>
      <c r="AA862" s="13"/>
      <c r="AB862" s="11"/>
      <c r="AC862" s="4"/>
      <c r="AD862" s="12"/>
      <c r="AE862" s="13"/>
      <c r="AF862" s="14">
        <v>5.0216000000000003</v>
      </c>
      <c r="AG862" s="133"/>
      <c r="AI862" s="84"/>
      <c r="AL862" s="64">
        <v>4.1721303333333326</v>
      </c>
      <c r="AM862" s="56">
        <v>14.380000000000059</v>
      </c>
      <c r="AN862" s="56">
        <v>16.34000000000011</v>
      </c>
      <c r="AO862" s="62">
        <v>22.440000000000101</v>
      </c>
      <c r="AQ862" s="64">
        <v>4.0822830833333343</v>
      </c>
      <c r="AR862" s="56">
        <v>14.179999999999991</v>
      </c>
      <c r="AS862" s="56">
        <v>15.63999999999997</v>
      </c>
      <c r="AT862" s="62">
        <v>19.81999999999999</v>
      </c>
      <c r="AV862" s="64">
        <v>3.73045765</v>
      </c>
      <c r="AW862" s="56">
        <v>13.56000000000002</v>
      </c>
      <c r="AX862" s="56">
        <v>15.000000000000041</v>
      </c>
      <c r="AY862" s="62">
        <v>19.78</v>
      </c>
      <c r="BA862" s="64">
        <v>3.1914295999999989</v>
      </c>
      <c r="BB862" s="56">
        <v>16.239999999999991</v>
      </c>
      <c r="BC862" s="56">
        <v>18.719999999999981</v>
      </c>
      <c r="BD862" s="62">
        <v>30.619999999999958</v>
      </c>
      <c r="BF862" s="64">
        <v>2.9510451166666671</v>
      </c>
      <c r="BG862" s="56">
        <v>20.520000000000049</v>
      </c>
      <c r="BH862" s="56">
        <v>28.260000000000041</v>
      </c>
      <c r="BI862" s="62">
        <v>59.04000000000007</v>
      </c>
      <c r="BJ862" s="70"/>
      <c r="BK862" s="51"/>
    </row>
    <row r="863" spans="1:63" ht="17.25" customHeight="1" thickBot="1" x14ac:dyDescent="0.45">
      <c r="A863" s="16" t="s">
        <v>940</v>
      </c>
      <c r="B863" s="4"/>
      <c r="C863" s="4"/>
      <c r="D863" s="4"/>
      <c r="E863" s="12"/>
      <c r="G863" s="147" t="s">
        <v>940</v>
      </c>
      <c r="H863" s="159">
        <v>70.007999999999996</v>
      </c>
      <c r="I863" s="153">
        <v>70.3</v>
      </c>
      <c r="J863" s="153">
        <v>70.34</v>
      </c>
      <c r="K863" s="153">
        <v>70.27</v>
      </c>
      <c r="L863" s="153">
        <v>70.27</v>
      </c>
      <c r="M863" s="80">
        <f t="shared" si="26"/>
        <v>70.34</v>
      </c>
      <c r="N863" s="80">
        <f t="shared" si="27"/>
        <v>70.27</v>
      </c>
      <c r="O863" s="153">
        <v>21.21</v>
      </c>
      <c r="P863" s="153">
        <v>21.02</v>
      </c>
      <c r="Q863" s="153">
        <v>21.16</v>
      </c>
      <c r="R863" s="153">
        <v>21.08</v>
      </c>
      <c r="S863" s="4"/>
      <c r="U863" s="147" t="s">
        <v>940</v>
      </c>
      <c r="V863" s="11"/>
      <c r="W863" s="4"/>
      <c r="X863" s="12"/>
      <c r="Y863" s="14"/>
      <c r="Z863" s="4"/>
      <c r="AA863" s="13"/>
      <c r="AB863" s="11"/>
      <c r="AC863" s="4"/>
      <c r="AD863" s="12"/>
      <c r="AE863" s="13"/>
      <c r="AF863" s="14">
        <v>5.0193000000000003</v>
      </c>
      <c r="AG863" s="133"/>
      <c r="AI863" s="84"/>
      <c r="AL863" s="64">
        <v>4.1722658666666668</v>
      </c>
      <c r="AM863" s="56">
        <v>14.76000000000006</v>
      </c>
      <c r="AN863" s="56">
        <v>16.740000000000069</v>
      </c>
      <c r="AO863" s="62">
        <v>22.89999999999992</v>
      </c>
      <c r="AQ863" s="64">
        <v>4.0820355833333331</v>
      </c>
      <c r="AR863" s="56">
        <v>14.43999999999992</v>
      </c>
      <c r="AS863" s="56">
        <v>15.91999999999984</v>
      </c>
      <c r="AT863" s="62">
        <v>20.139999999999961</v>
      </c>
      <c r="AV863" s="64">
        <v>3.7297765333333328</v>
      </c>
      <c r="AW863" s="56">
        <v>14.060000000000009</v>
      </c>
      <c r="AX863" s="56">
        <v>15.50000000000002</v>
      </c>
      <c r="AY863" s="62">
        <v>20.359999999999982</v>
      </c>
      <c r="BA863" s="64">
        <v>3.1870725333333332</v>
      </c>
      <c r="BB863" s="56">
        <v>16.72000000000002</v>
      </c>
      <c r="BC863" s="56">
        <v>19.220000000000059</v>
      </c>
      <c r="BD863" s="62">
        <v>31.34000000000006</v>
      </c>
      <c r="BF863" s="64">
        <v>2.9550467999999999</v>
      </c>
      <c r="BG863" s="56">
        <v>20.86000000000006</v>
      </c>
      <c r="BH863" s="56">
        <v>28.800000000000029</v>
      </c>
      <c r="BI863" s="62">
        <v>59.400000000000027</v>
      </c>
      <c r="BJ863" s="70"/>
      <c r="BK863" s="51"/>
    </row>
    <row r="864" spans="1:63" ht="17.25" customHeight="1" thickBot="1" x14ac:dyDescent="0.45">
      <c r="A864" s="16" t="s">
        <v>941</v>
      </c>
      <c r="B864" s="4"/>
      <c r="C864" s="4"/>
      <c r="D864" s="4"/>
      <c r="E864" s="12"/>
      <c r="G864" s="147" t="s">
        <v>941</v>
      </c>
      <c r="H864" s="159">
        <v>70.197000000000003</v>
      </c>
      <c r="I864" s="153">
        <v>70.3</v>
      </c>
      <c r="J864" s="153">
        <v>70.27</v>
      </c>
      <c r="K864" s="153">
        <v>70.28</v>
      </c>
      <c r="L864" s="153">
        <v>70.31</v>
      </c>
      <c r="M864" s="80">
        <f t="shared" si="26"/>
        <v>70.31</v>
      </c>
      <c r="N864" s="80">
        <f t="shared" si="27"/>
        <v>70.27</v>
      </c>
      <c r="O864" s="153">
        <v>21.17</v>
      </c>
      <c r="P864" s="153">
        <v>21.05</v>
      </c>
      <c r="Q864" s="153">
        <v>21.14</v>
      </c>
      <c r="R864" s="153">
        <v>21.12</v>
      </c>
      <c r="S864" s="4"/>
      <c r="U864" s="147" t="s">
        <v>941</v>
      </c>
      <c r="V864" s="11"/>
      <c r="W864" s="4"/>
      <c r="X864" s="12"/>
      <c r="Y864" s="14"/>
      <c r="Z864" s="4"/>
      <c r="AA864" s="13"/>
      <c r="AB864" s="11"/>
      <c r="AC864" s="4"/>
      <c r="AD864" s="12"/>
      <c r="AE864" s="13"/>
      <c r="AF864" s="14">
        <v>5.0351999999999997</v>
      </c>
      <c r="AG864" s="133"/>
      <c r="AI864" s="84"/>
      <c r="AL864" s="64">
        <v>4.1720614999999999</v>
      </c>
      <c r="AM864" s="56">
        <v>15.11999999999993</v>
      </c>
      <c r="AN864" s="56">
        <v>17.140000000000018</v>
      </c>
      <c r="AO864" s="62">
        <v>23.379999999999871</v>
      </c>
      <c r="AQ864" s="64">
        <v>4.0829019166666676</v>
      </c>
      <c r="AR864" s="56">
        <v>15.08000000000003</v>
      </c>
      <c r="AS864" s="56">
        <v>16.620000000000079</v>
      </c>
      <c r="AT864" s="62">
        <v>20.96000000000009</v>
      </c>
      <c r="AV864" s="64">
        <v>3.730012266666666</v>
      </c>
      <c r="AW864" s="56">
        <v>14.54000000000004</v>
      </c>
      <c r="AX864" s="56">
        <v>16.060000000000048</v>
      </c>
      <c r="AY864" s="62">
        <v>21.020000000000039</v>
      </c>
      <c r="BA864" s="64">
        <v>3.1868064666666669</v>
      </c>
      <c r="BB864" s="56">
        <v>17.69999999999996</v>
      </c>
      <c r="BC864" s="56">
        <v>20.300000000000029</v>
      </c>
      <c r="BD864" s="62">
        <v>32.800000000000033</v>
      </c>
      <c r="BF864" s="64">
        <v>2.9580441166666671</v>
      </c>
      <c r="BG864" s="56">
        <v>22.04000000000006</v>
      </c>
      <c r="BH864" s="56">
        <v>29.900000000000041</v>
      </c>
      <c r="BI864" s="62">
        <v>60.700000000000017</v>
      </c>
      <c r="BJ864" s="70"/>
      <c r="BK864" s="51"/>
    </row>
    <row r="865" spans="1:63" ht="17.25" customHeight="1" thickBot="1" x14ac:dyDescent="0.45">
      <c r="A865" s="16" t="s">
        <v>942</v>
      </c>
      <c r="B865" s="4"/>
      <c r="C865" s="4"/>
      <c r="D865" s="4"/>
      <c r="E865" s="12"/>
      <c r="G865" s="147" t="s">
        <v>942</v>
      </c>
      <c r="H865" s="159">
        <v>70.05</v>
      </c>
      <c r="I865" s="153">
        <v>70.37</v>
      </c>
      <c r="J865" s="153">
        <v>70.34</v>
      </c>
      <c r="K865" s="153">
        <v>70.34</v>
      </c>
      <c r="L865" s="153">
        <v>70.31</v>
      </c>
      <c r="M865" s="80">
        <f t="shared" si="26"/>
        <v>70.37</v>
      </c>
      <c r="N865" s="80">
        <f t="shared" si="27"/>
        <v>70.31</v>
      </c>
      <c r="O865" s="153">
        <v>21.07</v>
      </c>
      <c r="P865" s="153">
        <v>21.12</v>
      </c>
      <c r="Q865" s="153">
        <v>21.12</v>
      </c>
      <c r="R865" s="153">
        <v>21.04</v>
      </c>
      <c r="S865" s="4"/>
      <c r="U865" s="147" t="s">
        <v>942</v>
      </c>
      <c r="V865" s="11"/>
      <c r="W865" s="4"/>
      <c r="X865" s="12"/>
      <c r="Y865" s="14"/>
      <c r="Z865" s="4"/>
      <c r="AA865" s="13"/>
      <c r="AB865" s="11"/>
      <c r="AC865" s="4"/>
      <c r="AD865" s="12"/>
      <c r="AE865" s="13"/>
      <c r="AF865" s="14">
        <v>5.0167999999999999</v>
      </c>
      <c r="AG865" s="133"/>
      <c r="AI865" s="84"/>
      <c r="AL865" s="64">
        <v>4.1722109166666668</v>
      </c>
      <c r="AM865" s="56">
        <v>14.060000000000089</v>
      </c>
      <c r="AN865" s="56">
        <v>16.019999999999971</v>
      </c>
      <c r="AO865" s="62">
        <v>22.080000000000059</v>
      </c>
      <c r="AQ865" s="64">
        <v>4.0834890166666673</v>
      </c>
      <c r="AR865" s="56">
        <v>14.179999999999991</v>
      </c>
      <c r="AS865" s="56">
        <v>15.63999999999997</v>
      </c>
      <c r="AT865" s="62">
        <v>19.799999999999951</v>
      </c>
      <c r="AV865" s="64">
        <v>3.7315876833333328</v>
      </c>
      <c r="AW865" s="56">
        <v>13.69999999999996</v>
      </c>
      <c r="AX865" s="56">
        <v>15.139999999999979</v>
      </c>
      <c r="AY865" s="62">
        <v>19.93999999999998</v>
      </c>
      <c r="BA865" s="64">
        <v>3.1922032833333329</v>
      </c>
      <c r="BB865" s="56">
        <v>16.359999999999971</v>
      </c>
      <c r="BC865" s="56">
        <v>18.820000000000011</v>
      </c>
      <c r="BD865" s="62">
        <v>30.739999999999949</v>
      </c>
      <c r="BF865" s="64">
        <v>2.954202983333333</v>
      </c>
      <c r="BG865" s="56">
        <v>20.680000000000032</v>
      </c>
      <c r="BH865" s="56">
        <v>28.340000000000028</v>
      </c>
      <c r="BI865" s="62">
        <v>58.980000000000032</v>
      </c>
      <c r="BJ865" s="70"/>
      <c r="BK865" s="51"/>
    </row>
    <row r="866" spans="1:63" ht="17.25" customHeight="1" thickBot="1" x14ac:dyDescent="0.45">
      <c r="A866" s="16" t="s">
        <v>943</v>
      </c>
      <c r="B866" s="4"/>
      <c r="C866" s="4"/>
      <c r="D866" s="4"/>
      <c r="E866" s="12"/>
      <c r="G866" s="147" t="s">
        <v>943</v>
      </c>
      <c r="H866" s="159">
        <v>70.191999999999993</v>
      </c>
      <c r="I866" s="153">
        <v>70.39</v>
      </c>
      <c r="J866" s="153">
        <v>70.319999999999993</v>
      </c>
      <c r="K866" s="153">
        <v>70.28</v>
      </c>
      <c r="L866" s="153">
        <v>70.349999999999994</v>
      </c>
      <c r="M866" s="80">
        <f t="shared" si="26"/>
        <v>70.39</v>
      </c>
      <c r="N866" s="80">
        <f t="shared" si="27"/>
        <v>70.28</v>
      </c>
      <c r="O866" s="153">
        <v>21.16</v>
      </c>
      <c r="P866" s="153">
        <v>21.12</v>
      </c>
      <c r="Q866" s="153">
        <v>21.13</v>
      </c>
      <c r="R866" s="153">
        <v>21.04</v>
      </c>
      <c r="S866" s="4"/>
      <c r="U866" s="147" t="s">
        <v>943</v>
      </c>
      <c r="V866" s="11"/>
      <c r="W866" s="4"/>
      <c r="X866" s="12"/>
      <c r="Y866" s="14"/>
      <c r="Z866" s="4"/>
      <c r="AA866" s="13"/>
      <c r="AB866" s="11"/>
      <c r="AC866" s="4"/>
      <c r="AD866" s="12"/>
      <c r="AE866" s="13"/>
      <c r="AF866" s="14">
        <v>5.0339999999999998</v>
      </c>
      <c r="AG866" s="133"/>
      <c r="AI866" s="84"/>
      <c r="AL866" s="64">
        <v>4.1719295833333332</v>
      </c>
      <c r="AM866" s="56">
        <v>15.140000000000059</v>
      </c>
      <c r="AN866" s="56">
        <v>17.159999999999979</v>
      </c>
      <c r="AO866" s="62">
        <v>23.380000000000049</v>
      </c>
      <c r="AQ866" s="64">
        <v>4.0829091166666682</v>
      </c>
      <c r="AR866" s="56">
        <v>14.900000000000089</v>
      </c>
      <c r="AS866" s="56">
        <v>16.420000000000101</v>
      </c>
      <c r="AT866" s="62">
        <v>20.740000000000069</v>
      </c>
      <c r="AV866" s="64">
        <v>3.7305101166666659</v>
      </c>
      <c r="AW866" s="56">
        <v>14.32000000000002</v>
      </c>
      <c r="AX866" s="56">
        <v>15.81999999999999</v>
      </c>
      <c r="AY866" s="62">
        <v>20.760000000000019</v>
      </c>
      <c r="BA866" s="64">
        <v>3.18833375</v>
      </c>
      <c r="BB866" s="56">
        <v>17.199999999999971</v>
      </c>
      <c r="BC866" s="56">
        <v>19.759999999999959</v>
      </c>
      <c r="BD866" s="62">
        <v>32.099999999999973</v>
      </c>
      <c r="BF866" s="64">
        <v>2.9602501000000001</v>
      </c>
      <c r="BG866" s="56">
        <v>21.579999999999981</v>
      </c>
      <c r="BH866" s="56">
        <v>29.320000000000061</v>
      </c>
      <c r="BI866" s="62">
        <v>59.700000000000053</v>
      </c>
      <c r="BJ866" s="70"/>
      <c r="BK866" s="51"/>
    </row>
    <row r="867" spans="1:63" ht="17.25" customHeight="1" thickBot="1" x14ac:dyDescent="0.45">
      <c r="A867" s="16" t="s">
        <v>944</v>
      </c>
      <c r="B867" s="4"/>
      <c r="C867" s="4"/>
      <c r="D867" s="4"/>
      <c r="E867" s="12"/>
      <c r="G867" s="147" t="s">
        <v>944</v>
      </c>
      <c r="H867" s="159">
        <v>70.102999999999994</v>
      </c>
      <c r="I867" s="153">
        <v>70.28</v>
      </c>
      <c r="J867" s="153">
        <v>70.31</v>
      </c>
      <c r="K867" s="153">
        <v>70.34</v>
      </c>
      <c r="L867" s="153">
        <v>70.38</v>
      </c>
      <c r="M867" s="80">
        <f t="shared" si="26"/>
        <v>70.38</v>
      </c>
      <c r="N867" s="80">
        <f t="shared" si="27"/>
        <v>70.28</v>
      </c>
      <c r="O867" s="153">
        <v>21.17</v>
      </c>
      <c r="P867" s="153">
        <v>20.99</v>
      </c>
      <c r="Q867" s="153">
        <v>21.13</v>
      </c>
      <c r="R867" s="153">
        <v>21.12</v>
      </c>
      <c r="S867" s="4"/>
      <c r="U867" s="147" t="s">
        <v>944</v>
      </c>
      <c r="V867" s="11"/>
      <c r="W867" s="4"/>
      <c r="X867" s="12"/>
      <c r="Y867" s="14"/>
      <c r="Z867" s="4"/>
      <c r="AA867" s="13"/>
      <c r="AB867" s="11"/>
      <c r="AC867" s="4"/>
      <c r="AD867" s="12"/>
      <c r="AE867" s="13"/>
      <c r="AF867" s="14">
        <v>5.0198</v>
      </c>
      <c r="AG867" s="133"/>
      <c r="AI867" s="84"/>
      <c r="AL867" s="64">
        <v>4.1720072000000004</v>
      </c>
      <c r="AM867" s="56">
        <v>14.719999999999979</v>
      </c>
      <c r="AN867" s="56">
        <v>16.680000000000032</v>
      </c>
      <c r="AO867" s="62">
        <v>22.65999999999995</v>
      </c>
      <c r="AQ867" s="64">
        <v>4.0809362499999997</v>
      </c>
      <c r="AR867" s="56">
        <v>14.30000000000007</v>
      </c>
      <c r="AS867" s="56">
        <v>15.760000000000041</v>
      </c>
      <c r="AT867" s="62">
        <v>19.960000000000111</v>
      </c>
      <c r="AV867" s="64">
        <v>3.7286404333333341</v>
      </c>
      <c r="AW867" s="56">
        <v>13.640000000000009</v>
      </c>
      <c r="AX867" s="56">
        <v>15.059999999999979</v>
      </c>
      <c r="AY867" s="62">
        <v>19.879999999999939</v>
      </c>
      <c r="BA867" s="64">
        <v>3.1883809666666671</v>
      </c>
      <c r="BB867" s="56">
        <v>16.51999999999996</v>
      </c>
      <c r="BC867" s="56">
        <v>18.99999999999995</v>
      </c>
      <c r="BD867" s="62">
        <v>30.980000000000011</v>
      </c>
      <c r="BF867" s="64">
        <v>2.9521405166666659</v>
      </c>
      <c r="BG867" s="56">
        <v>20.86000000000006</v>
      </c>
      <c r="BH867" s="56">
        <v>28.500000000000011</v>
      </c>
      <c r="BI867" s="62">
        <v>59.060000000000016</v>
      </c>
      <c r="BJ867" s="69"/>
      <c r="BK867" s="51"/>
    </row>
    <row r="868" spans="1:63" ht="17.25" customHeight="1" thickBot="1" x14ac:dyDescent="0.45">
      <c r="A868" s="16" t="s">
        <v>945</v>
      </c>
      <c r="B868" s="4"/>
      <c r="C868" s="4"/>
      <c r="D868" s="4"/>
      <c r="E868" s="12"/>
      <c r="G868" s="147" t="s">
        <v>945</v>
      </c>
      <c r="H868" s="159">
        <v>70.033000000000001</v>
      </c>
      <c r="I868" s="153">
        <v>70.33</v>
      </c>
      <c r="J868" s="153">
        <v>70.36</v>
      </c>
      <c r="K868" s="153">
        <v>70.400000000000006</v>
      </c>
      <c r="L868" s="153">
        <v>70.290000000000006</v>
      </c>
      <c r="M868" s="80">
        <f t="shared" si="26"/>
        <v>70.400000000000006</v>
      </c>
      <c r="N868" s="80">
        <f t="shared" si="27"/>
        <v>70.290000000000006</v>
      </c>
      <c r="O868" s="153">
        <v>21.19</v>
      </c>
      <c r="P868" s="153">
        <v>21.01</v>
      </c>
      <c r="Q868" s="153">
        <v>21.11</v>
      </c>
      <c r="R868" s="153">
        <v>21.1</v>
      </c>
      <c r="S868" s="4"/>
      <c r="U868" s="147" t="s">
        <v>945</v>
      </c>
      <c r="V868" s="11"/>
      <c r="W868" s="4"/>
      <c r="X868" s="12"/>
      <c r="Y868" s="14"/>
      <c r="Z868" s="4"/>
      <c r="AA868" s="13"/>
      <c r="AB868" s="11"/>
      <c r="AC868" s="4"/>
      <c r="AD868" s="12"/>
      <c r="AE868" s="13"/>
      <c r="AF868" s="14">
        <v>5.0284000000000004</v>
      </c>
      <c r="AG868" s="133"/>
      <c r="AI868" s="84"/>
      <c r="AL868" s="64">
        <v>4.1721278666666661</v>
      </c>
      <c r="AM868" s="56">
        <v>14.80000000000015</v>
      </c>
      <c r="AN868" s="56">
        <v>16.760000000000019</v>
      </c>
      <c r="AO868" s="62">
        <v>22.740000000000119</v>
      </c>
      <c r="AQ868" s="64">
        <v>4.081658833333333</v>
      </c>
      <c r="AR868" s="56">
        <v>14.5999999999999</v>
      </c>
      <c r="AS868" s="56">
        <v>16.059999999999871</v>
      </c>
      <c r="AT868" s="62">
        <v>20.31999999999989</v>
      </c>
      <c r="AV868" s="64">
        <v>3.7288569499999999</v>
      </c>
      <c r="AW868" s="56">
        <v>13.91999999999998</v>
      </c>
      <c r="AX868" s="56">
        <v>15.379999999999949</v>
      </c>
      <c r="AY868" s="62">
        <v>20.2</v>
      </c>
      <c r="BA868" s="64">
        <v>3.1856431833333341</v>
      </c>
      <c r="BB868" s="56">
        <v>17.260000000000009</v>
      </c>
      <c r="BC868" s="56">
        <v>19.859999999999989</v>
      </c>
      <c r="BD868" s="62">
        <v>32.219999999999963</v>
      </c>
      <c r="BF868" s="64">
        <v>2.9524422666666661</v>
      </c>
      <c r="BG868" s="56">
        <v>21.539999999999981</v>
      </c>
      <c r="BH868" s="56">
        <v>29.539999999999988</v>
      </c>
      <c r="BI868" s="62">
        <v>60.959999999999937</v>
      </c>
      <c r="BJ868" s="70"/>
      <c r="BK868" s="51"/>
    </row>
    <row r="869" spans="1:63" ht="17.25" customHeight="1" thickBot="1" x14ac:dyDescent="0.45">
      <c r="A869" s="16" t="s">
        <v>946</v>
      </c>
      <c r="B869" s="17"/>
      <c r="C869" s="17"/>
      <c r="D869" s="17"/>
      <c r="E869" s="18"/>
      <c r="G869" s="147" t="s">
        <v>946</v>
      </c>
      <c r="H869" s="159">
        <v>70.076999999999998</v>
      </c>
      <c r="I869" s="153">
        <v>70.31</v>
      </c>
      <c r="J869" s="153">
        <v>70.319999999999993</v>
      </c>
      <c r="K869" s="153">
        <v>70.319999999999993</v>
      </c>
      <c r="L869" s="153">
        <v>70.319999999999993</v>
      </c>
      <c r="M869" s="80">
        <f t="shared" si="26"/>
        <v>70.319999999999993</v>
      </c>
      <c r="N869" s="80">
        <f t="shared" si="27"/>
        <v>70.31</v>
      </c>
      <c r="O869" s="153">
        <v>21.08</v>
      </c>
      <c r="P869" s="153">
        <v>21.05</v>
      </c>
      <c r="Q869" s="153">
        <v>21.1</v>
      </c>
      <c r="R869" s="153">
        <v>21.09</v>
      </c>
      <c r="S869" s="4"/>
      <c r="U869" s="147" t="s">
        <v>946</v>
      </c>
      <c r="V869" s="16"/>
      <c r="W869" s="17"/>
      <c r="X869" s="18"/>
      <c r="Y869" s="29"/>
      <c r="Z869" s="17"/>
      <c r="AA869" s="30"/>
      <c r="AB869" s="16"/>
      <c r="AC869" s="17"/>
      <c r="AD869" s="18"/>
      <c r="AE869" s="30"/>
      <c r="AF869" s="14">
        <v>5.0216000000000003</v>
      </c>
      <c r="AG869" s="133"/>
      <c r="AI869" s="84"/>
      <c r="AL869" s="64">
        <v>4.1717157666666669</v>
      </c>
      <c r="AM869" s="56">
        <v>15.17999999999997</v>
      </c>
      <c r="AN869" s="56">
        <v>17.139999999999841</v>
      </c>
      <c r="AO869" s="62">
        <v>23.219999999999889</v>
      </c>
      <c r="AQ869" s="64">
        <v>4.0804413500000001</v>
      </c>
      <c r="AR869" s="56">
        <v>14.719999999999979</v>
      </c>
      <c r="AS869" s="56">
        <v>16.199999999999989</v>
      </c>
      <c r="AT869" s="62">
        <v>20.459999999999919</v>
      </c>
      <c r="AV869" s="64">
        <v>3.727362133333334</v>
      </c>
      <c r="AW869" s="56">
        <v>13.90000000000002</v>
      </c>
      <c r="AX869" s="56">
        <v>15.32</v>
      </c>
      <c r="AY869" s="62">
        <v>20.12</v>
      </c>
      <c r="BA869" s="64">
        <v>3.1841238000000001</v>
      </c>
      <c r="BB869" s="56">
        <v>17.060000000000031</v>
      </c>
      <c r="BC869" s="56">
        <v>19.600000000000058</v>
      </c>
      <c r="BD869" s="62">
        <v>31.86</v>
      </c>
      <c r="BF869" s="64">
        <v>2.9552391</v>
      </c>
      <c r="BG869" s="56">
        <v>21.520000000000032</v>
      </c>
      <c r="BH869" s="56">
        <v>29.520000000000039</v>
      </c>
      <c r="BI869" s="62">
        <v>60.639999999999993</v>
      </c>
      <c r="BJ869" s="70"/>
      <c r="BK869" s="51"/>
    </row>
    <row r="870" spans="1:63" ht="17.25" customHeight="1" thickBot="1" x14ac:dyDescent="0.45">
      <c r="A870" s="16" t="s">
        <v>947</v>
      </c>
      <c r="B870" s="4"/>
      <c r="C870" s="4"/>
      <c r="D870" s="4"/>
      <c r="E870" s="12"/>
      <c r="G870" s="147" t="s">
        <v>947</v>
      </c>
      <c r="H870" s="159">
        <v>70.057000000000002</v>
      </c>
      <c r="I870" s="153">
        <v>70.39</v>
      </c>
      <c r="J870" s="153">
        <v>70.36</v>
      </c>
      <c r="K870" s="153">
        <v>70.349999999999994</v>
      </c>
      <c r="L870" s="153">
        <v>70.31</v>
      </c>
      <c r="M870" s="80">
        <f t="shared" si="26"/>
        <v>70.39</v>
      </c>
      <c r="N870" s="80">
        <f t="shared" si="27"/>
        <v>70.31</v>
      </c>
      <c r="O870" s="153">
        <v>21.18</v>
      </c>
      <c r="P870" s="153">
        <v>20.98</v>
      </c>
      <c r="Q870" s="153">
        <v>21.09</v>
      </c>
      <c r="R870" s="153">
        <v>21.06</v>
      </c>
      <c r="S870" s="4"/>
      <c r="U870" s="147" t="s">
        <v>947</v>
      </c>
      <c r="V870" s="11"/>
      <c r="W870" s="4"/>
      <c r="X870" s="12"/>
      <c r="Y870" s="14"/>
      <c r="Z870" s="4"/>
      <c r="AA870" s="13"/>
      <c r="AB870" s="11"/>
      <c r="AC870" s="4"/>
      <c r="AD870" s="12"/>
      <c r="AE870" s="13"/>
      <c r="AF870" s="14">
        <v>5.0144000000000002</v>
      </c>
      <c r="AG870" s="133"/>
      <c r="AI870" s="84"/>
      <c r="AL870" s="64">
        <v>4.1721646166666666</v>
      </c>
      <c r="AM870" s="56">
        <v>14.57999999999995</v>
      </c>
      <c r="AN870" s="56">
        <v>16.559999999999949</v>
      </c>
      <c r="AO870" s="62">
        <v>22.62000000000004</v>
      </c>
      <c r="AQ870" s="64">
        <v>4.0820792833333321</v>
      </c>
      <c r="AR870" s="56">
        <v>14.35999999999993</v>
      </c>
      <c r="AS870" s="56">
        <v>15.839999999999851</v>
      </c>
      <c r="AT870" s="62">
        <v>20.05999999999997</v>
      </c>
      <c r="AV870" s="64">
        <v>3.7292676833333331</v>
      </c>
      <c r="AW870" s="56">
        <v>13.839999999999989</v>
      </c>
      <c r="AX870" s="56">
        <v>15.32</v>
      </c>
      <c r="AY870" s="62">
        <v>20.16</v>
      </c>
      <c r="BA870" s="64">
        <v>3.1857266499999999</v>
      </c>
      <c r="BB870" s="56">
        <v>17.400000000000041</v>
      </c>
      <c r="BC870" s="56">
        <v>20.000000000000021</v>
      </c>
      <c r="BD870" s="62">
        <v>32.420000000000023</v>
      </c>
      <c r="BF870" s="64">
        <v>2.9562606666666662</v>
      </c>
      <c r="BG870" s="56">
        <v>21.740000000000052</v>
      </c>
      <c r="BH870" s="56">
        <v>29.579999999999981</v>
      </c>
      <c r="BI870" s="62">
        <v>60.299999999999983</v>
      </c>
      <c r="BJ870" s="70"/>
      <c r="BK870" s="51"/>
    </row>
    <row r="871" spans="1:63" ht="17.25" customHeight="1" thickBot="1" x14ac:dyDescent="0.45">
      <c r="A871" s="16" t="s">
        <v>948</v>
      </c>
      <c r="B871" s="4"/>
      <c r="C871" s="4"/>
      <c r="D871" s="4"/>
      <c r="E871" s="12"/>
      <c r="G871" s="147" t="s">
        <v>948</v>
      </c>
      <c r="H871" s="159">
        <v>70.11</v>
      </c>
      <c r="I871" s="153">
        <v>70.38</v>
      </c>
      <c r="J871" s="153">
        <v>70.39</v>
      </c>
      <c r="K871" s="153">
        <v>70.38</v>
      </c>
      <c r="L871" s="153">
        <v>70.27</v>
      </c>
      <c r="M871" s="80">
        <f t="shared" si="26"/>
        <v>70.39</v>
      </c>
      <c r="N871" s="80">
        <f t="shared" si="27"/>
        <v>70.27</v>
      </c>
      <c r="O871" s="153">
        <v>21.16</v>
      </c>
      <c r="P871" s="153">
        <v>21.15</v>
      </c>
      <c r="Q871" s="153">
        <v>21.14</v>
      </c>
      <c r="R871" s="153">
        <v>21.09</v>
      </c>
      <c r="S871" s="4"/>
      <c r="U871" s="147" t="s">
        <v>948</v>
      </c>
      <c r="V871" s="11"/>
      <c r="W871" s="4"/>
      <c r="X871" s="12"/>
      <c r="Y871" s="14"/>
      <c r="Z871" s="4"/>
      <c r="AA871" s="13"/>
      <c r="AB871" s="11"/>
      <c r="AC871" s="4"/>
      <c r="AD871" s="12"/>
      <c r="AE871" s="13"/>
      <c r="AF871" s="14">
        <v>5.0275999999999996</v>
      </c>
      <c r="AG871" s="133"/>
      <c r="AI871" s="84"/>
      <c r="AL871" s="64">
        <v>4.1724211833333333</v>
      </c>
      <c r="AM871" s="56">
        <v>15.059999999999899</v>
      </c>
      <c r="AN871" s="56">
        <v>17.05999999999985</v>
      </c>
      <c r="AO871" s="62">
        <v>23.199999999999928</v>
      </c>
      <c r="AQ871" s="64">
        <v>4.0809330333333333</v>
      </c>
      <c r="AR871" s="56">
        <v>14.76000000000006</v>
      </c>
      <c r="AS871" s="56">
        <v>16.260000000000119</v>
      </c>
      <c r="AT871" s="62">
        <v>20.540000000000092</v>
      </c>
      <c r="AV871" s="64">
        <v>3.7281939999999998</v>
      </c>
      <c r="AW871" s="56">
        <v>14.15999999999995</v>
      </c>
      <c r="AX871" s="56">
        <v>15.599999999999969</v>
      </c>
      <c r="AY871" s="62">
        <v>20.500000000000011</v>
      </c>
      <c r="BA871" s="64">
        <v>3.1841344333333339</v>
      </c>
      <c r="BB871" s="56">
        <v>17.400000000000041</v>
      </c>
      <c r="BC871" s="56">
        <v>19.960000000000019</v>
      </c>
      <c r="BD871" s="62">
        <v>32.319999999999993</v>
      </c>
      <c r="BF871" s="64">
        <v>2.9549446499999998</v>
      </c>
      <c r="BG871" s="56">
        <v>21.820000000000039</v>
      </c>
      <c r="BH871" s="56">
        <v>29.659999999999979</v>
      </c>
      <c r="BI871" s="62">
        <v>60.44</v>
      </c>
      <c r="BJ871" s="70"/>
      <c r="BK871" s="51"/>
    </row>
    <row r="872" spans="1:63" ht="17.25" customHeight="1" thickBot="1" x14ac:dyDescent="0.45">
      <c r="A872" s="16" t="s">
        <v>949</v>
      </c>
      <c r="B872" s="4"/>
      <c r="C872" s="4"/>
      <c r="D872" s="4"/>
      <c r="E872" s="12"/>
      <c r="G872" s="147" t="s">
        <v>949</v>
      </c>
      <c r="H872" s="159">
        <v>70.08</v>
      </c>
      <c r="I872" s="153">
        <v>70.349999999999994</v>
      </c>
      <c r="J872" s="153">
        <v>70.28</v>
      </c>
      <c r="K872" s="153">
        <v>70.3</v>
      </c>
      <c r="L872" s="153">
        <v>70.28</v>
      </c>
      <c r="M872" s="80">
        <f t="shared" si="26"/>
        <v>70.349999999999994</v>
      </c>
      <c r="N872" s="80">
        <f t="shared" si="27"/>
        <v>70.28</v>
      </c>
      <c r="O872" s="153">
        <v>21.19</v>
      </c>
      <c r="P872" s="153">
        <v>20.98</v>
      </c>
      <c r="Q872" s="153">
        <v>21.14</v>
      </c>
      <c r="R872" s="153">
        <v>21.09</v>
      </c>
      <c r="S872" s="4"/>
      <c r="U872" s="147" t="s">
        <v>949</v>
      </c>
      <c r="V872" s="11"/>
      <c r="W872" s="4"/>
      <c r="X872" s="12"/>
      <c r="Y872" s="14"/>
      <c r="Z872" s="4"/>
      <c r="AA872" s="13"/>
      <c r="AB872" s="11"/>
      <c r="AC872" s="4"/>
      <c r="AD872" s="12"/>
      <c r="AE872" s="13"/>
      <c r="AF872" s="14">
        <v>5.0248999999999997</v>
      </c>
      <c r="AG872" s="133"/>
      <c r="AI872" s="84"/>
      <c r="AL872" s="64">
        <v>4.1718941166666674</v>
      </c>
      <c r="AM872" s="56">
        <v>14.94</v>
      </c>
      <c r="AN872" s="56">
        <v>16.939999999999959</v>
      </c>
      <c r="AO872" s="62">
        <v>23.039999999999949</v>
      </c>
      <c r="AQ872" s="64">
        <v>4.0808691333333327</v>
      </c>
      <c r="AR872" s="56">
        <v>14.5999999999999</v>
      </c>
      <c r="AS872" s="56">
        <v>16.080000000000009</v>
      </c>
      <c r="AT872" s="62">
        <v>20.359999999999982</v>
      </c>
      <c r="AV872" s="64">
        <v>3.7283601833333329</v>
      </c>
      <c r="AW872" s="56">
        <v>13.700000000000051</v>
      </c>
      <c r="AX872" s="56">
        <v>15.140000000000059</v>
      </c>
      <c r="AY872" s="62">
        <v>19.940000000000069</v>
      </c>
      <c r="BA872" s="64">
        <v>3.186789416666667</v>
      </c>
      <c r="BB872" s="56">
        <v>16.85999999999996</v>
      </c>
      <c r="BC872" s="56">
        <v>19.36</v>
      </c>
      <c r="BD872" s="62">
        <v>31.49999999999995</v>
      </c>
      <c r="BF872" s="64">
        <v>2.9559794666666659</v>
      </c>
      <c r="BG872" s="56">
        <v>21.23999999999997</v>
      </c>
      <c r="BH872" s="56">
        <v>29.239999999999981</v>
      </c>
      <c r="BI872" s="62">
        <v>60.320000000000022</v>
      </c>
      <c r="BJ872" s="70"/>
      <c r="BK872" s="51"/>
    </row>
    <row r="873" spans="1:63" ht="17.25" customHeight="1" thickBot="1" x14ac:dyDescent="0.45">
      <c r="A873" s="16" t="s">
        <v>950</v>
      </c>
      <c r="B873" s="4"/>
      <c r="C873" s="4"/>
      <c r="D873" s="4"/>
      <c r="E873" s="12"/>
      <c r="G873" s="147" t="s">
        <v>950</v>
      </c>
      <c r="H873" s="159">
        <v>70.073999999999998</v>
      </c>
      <c r="I873" s="153">
        <v>70.349999999999994</v>
      </c>
      <c r="J873" s="153">
        <v>70.36</v>
      </c>
      <c r="K873" s="153">
        <v>70.28</v>
      </c>
      <c r="L873" s="153">
        <v>70.319999999999993</v>
      </c>
      <c r="M873" s="80">
        <f t="shared" si="26"/>
        <v>70.36</v>
      </c>
      <c r="N873" s="80">
        <f t="shared" si="27"/>
        <v>70.28</v>
      </c>
      <c r="O873" s="153">
        <v>21.19</v>
      </c>
      <c r="P873" s="153">
        <v>21.12</v>
      </c>
      <c r="Q873" s="153">
        <v>21.13</v>
      </c>
      <c r="R873" s="153">
        <v>21.07</v>
      </c>
      <c r="S873" s="4"/>
      <c r="U873" s="147" t="s">
        <v>950</v>
      </c>
      <c r="V873" s="11"/>
      <c r="W873" s="4"/>
      <c r="X873" s="12"/>
      <c r="Y873" s="14"/>
      <c r="Z873" s="4"/>
      <c r="AA873" s="13"/>
      <c r="AB873" s="11"/>
      <c r="AC873" s="4"/>
      <c r="AD873" s="12"/>
      <c r="AE873" s="13"/>
      <c r="AF873" s="14">
        <v>5.0217000000000001</v>
      </c>
      <c r="AG873" s="133"/>
      <c r="AI873" s="84"/>
      <c r="AL873" s="64">
        <v>4.1717751999999999</v>
      </c>
      <c r="AM873" s="56">
        <v>15.479999999999981</v>
      </c>
      <c r="AN873" s="56">
        <v>17.500000000000071</v>
      </c>
      <c r="AO873" s="62">
        <v>23.71999999999996</v>
      </c>
      <c r="AQ873" s="64">
        <v>4.0811991833333341</v>
      </c>
      <c r="AR873" s="56">
        <v>14.94</v>
      </c>
      <c r="AS873" s="56">
        <v>16.420000000000009</v>
      </c>
      <c r="AT873" s="62">
        <v>20.720000000000031</v>
      </c>
      <c r="AV873" s="64">
        <v>3.7283777499999999</v>
      </c>
      <c r="AW873" s="56">
        <v>14.44000000000001</v>
      </c>
      <c r="AX873" s="56">
        <v>15.939999999999969</v>
      </c>
      <c r="AY873" s="62">
        <v>20.859999999999971</v>
      </c>
      <c r="BA873" s="64">
        <v>3.1854817999999998</v>
      </c>
      <c r="BB873" s="56">
        <v>17.700000000000049</v>
      </c>
      <c r="BC873" s="56">
        <v>20.300000000000029</v>
      </c>
      <c r="BD873" s="62">
        <v>32.780000000000072</v>
      </c>
      <c r="BF873" s="64">
        <v>2.9604322833333332</v>
      </c>
      <c r="BG873" s="56">
        <v>22.14</v>
      </c>
      <c r="BH873" s="56">
        <v>30.19999999999996</v>
      </c>
      <c r="BI873" s="62">
        <v>61.219999999999963</v>
      </c>
      <c r="BJ873" s="70"/>
      <c r="BK873" s="51"/>
    </row>
    <row r="874" spans="1:63" ht="17.25" customHeight="1" thickBot="1" x14ac:dyDescent="0.45">
      <c r="A874" s="16" t="s">
        <v>951</v>
      </c>
      <c r="B874" s="4"/>
      <c r="C874" s="4"/>
      <c r="D874" s="4"/>
      <c r="E874" s="12"/>
      <c r="G874" s="147" t="s">
        <v>951</v>
      </c>
      <c r="H874" s="159">
        <v>70.128</v>
      </c>
      <c r="I874" s="153">
        <v>70.33</v>
      </c>
      <c r="J874" s="153">
        <v>70.319999999999993</v>
      </c>
      <c r="K874" s="153">
        <v>70.290000000000006</v>
      </c>
      <c r="L874" s="153">
        <v>70.319999999999993</v>
      </c>
      <c r="M874" s="80">
        <f t="shared" si="26"/>
        <v>70.33</v>
      </c>
      <c r="N874" s="80">
        <f t="shared" si="27"/>
        <v>70.290000000000006</v>
      </c>
      <c r="O874" s="153">
        <v>21.18</v>
      </c>
      <c r="P874" s="153">
        <v>21.11</v>
      </c>
      <c r="Q874" s="153">
        <v>21.15</v>
      </c>
      <c r="R874" s="153">
        <v>21.13</v>
      </c>
      <c r="S874" s="4"/>
      <c r="U874" s="147" t="s">
        <v>951</v>
      </c>
      <c r="V874" s="11"/>
      <c r="W874" s="4"/>
      <c r="X874" s="12"/>
      <c r="Y874" s="14"/>
      <c r="Z874" s="4"/>
      <c r="AA874" s="13"/>
      <c r="AB874" s="11"/>
      <c r="AC874" s="4"/>
      <c r="AD874" s="12"/>
      <c r="AE874" s="13"/>
      <c r="AF874" s="14">
        <v>5.0263999999999998</v>
      </c>
      <c r="AG874" s="133"/>
      <c r="AI874" s="84"/>
      <c r="AL874" s="64">
        <v>4.1723878500000007</v>
      </c>
      <c r="AM874" s="56">
        <v>14.979999999999899</v>
      </c>
      <c r="AN874" s="56">
        <v>16.939999999999959</v>
      </c>
      <c r="AO874" s="62">
        <v>22.999999999999861</v>
      </c>
      <c r="AQ874" s="64">
        <v>4.0812879166666658</v>
      </c>
      <c r="AR874" s="56">
        <v>14.63999999999999</v>
      </c>
      <c r="AS874" s="56">
        <v>16.10000000000014</v>
      </c>
      <c r="AT874" s="62">
        <v>20.380000000000109</v>
      </c>
      <c r="AV874" s="64">
        <v>3.7286489333333339</v>
      </c>
      <c r="AW874" s="56">
        <v>14.19999999999995</v>
      </c>
      <c r="AX874" s="56">
        <v>15.7</v>
      </c>
      <c r="AY874" s="62">
        <v>20.58</v>
      </c>
      <c r="BA874" s="64">
        <v>3.186109366666666</v>
      </c>
      <c r="BB874" s="56">
        <v>17.45999999999999</v>
      </c>
      <c r="BC874" s="56">
        <v>20.04000000000001</v>
      </c>
      <c r="BD874" s="62">
        <v>32.379999999999953</v>
      </c>
      <c r="BF874" s="64">
        <v>2.9577197000000002</v>
      </c>
      <c r="BG874" s="56">
        <v>21.69999999999996</v>
      </c>
      <c r="BH874" s="56">
        <v>29.579999999999981</v>
      </c>
      <c r="BI874" s="62">
        <v>60.119999999999948</v>
      </c>
      <c r="BJ874" s="70"/>
      <c r="BK874" s="51"/>
    </row>
    <row r="875" spans="1:63" ht="17.25" customHeight="1" thickBot="1" x14ac:dyDescent="0.45">
      <c r="A875" s="16" t="s">
        <v>952</v>
      </c>
      <c r="B875" s="4"/>
      <c r="C875" s="4"/>
      <c r="D875" s="4"/>
      <c r="E875" s="12"/>
      <c r="G875" s="147" t="s">
        <v>952</v>
      </c>
      <c r="H875" s="159">
        <v>70.149000000000001</v>
      </c>
      <c r="I875" s="153">
        <v>70.37</v>
      </c>
      <c r="J875" s="153">
        <v>70.28</v>
      </c>
      <c r="K875" s="153">
        <v>70.28</v>
      </c>
      <c r="L875" s="153">
        <v>70.319999999999993</v>
      </c>
      <c r="M875" s="80">
        <f t="shared" si="26"/>
        <v>70.37</v>
      </c>
      <c r="N875" s="80">
        <f t="shared" si="27"/>
        <v>70.28</v>
      </c>
      <c r="O875" s="153">
        <v>21.13</v>
      </c>
      <c r="P875" s="153">
        <v>21.11</v>
      </c>
      <c r="Q875" s="153">
        <v>21.12</v>
      </c>
      <c r="R875" s="153">
        <v>21.09</v>
      </c>
      <c r="S875" s="4"/>
      <c r="U875" s="147" t="s">
        <v>952</v>
      </c>
      <c r="V875" s="11"/>
      <c r="W875" s="4"/>
      <c r="X875" s="12"/>
      <c r="Y875" s="14"/>
      <c r="Z875" s="4"/>
      <c r="AA875" s="13"/>
      <c r="AB875" s="11"/>
      <c r="AC875" s="4"/>
      <c r="AD875" s="12"/>
      <c r="AE875" s="13"/>
      <c r="AF875" s="14">
        <v>5.0296000000000003</v>
      </c>
      <c r="AG875" s="133"/>
      <c r="AI875" s="84"/>
      <c r="AL875" s="64">
        <v>4.1722575666666666</v>
      </c>
      <c r="AM875" s="56">
        <v>15.440000000000079</v>
      </c>
      <c r="AN875" s="56">
        <v>17.45999999999999</v>
      </c>
      <c r="AO875" s="62">
        <v>23.71999999999996</v>
      </c>
      <c r="AQ875" s="64">
        <v>4.0816588666666664</v>
      </c>
      <c r="AR875" s="56">
        <v>14.89999999999991</v>
      </c>
      <c r="AS875" s="56">
        <v>16.39999999999997</v>
      </c>
      <c r="AT875" s="62">
        <v>20.6999999999999</v>
      </c>
      <c r="AV875" s="64">
        <v>3.7291602333333329</v>
      </c>
      <c r="AW875" s="56">
        <v>14.02000000000001</v>
      </c>
      <c r="AX875" s="56">
        <v>15.439999999999991</v>
      </c>
      <c r="AY875" s="62">
        <v>20.26000000000003</v>
      </c>
      <c r="BA875" s="64">
        <v>3.187583716666667</v>
      </c>
      <c r="BB875" s="56">
        <v>16.520000000000049</v>
      </c>
      <c r="BC875" s="56">
        <v>18.98</v>
      </c>
      <c r="BD875" s="62">
        <v>31.02</v>
      </c>
      <c r="BF875" s="64">
        <v>2.9533174833333331</v>
      </c>
      <c r="BG875" s="56">
        <v>21.020000000000039</v>
      </c>
      <c r="BH875" s="56">
        <v>28.960000000000012</v>
      </c>
      <c r="BI875" s="62">
        <v>60.34000000000006</v>
      </c>
      <c r="BJ875" s="70"/>
      <c r="BK875" s="51"/>
    </row>
    <row r="876" spans="1:63" ht="17.25" customHeight="1" thickBot="1" x14ac:dyDescent="0.45">
      <c r="A876" s="16" t="s">
        <v>953</v>
      </c>
      <c r="B876" s="4"/>
      <c r="C876" s="4"/>
      <c r="D876" s="4"/>
      <c r="E876" s="12"/>
      <c r="G876" s="147" t="s">
        <v>953</v>
      </c>
      <c r="H876" s="159">
        <v>70.186000000000007</v>
      </c>
      <c r="I876" s="153">
        <v>70.39</v>
      </c>
      <c r="J876" s="153">
        <v>70.36</v>
      </c>
      <c r="K876" s="153">
        <v>70.36</v>
      </c>
      <c r="L876" s="153">
        <v>70.319999999999993</v>
      </c>
      <c r="M876" s="80">
        <f t="shared" si="26"/>
        <v>70.39</v>
      </c>
      <c r="N876" s="80">
        <f t="shared" si="27"/>
        <v>70.319999999999993</v>
      </c>
      <c r="O876" s="153">
        <v>21.17</v>
      </c>
      <c r="P876" s="153">
        <v>21.03</v>
      </c>
      <c r="Q876" s="153">
        <v>21.15</v>
      </c>
      <c r="R876" s="153">
        <v>21.13</v>
      </c>
      <c r="S876" s="4"/>
      <c r="U876" s="147" t="s">
        <v>953</v>
      </c>
      <c r="V876" s="11"/>
      <c r="W876" s="4"/>
      <c r="X876" s="12"/>
      <c r="Y876" s="14"/>
      <c r="Z876" s="4"/>
      <c r="AA876" s="13"/>
      <c r="AB876" s="11"/>
      <c r="AC876" s="4"/>
      <c r="AD876" s="12"/>
      <c r="AE876" s="13"/>
      <c r="AF876" s="14">
        <v>5.0331000000000001</v>
      </c>
      <c r="AG876" s="133"/>
      <c r="AI876" s="84"/>
      <c r="AL876" s="64">
        <v>4.1723525666666657</v>
      </c>
      <c r="AM876" s="56">
        <v>14.99999999999986</v>
      </c>
      <c r="AN876" s="56">
        <v>16.979999999999858</v>
      </c>
      <c r="AO876" s="62">
        <v>23.279999999999919</v>
      </c>
      <c r="AQ876" s="64">
        <v>4.0829503666666662</v>
      </c>
      <c r="AR876" s="56">
        <v>14.60000000000008</v>
      </c>
      <c r="AS876" s="56">
        <v>16.080000000000009</v>
      </c>
      <c r="AT876" s="62">
        <v>20.320000000000071</v>
      </c>
      <c r="AV876" s="64">
        <v>3.7308583166666658</v>
      </c>
      <c r="AW876" s="56">
        <v>13.940000000000021</v>
      </c>
      <c r="AX876" s="56">
        <v>15.42000000000003</v>
      </c>
      <c r="AY876" s="62">
        <v>20.239999999999991</v>
      </c>
      <c r="BA876" s="64">
        <v>3.190781116666666</v>
      </c>
      <c r="BB876" s="56">
        <v>16.640000000000029</v>
      </c>
      <c r="BC876" s="56">
        <v>19.120000000000029</v>
      </c>
      <c r="BD876" s="62">
        <v>31.12000000000004</v>
      </c>
      <c r="BF876" s="64">
        <v>2.959643933333334</v>
      </c>
      <c r="BG876" s="56">
        <v>20.979999999999951</v>
      </c>
      <c r="BH876" s="56">
        <v>28.580000000000009</v>
      </c>
      <c r="BI876" s="62">
        <v>58.88</v>
      </c>
      <c r="BJ876" s="70"/>
      <c r="BK876" s="51"/>
    </row>
    <row r="877" spans="1:63" ht="17.25" customHeight="1" thickBot="1" x14ac:dyDescent="0.45">
      <c r="A877" s="16" t="s">
        <v>954</v>
      </c>
      <c r="B877" s="4"/>
      <c r="C877" s="4"/>
      <c r="D877" s="4"/>
      <c r="E877" s="12"/>
      <c r="G877" s="147" t="s">
        <v>954</v>
      </c>
      <c r="H877" s="159">
        <v>70.057000000000002</v>
      </c>
      <c r="I877" s="153">
        <v>70.349999999999994</v>
      </c>
      <c r="J877" s="153">
        <v>70.27</v>
      </c>
      <c r="K877" s="153">
        <v>70.349999999999994</v>
      </c>
      <c r="L877" s="153">
        <v>70.39</v>
      </c>
      <c r="M877" s="80">
        <f t="shared" si="26"/>
        <v>70.39</v>
      </c>
      <c r="N877" s="80">
        <f t="shared" si="27"/>
        <v>70.27</v>
      </c>
      <c r="O877" s="153">
        <v>21.14</v>
      </c>
      <c r="P877" s="153">
        <v>21.11</v>
      </c>
      <c r="Q877" s="153">
        <v>21.16</v>
      </c>
      <c r="R877" s="153">
        <v>21.09</v>
      </c>
      <c r="S877" s="4"/>
      <c r="U877" s="147" t="s">
        <v>954</v>
      </c>
      <c r="V877" s="11"/>
      <c r="W877" s="4"/>
      <c r="X877" s="12"/>
      <c r="Y877" s="14"/>
      <c r="Z877" s="4"/>
      <c r="AA877" s="13"/>
      <c r="AB877" s="11"/>
      <c r="AC877" s="4"/>
      <c r="AD877" s="12"/>
      <c r="AE877" s="13"/>
      <c r="AF877" s="14">
        <v>5.0185000000000004</v>
      </c>
      <c r="AG877" s="133"/>
      <c r="AI877" s="84"/>
      <c r="AL877" s="64">
        <v>4.17224035</v>
      </c>
      <c r="AM877" s="56">
        <v>14.84000000000005</v>
      </c>
      <c r="AN877" s="56">
        <v>16.840000000000011</v>
      </c>
      <c r="AO877" s="62">
        <v>23.039999999999949</v>
      </c>
      <c r="AQ877" s="64">
        <v>4.0820984833333327</v>
      </c>
      <c r="AR877" s="56">
        <v>14.43999999999992</v>
      </c>
      <c r="AS877" s="56">
        <v>15.89999999999989</v>
      </c>
      <c r="AT877" s="62">
        <v>20.159999999999911</v>
      </c>
      <c r="AV877" s="64">
        <v>3.7302574499999999</v>
      </c>
      <c r="AW877" s="56">
        <v>13.980000000000009</v>
      </c>
      <c r="AX877" s="56">
        <v>15.460000000000029</v>
      </c>
      <c r="AY877" s="62">
        <v>20.320000000000071</v>
      </c>
      <c r="BA877" s="64">
        <v>3.1921072833333328</v>
      </c>
      <c r="BB877" s="56">
        <v>16.680000000000032</v>
      </c>
      <c r="BC877" s="56">
        <v>19.160000000000021</v>
      </c>
      <c r="BD877" s="62">
        <v>31.12000000000004</v>
      </c>
      <c r="BF877" s="64">
        <v>2.9577809333333329</v>
      </c>
      <c r="BG877" s="56">
        <v>21.079999999999991</v>
      </c>
      <c r="BH877" s="56">
        <v>28.800000000000029</v>
      </c>
      <c r="BI877" s="62">
        <v>59.3</v>
      </c>
      <c r="BJ877" s="69"/>
      <c r="BK877" s="51"/>
    </row>
    <row r="878" spans="1:63" ht="17.25" customHeight="1" thickBot="1" x14ac:dyDescent="0.45">
      <c r="A878" s="16" t="s">
        <v>955</v>
      </c>
      <c r="B878" s="4"/>
      <c r="C878" s="4"/>
      <c r="D878" s="4"/>
      <c r="E878" s="12"/>
      <c r="G878" s="147" t="s">
        <v>955</v>
      </c>
      <c r="H878" s="159">
        <v>70.085999999999999</v>
      </c>
      <c r="I878" s="153">
        <v>70.349999999999994</v>
      </c>
      <c r="J878" s="153">
        <v>70.38</v>
      </c>
      <c r="K878" s="153">
        <v>70.36</v>
      </c>
      <c r="L878" s="153">
        <v>70.290000000000006</v>
      </c>
      <c r="M878" s="80">
        <f t="shared" si="26"/>
        <v>70.38</v>
      </c>
      <c r="N878" s="80">
        <f t="shared" si="27"/>
        <v>70.290000000000006</v>
      </c>
      <c r="O878" s="153">
        <v>21.21</v>
      </c>
      <c r="P878" s="153">
        <v>21.06</v>
      </c>
      <c r="Q878" s="153">
        <v>21.08</v>
      </c>
      <c r="R878" s="153">
        <v>20.96</v>
      </c>
      <c r="S878" s="4"/>
      <c r="U878" s="147" t="s">
        <v>955</v>
      </c>
      <c r="V878" s="11"/>
      <c r="W878" s="4"/>
      <c r="X878" s="12"/>
      <c r="Y878" s="14"/>
      <c r="Z878" s="4"/>
      <c r="AA878" s="13"/>
      <c r="AB878" s="11"/>
      <c r="AC878" s="4"/>
      <c r="AD878" s="12"/>
      <c r="AE878" s="13"/>
      <c r="AF878" s="14">
        <v>5.0229999999999997</v>
      </c>
      <c r="AG878" s="133"/>
      <c r="AI878" s="84"/>
      <c r="AL878" s="64">
        <v>4.1721580166666659</v>
      </c>
      <c r="AM878" s="56">
        <v>15.06000000000007</v>
      </c>
      <c r="AN878" s="56">
        <v>17.040000000000081</v>
      </c>
      <c r="AO878" s="62">
        <v>23.220000000000059</v>
      </c>
      <c r="AQ878" s="64">
        <v>4.0819916833333334</v>
      </c>
      <c r="AR878" s="56">
        <v>14.719999999999979</v>
      </c>
      <c r="AS878" s="56">
        <v>16.220000000000031</v>
      </c>
      <c r="AT878" s="62">
        <v>20.500000000000011</v>
      </c>
      <c r="AV878" s="64">
        <v>3.7293321333333331</v>
      </c>
      <c r="AW878" s="56">
        <v>14.179999999999991</v>
      </c>
      <c r="AX878" s="56">
        <v>15.660000000000011</v>
      </c>
      <c r="AY878" s="62">
        <v>20.54</v>
      </c>
      <c r="BA878" s="64">
        <v>3.1861294</v>
      </c>
      <c r="BB878" s="56">
        <v>17.399999999999949</v>
      </c>
      <c r="BC878" s="56">
        <v>19.979999999999979</v>
      </c>
      <c r="BD878" s="62">
        <v>32.319999999999993</v>
      </c>
      <c r="BF878" s="64">
        <v>2.956761166666666</v>
      </c>
      <c r="BG878" s="56">
        <v>21.260000000000009</v>
      </c>
      <c r="BH878" s="56">
        <v>29.760000000000009</v>
      </c>
      <c r="BI878" s="62">
        <v>60.820000000000007</v>
      </c>
      <c r="BJ878" s="70"/>
      <c r="BK878" s="51"/>
    </row>
    <row r="879" spans="1:63" ht="17.25" customHeight="1" thickBot="1" x14ac:dyDescent="0.45">
      <c r="A879" s="16" t="s">
        <v>956</v>
      </c>
      <c r="B879" s="4"/>
      <c r="C879" s="4"/>
      <c r="D879" s="4"/>
      <c r="E879" s="12"/>
      <c r="G879" s="147" t="s">
        <v>956</v>
      </c>
      <c r="H879" s="159">
        <v>70.085999999999999</v>
      </c>
      <c r="I879" s="153">
        <v>70.39</v>
      </c>
      <c r="J879" s="153">
        <v>70.28</v>
      </c>
      <c r="K879" s="153">
        <v>70.34</v>
      </c>
      <c r="L879" s="153">
        <v>70.290000000000006</v>
      </c>
      <c r="M879" s="80">
        <f t="shared" si="26"/>
        <v>70.39</v>
      </c>
      <c r="N879" s="80">
        <f t="shared" si="27"/>
        <v>70.28</v>
      </c>
      <c r="O879" s="153">
        <v>21.16</v>
      </c>
      <c r="P879" s="153">
        <v>21.16</v>
      </c>
      <c r="Q879" s="153">
        <v>21.13</v>
      </c>
      <c r="R879" s="153">
        <v>21.08</v>
      </c>
      <c r="S879" s="4"/>
      <c r="U879" s="147" t="s">
        <v>956</v>
      </c>
      <c r="V879" s="11"/>
      <c r="W879" s="4"/>
      <c r="X879" s="12"/>
      <c r="Y879" s="14"/>
      <c r="Z879" s="4"/>
      <c r="AA879" s="13"/>
      <c r="AB879" s="11"/>
      <c r="AC879" s="4"/>
      <c r="AD879" s="12"/>
      <c r="AE879" s="13"/>
      <c r="AF879" s="14">
        <v>5.0235000000000003</v>
      </c>
      <c r="AG879" s="133"/>
      <c r="AI879" s="84"/>
      <c r="AL879" s="64">
        <v>4.1713015666666662</v>
      </c>
      <c r="AM879" s="56">
        <v>15.32</v>
      </c>
      <c r="AN879" s="56">
        <v>17.3</v>
      </c>
      <c r="AO879" s="62">
        <v>23.49999999999994</v>
      </c>
      <c r="AQ879" s="64">
        <v>4.081742199999999</v>
      </c>
      <c r="AR879" s="56">
        <v>15.220000000000059</v>
      </c>
      <c r="AS879" s="56">
        <v>16.70000000000007</v>
      </c>
      <c r="AT879" s="62">
        <v>21.000000000000089</v>
      </c>
      <c r="AV879" s="64">
        <v>3.7289236833333339</v>
      </c>
      <c r="AW879" s="56">
        <v>14.25999999999998</v>
      </c>
      <c r="AX879" s="56">
        <v>15.7</v>
      </c>
      <c r="AY879" s="62">
        <v>20.58</v>
      </c>
      <c r="BA879" s="64">
        <v>3.187041366666667</v>
      </c>
      <c r="BB879" s="56">
        <v>17.34</v>
      </c>
      <c r="BC879" s="56">
        <v>19.899999999999981</v>
      </c>
      <c r="BD879" s="62">
        <v>32.219999999999963</v>
      </c>
      <c r="BF879" s="64">
        <v>2.9600525000000002</v>
      </c>
      <c r="BG879" s="56">
        <v>21.779999999999951</v>
      </c>
      <c r="BH879" s="56">
        <v>29.8</v>
      </c>
      <c r="BI879" s="62">
        <v>60.839999999999961</v>
      </c>
      <c r="BJ879" s="70"/>
      <c r="BK879" s="51"/>
    </row>
    <row r="880" spans="1:63" ht="17.25" customHeight="1" thickBot="1" x14ac:dyDescent="0.45">
      <c r="A880" s="16" t="s">
        <v>957</v>
      </c>
      <c r="B880" s="4"/>
      <c r="C880" s="4"/>
      <c r="D880" s="4"/>
      <c r="E880" s="12"/>
      <c r="G880" s="147" t="s">
        <v>957</v>
      </c>
      <c r="H880" s="159">
        <v>70.081999999999994</v>
      </c>
      <c r="I880" s="153">
        <v>70.27</v>
      </c>
      <c r="J880" s="153">
        <v>70.319999999999993</v>
      </c>
      <c r="K880" s="153">
        <v>70.31</v>
      </c>
      <c r="L880" s="153">
        <v>70.33</v>
      </c>
      <c r="M880" s="80">
        <f t="shared" si="26"/>
        <v>70.33</v>
      </c>
      <c r="N880" s="80">
        <f t="shared" si="27"/>
        <v>70.27</v>
      </c>
      <c r="O880" s="153">
        <v>21.2</v>
      </c>
      <c r="P880" s="153">
        <v>21.13</v>
      </c>
      <c r="Q880" s="153">
        <v>21.1</v>
      </c>
      <c r="R880" s="153">
        <v>21</v>
      </c>
      <c r="S880" s="4"/>
      <c r="U880" s="147" t="s">
        <v>957</v>
      </c>
      <c r="V880" s="11"/>
      <c r="W880" s="4"/>
      <c r="X880" s="12"/>
      <c r="Y880" s="14"/>
      <c r="Z880" s="4"/>
      <c r="AA880" s="13"/>
      <c r="AB880" s="11"/>
      <c r="AC880" s="4"/>
      <c r="AD880" s="12"/>
      <c r="AE880" s="13"/>
      <c r="AF880" s="14">
        <v>5.0140000000000002</v>
      </c>
      <c r="AG880" s="133"/>
      <c r="AI880" s="84"/>
      <c r="AL880" s="64">
        <v>4.171662033333333</v>
      </c>
      <c r="AM880" s="56">
        <v>14.37999999999988</v>
      </c>
      <c r="AN880" s="56">
        <v>16.359999999999889</v>
      </c>
      <c r="AO880" s="62">
        <v>22.519999999999921</v>
      </c>
      <c r="AQ880" s="64">
        <v>4.0833633666666662</v>
      </c>
      <c r="AR880" s="56">
        <v>14.499999999999959</v>
      </c>
      <c r="AS880" s="56">
        <v>15.980000000000061</v>
      </c>
      <c r="AT880" s="62">
        <v>20.26000000000003</v>
      </c>
      <c r="AV880" s="64">
        <v>3.7310854166666658</v>
      </c>
      <c r="AW880" s="56">
        <v>14.02000000000001</v>
      </c>
      <c r="AX880" s="56">
        <v>15.479999999999981</v>
      </c>
      <c r="AY880" s="62">
        <v>20.339999999999939</v>
      </c>
      <c r="BA880" s="64">
        <v>3.1895366666666671</v>
      </c>
      <c r="BB880" s="56">
        <v>17.22000000000001</v>
      </c>
      <c r="BC880" s="56">
        <v>19.759999999999959</v>
      </c>
      <c r="BD880" s="62">
        <v>32.059999999999967</v>
      </c>
      <c r="BF880" s="64">
        <v>2.960888849999999</v>
      </c>
      <c r="BG880" s="56">
        <v>21.56000000000002</v>
      </c>
      <c r="BH880" s="56">
        <v>29.400000000000048</v>
      </c>
      <c r="BI880" s="62">
        <v>60.1</v>
      </c>
      <c r="BJ880" s="70"/>
      <c r="BK880" s="51"/>
    </row>
    <row r="881" spans="1:63" ht="17.25" customHeight="1" thickBot="1" x14ac:dyDescent="0.45">
      <c r="A881" s="16" t="s">
        <v>958</v>
      </c>
      <c r="B881" s="4"/>
      <c r="C881" s="4"/>
      <c r="D881" s="4"/>
      <c r="E881" s="12"/>
      <c r="G881" s="147" t="s">
        <v>958</v>
      </c>
      <c r="H881" s="159">
        <v>70.055999999999997</v>
      </c>
      <c r="I881" s="153">
        <v>70.349999999999994</v>
      </c>
      <c r="J881" s="153">
        <v>70.28</v>
      </c>
      <c r="K881" s="153">
        <v>70.290000000000006</v>
      </c>
      <c r="L881" s="153">
        <v>70.34</v>
      </c>
      <c r="M881" s="80">
        <f t="shared" si="26"/>
        <v>70.349999999999994</v>
      </c>
      <c r="N881" s="80">
        <f t="shared" si="27"/>
        <v>70.28</v>
      </c>
      <c r="O881" s="153">
        <v>21.18</v>
      </c>
      <c r="P881" s="153">
        <v>21.11</v>
      </c>
      <c r="Q881" s="153">
        <v>21.13</v>
      </c>
      <c r="R881" s="153">
        <v>21.08</v>
      </c>
      <c r="S881" s="4"/>
      <c r="U881" s="147" t="s">
        <v>958</v>
      </c>
      <c r="V881" s="11"/>
      <c r="W881" s="4"/>
      <c r="X881" s="12"/>
      <c r="Y881" s="14"/>
      <c r="Z881" s="4"/>
      <c r="AA881" s="13"/>
      <c r="AB881" s="11"/>
      <c r="AC881" s="4"/>
      <c r="AD881" s="12"/>
      <c r="AE881" s="13"/>
      <c r="AF881" s="14">
        <v>5.0265000000000004</v>
      </c>
      <c r="AG881" s="133"/>
      <c r="AI881" s="84"/>
      <c r="AL881" s="64">
        <v>4.1714218833333332</v>
      </c>
      <c r="AM881" s="56">
        <v>14.60000000000008</v>
      </c>
      <c r="AN881" s="56">
        <v>16.600000000000041</v>
      </c>
      <c r="AO881" s="62">
        <v>22.63999999999999</v>
      </c>
      <c r="AQ881" s="64">
        <v>4.0823779833333331</v>
      </c>
      <c r="AR881" s="56">
        <v>14.86000000000001</v>
      </c>
      <c r="AS881" s="56">
        <v>16.38000000000002</v>
      </c>
      <c r="AT881" s="62">
        <v>20.639999999999951</v>
      </c>
      <c r="AV881" s="64">
        <v>3.7292333333333341</v>
      </c>
      <c r="AW881" s="56">
        <v>14.14</v>
      </c>
      <c r="AX881" s="56">
        <v>15.62000000000001</v>
      </c>
      <c r="AY881" s="62">
        <v>20.51999999999996</v>
      </c>
      <c r="BA881" s="64">
        <v>3.183863566666667</v>
      </c>
      <c r="BB881" s="56">
        <v>17.260000000000009</v>
      </c>
      <c r="BC881" s="56">
        <v>19.879999999999939</v>
      </c>
      <c r="BD881" s="62">
        <v>32.319999999999993</v>
      </c>
      <c r="BF881" s="64">
        <v>2.9591366333333329</v>
      </c>
      <c r="BG881" s="56">
        <v>21.460000000000079</v>
      </c>
      <c r="BH881" s="56">
        <v>29.360000000000049</v>
      </c>
      <c r="BI881" s="62">
        <v>60.22000000000007</v>
      </c>
      <c r="BJ881" s="70"/>
      <c r="BK881" s="51"/>
    </row>
    <row r="882" spans="1:63" ht="17.25" customHeight="1" thickBot="1" x14ac:dyDescent="0.45">
      <c r="A882" s="16" t="s">
        <v>959</v>
      </c>
      <c r="B882" s="4"/>
      <c r="C882" s="4"/>
      <c r="D882" s="4"/>
      <c r="E882" s="12"/>
      <c r="G882" s="147" t="s">
        <v>959</v>
      </c>
      <c r="H882" s="159">
        <v>70.209000000000003</v>
      </c>
      <c r="I882" s="153">
        <v>70.31</v>
      </c>
      <c r="J882" s="153">
        <v>70.36</v>
      </c>
      <c r="K882" s="153">
        <v>70.349999999999994</v>
      </c>
      <c r="L882" s="153">
        <v>70.38</v>
      </c>
      <c r="M882" s="80">
        <f t="shared" si="26"/>
        <v>70.38</v>
      </c>
      <c r="N882" s="80">
        <f t="shared" si="27"/>
        <v>70.31</v>
      </c>
      <c r="O882" s="153">
        <v>21.18</v>
      </c>
      <c r="P882" s="153">
        <v>21.03</v>
      </c>
      <c r="Q882" s="153">
        <v>21.16</v>
      </c>
      <c r="R882" s="153">
        <v>21.02</v>
      </c>
      <c r="S882" s="4"/>
      <c r="U882" s="147" t="s">
        <v>959</v>
      </c>
      <c r="V882" s="11"/>
      <c r="W882" s="4"/>
      <c r="X882" s="12"/>
      <c r="Y882" s="14"/>
      <c r="Z882" s="4"/>
      <c r="AA882" s="13"/>
      <c r="AB882" s="11"/>
      <c r="AC882" s="4"/>
      <c r="AD882" s="12"/>
      <c r="AE882" s="13"/>
      <c r="AF882" s="14">
        <v>5.0327999999999999</v>
      </c>
      <c r="AG882" s="133"/>
      <c r="AI882" s="84"/>
      <c r="AL882" s="64">
        <v>4.1712773999999992</v>
      </c>
      <c r="AM882" s="56">
        <v>15.359999999999911</v>
      </c>
      <c r="AN882" s="56">
        <v>17.339999999999911</v>
      </c>
      <c r="AO882" s="62">
        <v>23.339999999999961</v>
      </c>
      <c r="AQ882" s="64">
        <v>4.0797100833333344</v>
      </c>
      <c r="AR882" s="56">
        <v>14.839999999999881</v>
      </c>
      <c r="AS882" s="56">
        <v>16.31999999999989</v>
      </c>
      <c r="AT882" s="62">
        <v>20.579999999999909</v>
      </c>
      <c r="AV882" s="64">
        <v>3.7271069166666662</v>
      </c>
      <c r="AW882" s="56">
        <v>14.179999999999991</v>
      </c>
      <c r="AX882" s="56">
        <v>15.63999999999997</v>
      </c>
      <c r="AY882" s="62">
        <v>20.500000000000011</v>
      </c>
      <c r="BA882" s="64">
        <v>3.185785716666667</v>
      </c>
      <c r="BB882" s="56">
        <v>16.98000000000004</v>
      </c>
      <c r="BC882" s="56">
        <v>19.47999999999999</v>
      </c>
      <c r="BD882" s="62">
        <v>31.68000000000006</v>
      </c>
      <c r="BF882" s="64">
        <v>2.9610675</v>
      </c>
      <c r="BG882" s="56">
        <v>21.34</v>
      </c>
      <c r="BH882" s="56">
        <v>29.319999999999968</v>
      </c>
      <c r="BI882" s="62">
        <v>60.339999999999968</v>
      </c>
      <c r="BJ882" s="70"/>
      <c r="BK882" s="51"/>
    </row>
    <row r="883" spans="1:63" ht="17.25" customHeight="1" thickBot="1" x14ac:dyDescent="0.45">
      <c r="A883" s="16" t="s">
        <v>960</v>
      </c>
      <c r="B883" s="4"/>
      <c r="C883" s="4"/>
      <c r="D883" s="4"/>
      <c r="E883" s="12"/>
      <c r="G883" s="147" t="s">
        <v>960</v>
      </c>
      <c r="H883" s="159">
        <v>70.084000000000003</v>
      </c>
      <c r="I883" s="153">
        <v>70.36</v>
      </c>
      <c r="J883" s="153">
        <v>70.33</v>
      </c>
      <c r="K883" s="153">
        <v>70.36</v>
      </c>
      <c r="L883" s="153">
        <v>70.31</v>
      </c>
      <c r="M883" s="80">
        <f t="shared" si="26"/>
        <v>70.36</v>
      </c>
      <c r="N883" s="80">
        <f t="shared" si="27"/>
        <v>70.31</v>
      </c>
      <c r="O883" s="153">
        <v>21.2</v>
      </c>
      <c r="P883" s="153">
        <v>21.07</v>
      </c>
      <c r="Q883" s="153">
        <v>21.11</v>
      </c>
      <c r="R883" s="153">
        <v>21.07</v>
      </c>
      <c r="S883" s="4"/>
      <c r="U883" s="147" t="s">
        <v>960</v>
      </c>
      <c r="V883" s="11"/>
      <c r="W883" s="4"/>
      <c r="X883" s="12"/>
      <c r="Y883" s="14"/>
      <c r="Z883" s="4"/>
      <c r="AA883" s="13"/>
      <c r="AB883" s="11"/>
      <c r="AC883" s="4"/>
      <c r="AD883" s="12"/>
      <c r="AE883" s="13"/>
      <c r="AF883" s="14">
        <v>5.0263</v>
      </c>
      <c r="AG883" s="133"/>
      <c r="AI883" s="84"/>
      <c r="AL883" s="64">
        <v>4.1713787499999997</v>
      </c>
      <c r="AM883" s="56">
        <v>14.58000000000013</v>
      </c>
      <c r="AN883" s="56">
        <v>16.56000000000013</v>
      </c>
      <c r="AO883" s="62">
        <v>22.60000000000009</v>
      </c>
      <c r="AQ883" s="64">
        <v>4.0814652499999999</v>
      </c>
      <c r="AR883" s="56">
        <v>14.48</v>
      </c>
      <c r="AS883" s="56">
        <v>15.939999999999969</v>
      </c>
      <c r="AT883" s="62">
        <v>20.239999999999991</v>
      </c>
      <c r="AV883" s="64">
        <v>3.729273866666666</v>
      </c>
      <c r="AW883" s="56">
        <v>13.81999999999994</v>
      </c>
      <c r="AX883" s="56">
        <v>15.28</v>
      </c>
      <c r="AY883" s="62">
        <v>20.139999999999961</v>
      </c>
      <c r="BA883" s="64">
        <v>3.1891162999999998</v>
      </c>
      <c r="BB883" s="56">
        <v>16.54</v>
      </c>
      <c r="BC883" s="56">
        <v>19.040000000000031</v>
      </c>
      <c r="BD883" s="62">
        <v>31.06</v>
      </c>
      <c r="BF883" s="64">
        <v>2.956435466666667</v>
      </c>
      <c r="BG883" s="56">
        <v>20.719999999999938</v>
      </c>
      <c r="BH883" s="56">
        <v>28.67999999999995</v>
      </c>
      <c r="BI883" s="62">
        <v>59.379999999999988</v>
      </c>
      <c r="BJ883" s="70"/>
      <c r="BK883" s="51"/>
    </row>
    <row r="884" spans="1:63" ht="17.25" customHeight="1" thickBot="1" x14ac:dyDescent="0.45">
      <c r="A884" s="16" t="s">
        <v>961</v>
      </c>
      <c r="B884" s="4"/>
      <c r="C884" s="4"/>
      <c r="D884" s="4"/>
      <c r="E884" s="12"/>
      <c r="G884" s="147" t="s">
        <v>961</v>
      </c>
      <c r="H884" s="159">
        <v>70.08</v>
      </c>
      <c r="I884" s="153">
        <v>70.31</v>
      </c>
      <c r="J884" s="153">
        <v>70.37</v>
      </c>
      <c r="K884" s="153">
        <v>70.33</v>
      </c>
      <c r="L884" s="153">
        <v>70.37</v>
      </c>
      <c r="M884" s="80">
        <f t="shared" si="26"/>
        <v>70.37</v>
      </c>
      <c r="N884" s="80">
        <f t="shared" si="27"/>
        <v>70.31</v>
      </c>
      <c r="O884" s="153">
        <v>21.15</v>
      </c>
      <c r="P884" s="153">
        <v>21.15</v>
      </c>
      <c r="Q884" s="153">
        <v>21.14</v>
      </c>
      <c r="R884" s="153">
        <v>21.07</v>
      </c>
      <c r="S884" s="4"/>
      <c r="U884" s="147" t="s">
        <v>961</v>
      </c>
      <c r="V884" s="11"/>
      <c r="W884" s="4"/>
      <c r="X884" s="12"/>
      <c r="Y884" s="14"/>
      <c r="Z884" s="4"/>
      <c r="AA884" s="13"/>
      <c r="AB884" s="11"/>
      <c r="AC884" s="4"/>
      <c r="AD884" s="12"/>
      <c r="AE884" s="13"/>
      <c r="AF884" s="14">
        <v>5.0260999999999996</v>
      </c>
      <c r="AG884" s="133"/>
      <c r="AI884" s="84"/>
      <c r="AL884" s="64">
        <v>4.1713143333333331</v>
      </c>
      <c r="AM884" s="56">
        <v>15.4399999999999</v>
      </c>
      <c r="AN884" s="56">
        <v>17.419999999999899</v>
      </c>
      <c r="AO884" s="62">
        <v>23.53999999999985</v>
      </c>
      <c r="AQ884" s="64">
        <v>4.0790061500000014</v>
      </c>
      <c r="AR884" s="56">
        <v>14.739999999999929</v>
      </c>
      <c r="AS884" s="56">
        <v>16.259999999999941</v>
      </c>
      <c r="AT884" s="62">
        <v>20.599999999999952</v>
      </c>
      <c r="AV884" s="64">
        <v>3.7262505833333339</v>
      </c>
      <c r="AW884" s="56">
        <v>14.260000000000071</v>
      </c>
      <c r="AX884" s="56">
        <v>15.72000000000005</v>
      </c>
      <c r="AY884" s="62">
        <v>20.64000000000004</v>
      </c>
      <c r="BA884" s="64">
        <v>3.183223283333334</v>
      </c>
      <c r="BB884" s="56">
        <v>16.999999999999989</v>
      </c>
      <c r="BC884" s="56">
        <v>19.58000000000002</v>
      </c>
      <c r="BD884" s="62">
        <v>31.86</v>
      </c>
      <c r="BF884" s="64">
        <v>2.9576965333333329</v>
      </c>
      <c r="BG884" s="56">
        <v>21.34</v>
      </c>
      <c r="BH884" s="56">
        <v>29.239999999999981</v>
      </c>
      <c r="BI884" s="62">
        <v>59.919999999999973</v>
      </c>
      <c r="BJ884" s="70"/>
      <c r="BK884" s="51"/>
    </row>
    <row r="885" spans="1:63" ht="17.25" customHeight="1" thickBot="1" x14ac:dyDescent="0.45">
      <c r="A885" s="16" t="s">
        <v>962</v>
      </c>
      <c r="B885" s="4"/>
      <c r="C885" s="4"/>
      <c r="D885" s="4"/>
      <c r="E885" s="12"/>
      <c r="G885" s="147" t="s">
        <v>962</v>
      </c>
      <c r="H885" s="159">
        <v>70.096999999999994</v>
      </c>
      <c r="I885" s="153">
        <v>70.38</v>
      </c>
      <c r="J885" s="153">
        <v>70.38</v>
      </c>
      <c r="K885" s="153">
        <v>70.39</v>
      </c>
      <c r="L885" s="153">
        <v>70.33</v>
      </c>
      <c r="M885" s="80">
        <f t="shared" si="26"/>
        <v>70.39</v>
      </c>
      <c r="N885" s="80">
        <f t="shared" si="27"/>
        <v>70.33</v>
      </c>
      <c r="O885" s="153">
        <v>21.22</v>
      </c>
      <c r="P885" s="153">
        <v>21.18</v>
      </c>
      <c r="Q885" s="153">
        <v>21.16</v>
      </c>
      <c r="R885" s="153">
        <v>21.07</v>
      </c>
      <c r="S885" s="4"/>
      <c r="U885" s="147" t="s">
        <v>962</v>
      </c>
      <c r="V885" s="11"/>
      <c r="W885" s="4"/>
      <c r="X885" s="12"/>
      <c r="Y885" s="14"/>
      <c r="Z885" s="4"/>
      <c r="AA885" s="13"/>
      <c r="AB885" s="11"/>
      <c r="AC885" s="4"/>
      <c r="AD885" s="12"/>
      <c r="AE885" s="13"/>
      <c r="AF885" s="14">
        <v>5.0213000000000001</v>
      </c>
      <c r="AG885" s="133"/>
      <c r="AI885" s="84"/>
      <c r="AL885" s="64">
        <v>4.1712122000000003</v>
      </c>
      <c r="AM885" s="56">
        <v>14.84000000000005</v>
      </c>
      <c r="AN885" s="56">
        <v>16.79999999999993</v>
      </c>
      <c r="AO885" s="62">
        <v>22.920000000000051</v>
      </c>
      <c r="AQ885" s="64">
        <v>4.0806772666666662</v>
      </c>
      <c r="AR885" s="56">
        <v>14.499999999999959</v>
      </c>
      <c r="AS885" s="56">
        <v>15.939999999999969</v>
      </c>
      <c r="AT885" s="62">
        <v>20.200000000000081</v>
      </c>
      <c r="AV885" s="64">
        <v>3.7277566166666669</v>
      </c>
      <c r="AW885" s="56">
        <v>13.77999999999995</v>
      </c>
      <c r="AX885" s="56">
        <v>15.21999999999997</v>
      </c>
      <c r="AY885" s="62">
        <v>20.039999999999921</v>
      </c>
      <c r="BA885" s="64">
        <v>3.1855085666666669</v>
      </c>
      <c r="BB885" s="56">
        <v>16.96</v>
      </c>
      <c r="BC885" s="56">
        <v>19.54000000000002</v>
      </c>
      <c r="BD885" s="62">
        <v>31.839999999999961</v>
      </c>
      <c r="BF885" s="64">
        <v>2.962460516666666</v>
      </c>
      <c r="BG885" s="56">
        <v>21.260000000000009</v>
      </c>
      <c r="BH885" s="56">
        <v>29.320000000000061</v>
      </c>
      <c r="BI885" s="62">
        <v>60.420000000000051</v>
      </c>
      <c r="BJ885" s="70"/>
      <c r="BK885" s="51"/>
    </row>
    <row r="886" spans="1:63" ht="17.25" customHeight="1" thickBot="1" x14ac:dyDescent="0.45">
      <c r="A886" s="16" t="s">
        <v>963</v>
      </c>
      <c r="B886" s="4"/>
      <c r="C886" s="4"/>
      <c r="D886" s="4"/>
      <c r="E886" s="12"/>
      <c r="G886" s="147" t="s">
        <v>963</v>
      </c>
      <c r="H886" s="159">
        <v>70.114999999999995</v>
      </c>
      <c r="I886" s="153">
        <v>70.31</v>
      </c>
      <c r="J886" s="153">
        <v>70.349999999999994</v>
      </c>
      <c r="K886" s="153">
        <v>70.319999999999993</v>
      </c>
      <c r="L886" s="153">
        <v>70.349999999999994</v>
      </c>
      <c r="M886" s="80">
        <f t="shared" si="26"/>
        <v>70.349999999999994</v>
      </c>
      <c r="N886" s="80">
        <f t="shared" si="27"/>
        <v>70.31</v>
      </c>
      <c r="O886" s="153">
        <v>21.21</v>
      </c>
      <c r="P886" s="153">
        <v>21.11</v>
      </c>
      <c r="Q886" s="153">
        <v>21.16</v>
      </c>
      <c r="R886" s="153">
        <v>21.05</v>
      </c>
      <c r="S886" s="4"/>
      <c r="U886" s="147" t="s">
        <v>963</v>
      </c>
      <c r="V886" s="11"/>
      <c r="W886" s="4"/>
      <c r="X886" s="12"/>
      <c r="Y886" s="14"/>
      <c r="Z886" s="4"/>
      <c r="AA886" s="13"/>
      <c r="AB886" s="11"/>
      <c r="AC886" s="4"/>
      <c r="AD886" s="12"/>
      <c r="AE886" s="13"/>
      <c r="AF886" s="14">
        <v>5.0229999999999997</v>
      </c>
      <c r="AG886" s="133"/>
      <c r="AI886" s="84"/>
      <c r="AL886" s="64">
        <v>4.1714143166666666</v>
      </c>
      <c r="AM886" s="56">
        <v>15.55999999999997</v>
      </c>
      <c r="AN886" s="56">
        <v>17.619999999999969</v>
      </c>
      <c r="AO886" s="62">
        <v>23.859999999999989</v>
      </c>
      <c r="AQ886" s="64">
        <v>4.0818369333333333</v>
      </c>
      <c r="AR886" s="56">
        <v>15.240000000000011</v>
      </c>
      <c r="AS886" s="56">
        <v>16.760000000000019</v>
      </c>
      <c r="AT886" s="62">
        <v>21.140000000000029</v>
      </c>
      <c r="AV886" s="64">
        <v>3.7297909333333328</v>
      </c>
      <c r="AW886" s="56">
        <v>14.34000000000006</v>
      </c>
      <c r="AX886" s="56">
        <v>15.82000000000008</v>
      </c>
      <c r="AY886" s="62">
        <v>20.720000000000031</v>
      </c>
      <c r="BA886" s="64">
        <v>3.18789985</v>
      </c>
      <c r="BB886" s="56">
        <v>17.56000000000002</v>
      </c>
      <c r="BC886" s="56">
        <v>20.16</v>
      </c>
      <c r="BD886" s="62">
        <v>32.500000000000007</v>
      </c>
      <c r="BF886" s="64">
        <v>2.9636423500000002</v>
      </c>
      <c r="BG886" s="56">
        <v>22.080000000000059</v>
      </c>
      <c r="BH886" s="56">
        <v>29.780000000000051</v>
      </c>
      <c r="BI886" s="62">
        <v>60.300000000000061</v>
      </c>
      <c r="BJ886" s="69"/>
      <c r="BK886" s="51"/>
    </row>
    <row r="887" spans="1:63" ht="17.25" customHeight="1" thickBot="1" x14ac:dyDescent="0.45">
      <c r="A887" s="16" t="s">
        <v>964</v>
      </c>
      <c r="B887" s="4"/>
      <c r="C887" s="4"/>
      <c r="D887" s="4"/>
      <c r="E887" s="12"/>
      <c r="G887" s="147" t="s">
        <v>964</v>
      </c>
      <c r="H887" s="161">
        <v>70.102999999999994</v>
      </c>
      <c r="I887" s="153">
        <v>70.36</v>
      </c>
      <c r="J887" s="153">
        <v>70.36</v>
      </c>
      <c r="K887" s="153">
        <v>70.319999999999993</v>
      </c>
      <c r="L887" s="153">
        <v>70.290000000000006</v>
      </c>
      <c r="M887" s="80">
        <f t="shared" si="26"/>
        <v>70.36</v>
      </c>
      <c r="N887" s="80">
        <f t="shared" si="27"/>
        <v>70.290000000000006</v>
      </c>
      <c r="O887" s="153">
        <v>21.18</v>
      </c>
      <c r="P887" s="153">
        <v>21.14</v>
      </c>
      <c r="Q887" s="153">
        <v>21.16</v>
      </c>
      <c r="R887" s="153">
        <v>21.09</v>
      </c>
      <c r="S887" s="4"/>
      <c r="U887" s="147" t="s">
        <v>964</v>
      </c>
      <c r="V887" s="11"/>
      <c r="W887" s="4"/>
      <c r="X887" s="12"/>
      <c r="Y887" s="14"/>
      <c r="Z887" s="4"/>
      <c r="AA887" s="13"/>
      <c r="AB887" s="11"/>
      <c r="AC887" s="4"/>
      <c r="AD887" s="12"/>
      <c r="AE887" s="13"/>
      <c r="AF887" s="14">
        <v>5.0259</v>
      </c>
      <c r="AG887" s="133"/>
      <c r="AI887" s="84"/>
      <c r="AL887" s="64">
        <v>4.1713347833333332</v>
      </c>
      <c r="AM887" s="56">
        <v>15.259999999999961</v>
      </c>
      <c r="AN887" s="56">
        <v>17.219999999999839</v>
      </c>
      <c r="AO887" s="62">
        <v>23.5199999999999</v>
      </c>
      <c r="AQ887" s="64">
        <v>4.0799185666666684</v>
      </c>
      <c r="AR887" s="56">
        <v>14.620000000000029</v>
      </c>
      <c r="AS887" s="56">
        <v>16.060000000000048</v>
      </c>
      <c r="AT887" s="62">
        <v>20.38000000000002</v>
      </c>
      <c r="AV887" s="64">
        <v>3.726719183333334</v>
      </c>
      <c r="AW887" s="56">
        <v>13.899999999999929</v>
      </c>
      <c r="AX887" s="56">
        <v>15.32</v>
      </c>
      <c r="AY887" s="62">
        <v>20.16</v>
      </c>
      <c r="BA887" s="64">
        <v>3.1834862500000001</v>
      </c>
      <c r="BB887" s="56">
        <v>16.520000000000049</v>
      </c>
      <c r="BC887" s="56">
        <v>19.019999999999989</v>
      </c>
      <c r="BD887" s="62">
        <v>31.24000000000002</v>
      </c>
      <c r="BF887" s="64">
        <v>2.9603256666666669</v>
      </c>
      <c r="BG887" s="56">
        <v>20.77999999999998</v>
      </c>
      <c r="BH887" s="56">
        <v>28.800000000000029</v>
      </c>
      <c r="BI887" s="62">
        <v>59.68</v>
      </c>
      <c r="BJ887" s="70"/>
      <c r="BK887" s="51"/>
    </row>
    <row r="888" spans="1:63" ht="17.25" customHeight="1" thickBot="1" x14ac:dyDescent="0.45">
      <c r="A888" s="16" t="s">
        <v>965</v>
      </c>
      <c r="B888" s="4"/>
      <c r="C888" s="4"/>
      <c r="D888" s="4"/>
      <c r="E888" s="12"/>
      <c r="G888" s="147" t="s">
        <v>965</v>
      </c>
      <c r="H888" s="159">
        <v>70.162999999999997</v>
      </c>
      <c r="I888" s="153">
        <v>70.33</v>
      </c>
      <c r="J888" s="153">
        <v>70.290000000000006</v>
      </c>
      <c r="K888" s="153">
        <v>70.39</v>
      </c>
      <c r="L888" s="153">
        <v>70.31</v>
      </c>
      <c r="M888" s="80">
        <f t="shared" si="26"/>
        <v>70.39</v>
      </c>
      <c r="N888" s="80">
        <f t="shared" si="27"/>
        <v>70.290000000000006</v>
      </c>
      <c r="O888" s="153">
        <v>21.21</v>
      </c>
      <c r="P888" s="153">
        <v>21.12</v>
      </c>
      <c r="Q888" s="153">
        <v>21.16</v>
      </c>
      <c r="R888" s="153">
        <v>21.11</v>
      </c>
      <c r="S888" s="4"/>
      <c r="U888" s="147" t="s">
        <v>965</v>
      </c>
      <c r="V888" s="11"/>
      <c r="W888" s="4"/>
      <c r="X888" s="12"/>
      <c r="Y888" s="14"/>
      <c r="Z888" s="4"/>
      <c r="AA888" s="13"/>
      <c r="AB888" s="11"/>
      <c r="AC888" s="4"/>
      <c r="AD888" s="12"/>
      <c r="AE888" s="13"/>
      <c r="AF888" s="14">
        <v>5.0316999999999998</v>
      </c>
      <c r="AG888" s="133"/>
      <c r="AI888" s="84"/>
      <c r="AL888" s="64">
        <v>4.1710328499999996</v>
      </c>
      <c r="AM888" s="56">
        <v>15.30000000000005</v>
      </c>
      <c r="AN888" s="56">
        <v>17.360000000000039</v>
      </c>
      <c r="AO888" s="62">
        <v>23.70000000000001</v>
      </c>
      <c r="AQ888" s="64">
        <v>4.0826887333333337</v>
      </c>
      <c r="AR888" s="56">
        <v>15.16000000000002</v>
      </c>
      <c r="AS888" s="56">
        <v>16.680000000000032</v>
      </c>
      <c r="AT888" s="62">
        <v>21.039999999999988</v>
      </c>
      <c r="AV888" s="64">
        <v>3.7298342333333339</v>
      </c>
      <c r="AW888" s="56">
        <v>14.1</v>
      </c>
      <c r="AX888" s="56">
        <v>15.54000000000002</v>
      </c>
      <c r="AY888" s="62">
        <v>20.420000000000019</v>
      </c>
      <c r="BA888" s="64">
        <v>3.1882807833333331</v>
      </c>
      <c r="BB888" s="56">
        <v>17.280000000000051</v>
      </c>
      <c r="BC888" s="56">
        <v>19.840000000000039</v>
      </c>
      <c r="BD888" s="62">
        <v>32.140000000000057</v>
      </c>
      <c r="BF888" s="64">
        <v>2.9623984000000001</v>
      </c>
      <c r="BG888" s="56">
        <v>21.619999999999969</v>
      </c>
      <c r="BH888" s="56">
        <v>29.560000000000031</v>
      </c>
      <c r="BI888" s="62">
        <v>60.48</v>
      </c>
      <c r="BJ888" s="70"/>
      <c r="BK888" s="51"/>
    </row>
    <row r="889" spans="1:63" ht="17.25" customHeight="1" thickBot="1" x14ac:dyDescent="0.45">
      <c r="A889" s="16" t="s">
        <v>966</v>
      </c>
      <c r="B889" s="4"/>
      <c r="C889" s="4"/>
      <c r="D889" s="4"/>
      <c r="E889" s="12"/>
      <c r="G889" s="147" t="s">
        <v>966</v>
      </c>
      <c r="H889" s="159">
        <v>69.98</v>
      </c>
      <c r="I889" s="153">
        <v>70.290000000000006</v>
      </c>
      <c r="J889" s="153">
        <v>70.27</v>
      </c>
      <c r="K889" s="153">
        <v>70.349999999999994</v>
      </c>
      <c r="L889" s="153">
        <v>70.349999999999994</v>
      </c>
      <c r="M889" s="80">
        <f t="shared" si="26"/>
        <v>70.349999999999994</v>
      </c>
      <c r="N889" s="80">
        <f t="shared" si="27"/>
        <v>70.27</v>
      </c>
      <c r="O889" s="153">
        <v>21.16</v>
      </c>
      <c r="P889" s="153">
        <v>21.03</v>
      </c>
      <c r="Q889" s="153">
        <v>21.16</v>
      </c>
      <c r="R889" s="153">
        <v>21.13</v>
      </c>
      <c r="S889" s="4"/>
      <c r="U889" s="147" t="s">
        <v>966</v>
      </c>
      <c r="V889" s="11"/>
      <c r="W889" s="4"/>
      <c r="X889" s="12"/>
      <c r="Y889" s="14"/>
      <c r="Z889" s="4"/>
      <c r="AA889" s="13"/>
      <c r="AB889" s="11"/>
      <c r="AC889" s="4"/>
      <c r="AD889" s="12"/>
      <c r="AE889" s="13"/>
      <c r="AF889" s="14">
        <v>5.0191999999999997</v>
      </c>
      <c r="AG889" s="133"/>
      <c r="AI889" s="84"/>
      <c r="AL889" s="64">
        <v>4.1710986999999999</v>
      </c>
      <c r="AM889" s="56">
        <v>14.54000000000004</v>
      </c>
      <c r="AN889" s="56">
        <v>16.500000000000089</v>
      </c>
      <c r="AO889" s="62">
        <v>22.579999999999959</v>
      </c>
      <c r="AQ889" s="64">
        <v>4.0829839333333329</v>
      </c>
      <c r="AR889" s="56">
        <v>14.48</v>
      </c>
      <c r="AS889" s="56">
        <v>15.960000000000109</v>
      </c>
      <c r="AT889" s="62">
        <v>20.280000000000079</v>
      </c>
      <c r="AV889" s="64">
        <v>3.7307148666666672</v>
      </c>
      <c r="AW889" s="56">
        <v>13.72</v>
      </c>
      <c r="AX889" s="56">
        <v>15.120000000000021</v>
      </c>
      <c r="AY889" s="62">
        <v>19.960000000000019</v>
      </c>
      <c r="BA889" s="64">
        <v>3.1893608333333332</v>
      </c>
      <c r="BB889" s="56">
        <v>16.680000000000032</v>
      </c>
      <c r="BC889" s="56">
        <v>19.220000000000059</v>
      </c>
      <c r="BD889" s="62">
        <v>31.36000000000001</v>
      </c>
      <c r="BF889" s="64">
        <v>2.9609133000000001</v>
      </c>
      <c r="BG889" s="56">
        <v>21.060000000000031</v>
      </c>
      <c r="BH889" s="56">
        <v>28.739999999999991</v>
      </c>
      <c r="BI889" s="62">
        <v>59.280000000000037</v>
      </c>
      <c r="BJ889" s="70"/>
      <c r="BK889" s="51"/>
    </row>
    <row r="890" spans="1:63" ht="17.25" customHeight="1" thickBot="1" x14ac:dyDescent="0.45">
      <c r="A890" s="16" t="s">
        <v>967</v>
      </c>
      <c r="B890" s="4"/>
      <c r="C890" s="4"/>
      <c r="D890" s="4"/>
      <c r="E890" s="12"/>
      <c r="G890" s="147" t="s">
        <v>967</v>
      </c>
      <c r="H890" s="159">
        <v>69.98</v>
      </c>
      <c r="I890" s="153">
        <v>70.31</v>
      </c>
      <c r="J890" s="153">
        <v>70.28</v>
      </c>
      <c r="K890" s="153">
        <v>70.319999999999993</v>
      </c>
      <c r="L890" s="153">
        <v>70.31</v>
      </c>
      <c r="M890" s="80">
        <f t="shared" si="26"/>
        <v>70.319999999999993</v>
      </c>
      <c r="N890" s="80">
        <f t="shared" si="27"/>
        <v>70.28</v>
      </c>
      <c r="O890" s="153">
        <v>21.06</v>
      </c>
      <c r="P890" s="153">
        <v>21.1</v>
      </c>
      <c r="Q890" s="153">
        <v>21.14</v>
      </c>
      <c r="R890" s="153">
        <v>21.08</v>
      </c>
      <c r="S890" s="4"/>
      <c r="U890" s="147" t="s">
        <v>967</v>
      </c>
      <c r="V890" s="11"/>
      <c r="W890" s="4"/>
      <c r="X890" s="12"/>
      <c r="Y890" s="14"/>
      <c r="Z890" s="4"/>
      <c r="AA890" s="13"/>
      <c r="AB890" s="11"/>
      <c r="AC890" s="4"/>
      <c r="AD890" s="12"/>
      <c r="AE890" s="13"/>
      <c r="AF890" s="14">
        <v>5.0369000000000002</v>
      </c>
      <c r="AG890" s="133"/>
      <c r="AI890" s="84"/>
      <c r="AL890" s="64">
        <v>4.1709320000000014</v>
      </c>
      <c r="AM890" s="56">
        <v>15.63999999999997</v>
      </c>
      <c r="AN890" s="56">
        <v>17.69999999999996</v>
      </c>
      <c r="AO890" s="62">
        <v>24.039999999999932</v>
      </c>
      <c r="AQ890" s="64">
        <v>4.0819646166666672</v>
      </c>
      <c r="AR890" s="56">
        <v>15.240000000000011</v>
      </c>
      <c r="AS890" s="56">
        <v>16.759999999999931</v>
      </c>
      <c r="AT890" s="62">
        <v>21.199999999999889</v>
      </c>
      <c r="AV890" s="64">
        <v>3.7288174500000002</v>
      </c>
      <c r="AW890" s="56">
        <v>14.780000000000021</v>
      </c>
      <c r="AX890" s="56">
        <v>16.27999999999998</v>
      </c>
      <c r="AY890" s="62">
        <v>21.279999999999969</v>
      </c>
      <c r="BA890" s="64">
        <v>3.1836309333333328</v>
      </c>
      <c r="BB890" s="56">
        <v>18.14</v>
      </c>
      <c r="BC890" s="56">
        <v>20.840000000000011</v>
      </c>
      <c r="BD890" s="62">
        <v>33.579999999999977</v>
      </c>
      <c r="BF890" s="64">
        <v>2.9672554999999998</v>
      </c>
      <c r="BG890" s="56">
        <v>22.480000000000011</v>
      </c>
      <c r="BH890" s="56">
        <v>30.45999999999998</v>
      </c>
      <c r="BI890" s="62">
        <v>61.139999999999972</v>
      </c>
      <c r="BJ890" s="70"/>
      <c r="BK890" s="51"/>
    </row>
    <row r="891" spans="1:63" ht="17.25" customHeight="1" thickBot="1" x14ac:dyDescent="0.45">
      <c r="A891" s="16" t="s">
        <v>968</v>
      </c>
      <c r="B891" s="4"/>
      <c r="C891" s="4"/>
      <c r="D891" s="4"/>
      <c r="E891" s="12"/>
      <c r="G891" s="147" t="s">
        <v>968</v>
      </c>
      <c r="H891" s="159">
        <v>70.182000000000002</v>
      </c>
      <c r="I891" s="153">
        <v>70.36</v>
      </c>
      <c r="J891" s="153">
        <v>70.349999999999994</v>
      </c>
      <c r="K891" s="153">
        <v>70.319999999999993</v>
      </c>
      <c r="L891" s="153">
        <v>70.3</v>
      </c>
      <c r="M891" s="80">
        <f t="shared" si="26"/>
        <v>70.36</v>
      </c>
      <c r="N891" s="80">
        <f t="shared" si="27"/>
        <v>70.3</v>
      </c>
      <c r="O891" s="153">
        <v>21.18</v>
      </c>
      <c r="P891" s="153">
        <v>21.16</v>
      </c>
      <c r="Q891" s="153">
        <v>21.16</v>
      </c>
      <c r="R891" s="153">
        <v>21.03</v>
      </c>
      <c r="S891" s="4"/>
      <c r="U891" s="147" t="s">
        <v>968</v>
      </c>
      <c r="V891" s="11"/>
      <c r="W891" s="4"/>
      <c r="X891" s="12"/>
      <c r="Y891" s="14"/>
      <c r="Z891" s="4"/>
      <c r="AA891" s="13"/>
      <c r="AB891" s="11"/>
      <c r="AC891" s="4"/>
      <c r="AD891" s="12"/>
      <c r="AE891" s="13"/>
      <c r="AF891" s="14">
        <v>5.0210999999999997</v>
      </c>
      <c r="AG891" s="133"/>
      <c r="AI891" s="84"/>
      <c r="AL891" s="64">
        <v>4.1710176833333339</v>
      </c>
      <c r="AM891" s="56">
        <v>14.680000000000071</v>
      </c>
      <c r="AN891" s="56">
        <v>16.61999999999999</v>
      </c>
      <c r="AO891" s="62">
        <v>22.799999999999979</v>
      </c>
      <c r="AQ891" s="64">
        <v>4.0817276166666661</v>
      </c>
      <c r="AR891" s="56">
        <v>14.299999999999891</v>
      </c>
      <c r="AS891" s="56">
        <v>15.73999999999991</v>
      </c>
      <c r="AT891" s="62">
        <v>19.95999999999993</v>
      </c>
      <c r="AV891" s="64">
        <v>3.7293382166666662</v>
      </c>
      <c r="AW891" s="56">
        <v>13.79999999999999</v>
      </c>
      <c r="AX891" s="56">
        <v>15.240000000000011</v>
      </c>
      <c r="AY891" s="62">
        <v>20.05999999999997</v>
      </c>
      <c r="BA891" s="64">
        <v>3.18968125</v>
      </c>
      <c r="BB891" s="56">
        <v>16.88000000000001</v>
      </c>
      <c r="BC891" s="56">
        <v>19.379999999999949</v>
      </c>
      <c r="BD891" s="62">
        <v>31.49999999999995</v>
      </c>
      <c r="BF891" s="64">
        <v>2.9652918833333328</v>
      </c>
      <c r="BG891" s="56">
        <v>21.11999999999998</v>
      </c>
      <c r="BH891" s="56">
        <v>29</v>
      </c>
      <c r="BI891" s="62">
        <v>59.320000000000043</v>
      </c>
      <c r="BJ891" s="70"/>
      <c r="BK891" s="51"/>
    </row>
    <row r="892" spans="1:63" ht="17.25" customHeight="1" thickBot="1" x14ac:dyDescent="0.45">
      <c r="A892" s="16" t="s">
        <v>969</v>
      </c>
      <c r="B892" s="4"/>
      <c r="C892" s="4"/>
      <c r="D892" s="4"/>
      <c r="E892" s="12"/>
      <c r="G892" s="147" t="s">
        <v>969</v>
      </c>
      <c r="H892" s="159">
        <v>70.055000000000007</v>
      </c>
      <c r="I892" s="153">
        <v>70.400000000000006</v>
      </c>
      <c r="J892" s="153">
        <v>70.33</v>
      </c>
      <c r="K892" s="153">
        <v>70.36</v>
      </c>
      <c r="L892" s="153">
        <v>70.290000000000006</v>
      </c>
      <c r="M892" s="80">
        <f t="shared" si="26"/>
        <v>70.400000000000006</v>
      </c>
      <c r="N892" s="80">
        <f t="shared" si="27"/>
        <v>70.290000000000006</v>
      </c>
      <c r="O892" s="153">
        <v>21.21</v>
      </c>
      <c r="P892" s="153">
        <v>21.04</v>
      </c>
      <c r="Q892" s="153">
        <v>21.12</v>
      </c>
      <c r="R892" s="153">
        <v>21.08</v>
      </c>
      <c r="S892" s="4"/>
      <c r="U892" s="147" t="s">
        <v>969</v>
      </c>
      <c r="V892" s="11"/>
      <c r="W892" s="4"/>
      <c r="X892" s="12"/>
      <c r="Y892" s="14"/>
      <c r="Z892" s="4"/>
      <c r="AA892" s="13"/>
      <c r="AB892" s="11"/>
      <c r="AC892" s="4"/>
      <c r="AD892" s="12"/>
      <c r="AE892" s="13"/>
      <c r="AF892" s="14">
        <v>5.0240999999999998</v>
      </c>
      <c r="AG892" s="133"/>
      <c r="AI892" s="84"/>
      <c r="AL892" s="64">
        <v>4.1708131166666664</v>
      </c>
      <c r="AM892" s="56">
        <v>14.84000000000005</v>
      </c>
      <c r="AN892" s="56">
        <v>16.840000000000011</v>
      </c>
      <c r="AO892" s="62">
        <v>23.02</v>
      </c>
      <c r="AQ892" s="64">
        <v>4.0828711500000008</v>
      </c>
      <c r="AR892" s="56">
        <v>15.08000000000003</v>
      </c>
      <c r="AS892" s="56">
        <v>16.56000000000013</v>
      </c>
      <c r="AT892" s="62">
        <v>20.920000000000091</v>
      </c>
      <c r="AV892" s="64">
        <v>3.7296122833333332</v>
      </c>
      <c r="AW892" s="56">
        <v>14.33999999999997</v>
      </c>
      <c r="AX892" s="56">
        <v>15.799999999999949</v>
      </c>
      <c r="AY892" s="62">
        <v>20.719999999999938</v>
      </c>
      <c r="BA892" s="64">
        <v>3.1851379333333329</v>
      </c>
      <c r="BB892" s="56">
        <v>17.900000000000031</v>
      </c>
      <c r="BC892" s="56">
        <v>20.51999999999996</v>
      </c>
      <c r="BD892" s="62">
        <v>33.100000000000037</v>
      </c>
      <c r="BF892" s="64">
        <v>2.9677955333333328</v>
      </c>
      <c r="BG892" s="56">
        <v>22.080000000000059</v>
      </c>
      <c r="BH892" s="56">
        <v>30.22</v>
      </c>
      <c r="BI892" s="62">
        <v>61.000000000000043</v>
      </c>
      <c r="BJ892" s="70"/>
      <c r="BK892" s="51"/>
    </row>
    <row r="893" spans="1:63" ht="17.25" customHeight="1" thickBot="1" x14ac:dyDescent="0.45">
      <c r="A893" s="16" t="s">
        <v>970</v>
      </c>
      <c r="B893" s="4"/>
      <c r="C893" s="4"/>
      <c r="D893" s="4"/>
      <c r="E893" s="12"/>
      <c r="G893" s="147" t="s">
        <v>970</v>
      </c>
      <c r="H893" s="159">
        <v>70.150999999999996</v>
      </c>
      <c r="I893" s="153">
        <v>70.33</v>
      </c>
      <c r="J893" s="153">
        <v>70.27</v>
      </c>
      <c r="K893" s="153">
        <v>70.34</v>
      </c>
      <c r="L893" s="153">
        <v>70.400000000000006</v>
      </c>
      <c r="M893" s="80">
        <f t="shared" si="26"/>
        <v>70.400000000000006</v>
      </c>
      <c r="N893" s="80">
        <f t="shared" si="27"/>
        <v>70.27</v>
      </c>
      <c r="O893" s="153">
        <v>21.22</v>
      </c>
      <c r="P893" s="153">
        <v>21.03</v>
      </c>
      <c r="Q893" s="153">
        <v>21.12</v>
      </c>
      <c r="R893" s="153">
        <v>21.11</v>
      </c>
      <c r="S893" s="4"/>
      <c r="U893" s="147" t="s">
        <v>970</v>
      </c>
      <c r="V893" s="11"/>
      <c r="W893" s="4"/>
      <c r="X893" s="12"/>
      <c r="Y893" s="14"/>
      <c r="Z893" s="4"/>
      <c r="AA893" s="13"/>
      <c r="AB893" s="11"/>
      <c r="AC893" s="4"/>
      <c r="AD893" s="12"/>
      <c r="AE893" s="13"/>
      <c r="AF893" s="14">
        <v>5.0372000000000003</v>
      </c>
      <c r="AG893" s="133"/>
      <c r="AI893" s="84"/>
      <c r="AL893" s="64">
        <v>4.1708638499999999</v>
      </c>
      <c r="AM893" s="56">
        <v>15.479999999999981</v>
      </c>
      <c r="AN893" s="56">
        <v>17.47999999999994</v>
      </c>
      <c r="AO893" s="62">
        <v>23.620000000000019</v>
      </c>
      <c r="AQ893" s="64">
        <v>4.0808408833333329</v>
      </c>
      <c r="AR893" s="56">
        <v>15.000000000000041</v>
      </c>
      <c r="AS893" s="56">
        <v>16.459999999999919</v>
      </c>
      <c r="AT893" s="62">
        <v>20.819999999999968</v>
      </c>
      <c r="AV893" s="64">
        <v>3.7282435</v>
      </c>
      <c r="AW893" s="56">
        <v>14.539999999999949</v>
      </c>
      <c r="AX893" s="56">
        <v>16.000000000000011</v>
      </c>
      <c r="AY893" s="62">
        <v>20.979999999999951</v>
      </c>
      <c r="BA893" s="64">
        <v>3.1853870500000001</v>
      </c>
      <c r="BB893" s="56">
        <v>18.00000000000006</v>
      </c>
      <c r="BC893" s="56">
        <v>20.600000000000041</v>
      </c>
      <c r="BD893" s="62">
        <v>33.140000000000043</v>
      </c>
      <c r="BF893" s="64">
        <v>2.9672773000000001</v>
      </c>
      <c r="BG893" s="56">
        <v>22.320000000000029</v>
      </c>
      <c r="BH893" s="56">
        <v>30.120000000000061</v>
      </c>
      <c r="BI893" s="62">
        <v>60.44</v>
      </c>
      <c r="BJ893" s="69"/>
      <c r="BK893" s="51"/>
    </row>
    <row r="894" spans="1:63" ht="17.25" customHeight="1" thickBot="1" x14ac:dyDescent="0.45">
      <c r="A894" s="16" t="s">
        <v>971</v>
      </c>
      <c r="B894" s="4"/>
      <c r="C894" s="4"/>
      <c r="D894" s="4"/>
      <c r="E894" s="12"/>
      <c r="G894" s="147" t="s">
        <v>971</v>
      </c>
      <c r="H894" s="159">
        <v>70.194999999999993</v>
      </c>
      <c r="I894" s="153">
        <v>70.319999999999993</v>
      </c>
      <c r="J894" s="153">
        <v>70.28</v>
      </c>
      <c r="K894" s="153">
        <v>70.27</v>
      </c>
      <c r="L894" s="153">
        <v>70.319999999999993</v>
      </c>
      <c r="M894" s="80">
        <f t="shared" si="26"/>
        <v>70.319999999999993</v>
      </c>
      <c r="N894" s="80">
        <f t="shared" si="27"/>
        <v>70.27</v>
      </c>
      <c r="O894" s="153">
        <v>21.21</v>
      </c>
      <c r="P894" s="153">
        <v>21.08</v>
      </c>
      <c r="Q894" s="153">
        <v>21.13</v>
      </c>
      <c r="R894" s="153">
        <v>21.08</v>
      </c>
      <c r="S894" s="4"/>
      <c r="U894" s="147" t="s">
        <v>971</v>
      </c>
      <c r="V894" s="11"/>
      <c r="W894" s="4"/>
      <c r="X894" s="12"/>
      <c r="Y894" s="14"/>
      <c r="Z894" s="4"/>
      <c r="AA894" s="13"/>
      <c r="AB894" s="11"/>
      <c r="AC894" s="4"/>
      <c r="AD894" s="12"/>
      <c r="AE894" s="13"/>
      <c r="AF894" s="14">
        <v>5.0218999999999996</v>
      </c>
      <c r="AG894" s="133"/>
      <c r="AI894" s="84"/>
      <c r="AL894" s="64">
        <v>4.1709110666666662</v>
      </c>
      <c r="AM894" s="56">
        <v>14.87999999999996</v>
      </c>
      <c r="AN894" s="56">
        <v>16.819999999999879</v>
      </c>
      <c r="AO894" s="62">
        <v>22.999999999999861</v>
      </c>
      <c r="AQ894" s="64">
        <v>4.0808293499999992</v>
      </c>
      <c r="AR894" s="56">
        <v>14.499999999999959</v>
      </c>
      <c r="AS894" s="56">
        <v>15.95999999999993</v>
      </c>
      <c r="AT894" s="62">
        <v>20.239999999999991</v>
      </c>
      <c r="AV894" s="64">
        <v>3.7286229166666671</v>
      </c>
      <c r="AW894" s="56">
        <v>13.879999999999979</v>
      </c>
      <c r="AX894" s="56">
        <v>15.32</v>
      </c>
      <c r="AY894" s="62">
        <v>20.17999999999995</v>
      </c>
      <c r="BA894" s="64">
        <v>3.1893183833333332</v>
      </c>
      <c r="BB894" s="56">
        <v>16.939999999999959</v>
      </c>
      <c r="BC894" s="56">
        <v>19.47999999999999</v>
      </c>
      <c r="BD894" s="62">
        <v>31.620000000000019</v>
      </c>
      <c r="BF894" s="64">
        <v>2.9661838166666672</v>
      </c>
      <c r="BG894" s="56">
        <v>21.300000000000011</v>
      </c>
      <c r="BH894" s="56">
        <v>29.060000000000041</v>
      </c>
      <c r="BI894" s="62">
        <v>59.360000000000028</v>
      </c>
      <c r="BJ894" s="70"/>
      <c r="BK894" s="51"/>
    </row>
    <row r="895" spans="1:63" ht="17.25" customHeight="1" thickBot="1" x14ac:dyDescent="0.45">
      <c r="A895" s="16" t="s">
        <v>972</v>
      </c>
      <c r="B895" s="4"/>
      <c r="C895" s="4"/>
      <c r="D895" s="4"/>
      <c r="E895" s="12"/>
      <c r="G895" s="147" t="s">
        <v>972</v>
      </c>
      <c r="H895" s="159">
        <v>70.087000000000003</v>
      </c>
      <c r="I895" s="153">
        <v>70.290000000000006</v>
      </c>
      <c r="J895" s="153">
        <v>70.27</v>
      </c>
      <c r="K895" s="153">
        <v>70.37</v>
      </c>
      <c r="L895" s="153">
        <v>70.33</v>
      </c>
      <c r="M895" s="80">
        <f t="shared" si="26"/>
        <v>70.37</v>
      </c>
      <c r="N895" s="80">
        <f t="shared" si="27"/>
        <v>70.27</v>
      </c>
      <c r="O895" s="153">
        <v>21.15</v>
      </c>
      <c r="P895" s="153">
        <v>21.05</v>
      </c>
      <c r="Q895" s="153">
        <v>21.12</v>
      </c>
      <c r="R895" s="153">
        <v>21.11</v>
      </c>
      <c r="S895" s="4"/>
      <c r="U895" s="147" t="s">
        <v>972</v>
      </c>
      <c r="V895" s="11"/>
      <c r="W895" s="4"/>
      <c r="X895" s="12"/>
      <c r="Y895" s="14"/>
      <c r="Z895" s="4"/>
      <c r="AA895" s="13"/>
      <c r="AB895" s="11"/>
      <c r="AC895" s="4"/>
      <c r="AD895" s="12"/>
      <c r="AE895" s="13"/>
      <c r="AF895" s="14">
        <v>5.0198</v>
      </c>
      <c r="AG895" s="133"/>
      <c r="AI895" s="84"/>
      <c r="AL895" s="64">
        <v>4.1710033333333332</v>
      </c>
      <c r="AM895" s="56">
        <v>15.38000000000004</v>
      </c>
      <c r="AN895" s="56">
        <v>17.40000000000013</v>
      </c>
      <c r="AO895" s="62">
        <v>23.47999999999999</v>
      </c>
      <c r="AQ895" s="64">
        <v>4.0814015666666679</v>
      </c>
      <c r="AR895" s="56">
        <v>14.98000000000008</v>
      </c>
      <c r="AS895" s="56">
        <v>16.48000000000005</v>
      </c>
      <c r="AT895" s="62">
        <v>20.86000000000006</v>
      </c>
      <c r="AV895" s="64">
        <v>3.7281290500000002</v>
      </c>
      <c r="AW895" s="56">
        <v>14.32000000000002</v>
      </c>
      <c r="AX895" s="56">
        <v>15.78</v>
      </c>
      <c r="AY895" s="62">
        <v>20.680000000000032</v>
      </c>
      <c r="BA895" s="64">
        <v>3.1837338833333342</v>
      </c>
      <c r="BB895" s="56">
        <v>17.45999999999999</v>
      </c>
      <c r="BC895" s="56">
        <v>20.060000000000059</v>
      </c>
      <c r="BD895" s="62">
        <v>32.600000000000051</v>
      </c>
      <c r="BF895" s="64">
        <v>2.966960733333333</v>
      </c>
      <c r="BG895" s="56">
        <v>21.68000000000001</v>
      </c>
      <c r="BH895" s="56">
        <v>29.61999999999998</v>
      </c>
      <c r="BI895" s="62">
        <v>60.299999999999983</v>
      </c>
      <c r="BJ895" s="70"/>
      <c r="BK895" s="51"/>
    </row>
    <row r="896" spans="1:63" ht="17.25" customHeight="1" thickBot="1" x14ac:dyDescent="0.45">
      <c r="A896" s="16" t="s">
        <v>973</v>
      </c>
      <c r="B896" s="4"/>
      <c r="C896" s="4"/>
      <c r="D896" s="4"/>
      <c r="E896" s="12"/>
      <c r="G896" s="147" t="s">
        <v>973</v>
      </c>
      <c r="H896" s="159">
        <v>70.078000000000003</v>
      </c>
      <c r="I896" s="153">
        <v>70.31</v>
      </c>
      <c r="J896" s="153">
        <v>70.39</v>
      </c>
      <c r="K896" s="153">
        <v>70.290000000000006</v>
      </c>
      <c r="L896" s="153">
        <v>70.39</v>
      </c>
      <c r="M896" s="80">
        <f t="shared" si="26"/>
        <v>70.39</v>
      </c>
      <c r="N896" s="80">
        <f t="shared" si="27"/>
        <v>70.290000000000006</v>
      </c>
      <c r="O896" s="153">
        <v>21.2</v>
      </c>
      <c r="P896" s="153">
        <v>21.07</v>
      </c>
      <c r="Q896" s="153">
        <v>21.14</v>
      </c>
      <c r="R896" s="153">
        <v>21.07</v>
      </c>
      <c r="S896" s="4"/>
      <c r="U896" s="147" t="s">
        <v>973</v>
      </c>
      <c r="V896" s="11"/>
      <c r="W896" s="4"/>
      <c r="X896" s="12"/>
      <c r="Y896" s="14"/>
      <c r="Z896" s="4"/>
      <c r="AA896" s="13"/>
      <c r="AB896" s="11"/>
      <c r="AC896" s="4"/>
      <c r="AD896" s="12"/>
      <c r="AE896" s="13"/>
      <c r="AF896" s="14">
        <v>5.0286999999999997</v>
      </c>
      <c r="AG896" s="133"/>
      <c r="AI896" s="84"/>
      <c r="AL896" s="64">
        <v>4.1710226833333328</v>
      </c>
      <c r="AM896" s="56">
        <v>14.56</v>
      </c>
      <c r="AN896" s="56">
        <v>16.520000000000049</v>
      </c>
      <c r="AO896" s="62">
        <v>22.60000000000009</v>
      </c>
      <c r="AQ896" s="64">
        <v>4.0819857666666666</v>
      </c>
      <c r="AR896" s="56">
        <v>14.56</v>
      </c>
      <c r="AS896" s="56">
        <v>16.019999999999971</v>
      </c>
      <c r="AT896" s="62">
        <v>20.359999999999982</v>
      </c>
      <c r="AV896" s="64">
        <v>3.728738016666667</v>
      </c>
      <c r="AW896" s="56">
        <v>14.040000000000051</v>
      </c>
      <c r="AX896" s="56">
        <v>15.479999999999981</v>
      </c>
      <c r="AY896" s="62">
        <v>20.400000000000059</v>
      </c>
      <c r="BA896" s="64">
        <v>3.1833945666666659</v>
      </c>
      <c r="BB896" s="56">
        <v>17.260000000000009</v>
      </c>
      <c r="BC896" s="56">
        <v>19.859999999999989</v>
      </c>
      <c r="BD896" s="62">
        <v>32.380000000000031</v>
      </c>
      <c r="BF896" s="64">
        <v>2.9667076666666672</v>
      </c>
      <c r="BG896" s="56">
        <v>21.419999999999991</v>
      </c>
      <c r="BH896" s="56">
        <v>29.199999999999982</v>
      </c>
      <c r="BI896" s="62">
        <v>59.619999999999962</v>
      </c>
      <c r="BJ896" s="69"/>
      <c r="BK896" s="51"/>
    </row>
    <row r="897" spans="1:63" ht="17.25" customHeight="1" thickBot="1" x14ac:dyDescent="0.45">
      <c r="A897" s="16" t="s">
        <v>974</v>
      </c>
      <c r="B897" s="4"/>
      <c r="C897" s="4"/>
      <c r="D897" s="4"/>
      <c r="E897" s="12"/>
      <c r="G897" s="147" t="s">
        <v>974</v>
      </c>
      <c r="H897" s="159">
        <v>70.102000000000004</v>
      </c>
      <c r="I897" s="153">
        <v>70.31</v>
      </c>
      <c r="J897" s="153">
        <v>70.39</v>
      </c>
      <c r="K897" s="153">
        <v>70.349999999999994</v>
      </c>
      <c r="L897" s="153">
        <v>70.38</v>
      </c>
      <c r="M897" s="80">
        <f t="shared" si="26"/>
        <v>70.39</v>
      </c>
      <c r="N897" s="80">
        <f t="shared" si="27"/>
        <v>70.31</v>
      </c>
      <c r="O897" s="153">
        <v>21.1</v>
      </c>
      <c r="P897" s="153">
        <v>21.07</v>
      </c>
      <c r="Q897" s="153">
        <v>21.16</v>
      </c>
      <c r="R897" s="153">
        <v>21.09</v>
      </c>
      <c r="S897" s="4"/>
      <c r="U897" s="147" t="s">
        <v>974</v>
      </c>
      <c r="V897" s="11"/>
      <c r="W897" s="4"/>
      <c r="X897" s="12"/>
      <c r="Y897" s="14"/>
      <c r="Z897" s="4"/>
      <c r="AA897" s="13"/>
      <c r="AB897" s="11"/>
      <c r="AC897" s="4"/>
      <c r="AD897" s="12"/>
      <c r="AE897" s="13"/>
      <c r="AF897" s="14">
        <v>5.0258000000000003</v>
      </c>
      <c r="AG897" s="133"/>
      <c r="AI897" s="84"/>
      <c r="AL897" s="64">
        <v>4.1710058999999999</v>
      </c>
      <c r="AM897" s="56">
        <v>15.180000000000151</v>
      </c>
      <c r="AN897" s="56">
        <v>17.18000000000011</v>
      </c>
      <c r="AO897" s="62">
        <v>23.260000000000151</v>
      </c>
      <c r="AQ897" s="64">
        <v>4.0814791833333333</v>
      </c>
      <c r="AR897" s="56">
        <v>14.84000000000005</v>
      </c>
      <c r="AS897" s="56">
        <v>16.340000000000021</v>
      </c>
      <c r="AT897" s="62">
        <v>20.680000000000032</v>
      </c>
      <c r="AV897" s="64">
        <v>3.7285549833333329</v>
      </c>
      <c r="AW897" s="56">
        <v>14.179999999999991</v>
      </c>
      <c r="AX897" s="56">
        <v>15.660000000000011</v>
      </c>
      <c r="AY897" s="62">
        <v>20.560000000000041</v>
      </c>
      <c r="BA897" s="64">
        <v>3.1849993666666672</v>
      </c>
      <c r="BB897" s="56">
        <v>17.160000000000061</v>
      </c>
      <c r="BC897" s="56">
        <v>19.70000000000001</v>
      </c>
      <c r="BD897" s="62">
        <v>32.060000000000073</v>
      </c>
      <c r="BF897" s="64">
        <v>2.9633322166666671</v>
      </c>
      <c r="BG897" s="56">
        <v>21.600000000000019</v>
      </c>
      <c r="BH897" s="56">
        <v>29.22000000000002</v>
      </c>
      <c r="BI897" s="62">
        <v>59.760000000000083</v>
      </c>
      <c r="BJ897" s="70"/>
      <c r="BK897" s="51"/>
    </row>
    <row r="898" spans="1:63" ht="17.25" customHeight="1" thickBot="1" x14ac:dyDescent="0.45">
      <c r="A898" s="16" t="s">
        <v>975</v>
      </c>
      <c r="B898" s="4"/>
      <c r="C898" s="4"/>
      <c r="D898" s="4"/>
      <c r="E898" s="12"/>
      <c r="G898" s="147" t="s">
        <v>975</v>
      </c>
      <c r="H898" s="159">
        <v>70.070999999999998</v>
      </c>
      <c r="I898" s="153">
        <v>70.400000000000006</v>
      </c>
      <c r="J898" s="153">
        <v>70.31</v>
      </c>
      <c r="K898" s="153">
        <v>70.39</v>
      </c>
      <c r="L898" s="153">
        <v>70.319999999999993</v>
      </c>
      <c r="M898" s="80">
        <f t="shared" si="26"/>
        <v>70.400000000000006</v>
      </c>
      <c r="N898" s="80">
        <f t="shared" si="27"/>
        <v>70.31</v>
      </c>
      <c r="O898" s="153">
        <v>21.18</v>
      </c>
      <c r="P898" s="153">
        <v>21.05</v>
      </c>
      <c r="Q898" s="153">
        <v>21.16</v>
      </c>
      <c r="R898" s="153">
        <v>21.09</v>
      </c>
      <c r="S898" s="4"/>
      <c r="U898" s="147" t="s">
        <v>975</v>
      </c>
      <c r="V898" s="11"/>
      <c r="W898" s="4"/>
      <c r="X898" s="12"/>
      <c r="Y898" s="14"/>
      <c r="Z898" s="4"/>
      <c r="AA898" s="13"/>
      <c r="AB898" s="11"/>
      <c r="AC898" s="4"/>
      <c r="AD898" s="12"/>
      <c r="AE898" s="13"/>
      <c r="AF898" s="14">
        <v>5.0110999999999999</v>
      </c>
      <c r="AG898" s="133"/>
      <c r="AI898" s="84"/>
      <c r="AL898" s="64">
        <v>4.1709341499999999</v>
      </c>
      <c r="AM898" s="56">
        <v>15.039999999999941</v>
      </c>
      <c r="AN898" s="56">
        <v>17.01999999999995</v>
      </c>
      <c r="AO898" s="62">
        <v>23.219999999999889</v>
      </c>
      <c r="AQ898" s="64">
        <v>4.0813503666666673</v>
      </c>
      <c r="AR898" s="56">
        <v>14.620000000000029</v>
      </c>
      <c r="AS898" s="56">
        <v>16.10000000000014</v>
      </c>
      <c r="AT898" s="62">
        <v>20.400000000000059</v>
      </c>
      <c r="AV898" s="64">
        <v>3.7279608666666659</v>
      </c>
      <c r="AW898" s="56">
        <v>14.160000000000039</v>
      </c>
      <c r="AX898" s="56">
        <v>15.62000000000001</v>
      </c>
      <c r="AY898" s="62">
        <v>20.520000000000049</v>
      </c>
      <c r="BA898" s="64">
        <v>3.184216066666667</v>
      </c>
      <c r="BB898" s="56">
        <v>17.819999999999951</v>
      </c>
      <c r="BC898" s="56">
        <v>20.439999999999969</v>
      </c>
      <c r="BD898" s="62">
        <v>33.01999999999996</v>
      </c>
      <c r="BF898" s="64">
        <v>2.9661976000000001</v>
      </c>
      <c r="BG898" s="56">
        <v>22.22</v>
      </c>
      <c r="BH898" s="56">
        <v>30.140000000000011</v>
      </c>
      <c r="BI898" s="62">
        <v>60.820000000000007</v>
      </c>
      <c r="BJ898" s="70"/>
      <c r="BK898" s="51"/>
    </row>
    <row r="899" spans="1:63" ht="17.25" customHeight="1" thickBot="1" x14ac:dyDescent="0.45">
      <c r="A899" s="16" t="s">
        <v>976</v>
      </c>
      <c r="B899" s="4"/>
      <c r="C899" s="4"/>
      <c r="D899" s="4"/>
      <c r="E899" s="12"/>
      <c r="G899" s="147" t="s">
        <v>976</v>
      </c>
      <c r="H899" s="159">
        <v>69.983000000000004</v>
      </c>
      <c r="I899" s="153">
        <v>70.319999999999993</v>
      </c>
      <c r="J899" s="153">
        <v>70.31</v>
      </c>
      <c r="K899" s="153">
        <v>70.34</v>
      </c>
      <c r="L899" s="153">
        <v>70.290000000000006</v>
      </c>
      <c r="M899" s="80">
        <f t="shared" si="26"/>
        <v>70.34</v>
      </c>
      <c r="N899" s="80">
        <f t="shared" si="27"/>
        <v>70.290000000000006</v>
      </c>
      <c r="O899" s="153">
        <v>21.08</v>
      </c>
      <c r="P899" s="153">
        <v>21.12</v>
      </c>
      <c r="Q899" s="153">
        <v>21.13</v>
      </c>
      <c r="R899" s="153">
        <v>21.03</v>
      </c>
      <c r="S899" s="4"/>
      <c r="U899" s="147" t="s">
        <v>976</v>
      </c>
      <c r="V899" s="11"/>
      <c r="W899" s="4"/>
      <c r="X899" s="12"/>
      <c r="Y899" s="14"/>
      <c r="Z899" s="4"/>
      <c r="AA899" s="13"/>
      <c r="AB899" s="11"/>
      <c r="AC899" s="4"/>
      <c r="AD899" s="12"/>
      <c r="AE899" s="13"/>
      <c r="AF899" s="14">
        <v>5.0133999999999999</v>
      </c>
      <c r="AG899" s="133"/>
      <c r="AI899" s="84"/>
      <c r="AL899" s="64">
        <v>4.1708097000000004</v>
      </c>
      <c r="AM899" s="56">
        <v>15.55999999999997</v>
      </c>
      <c r="AN899" s="56">
        <v>17.580000000000059</v>
      </c>
      <c r="AO899" s="62">
        <v>23.78</v>
      </c>
      <c r="AQ899" s="64">
        <v>4.0806318166666662</v>
      </c>
      <c r="AR899" s="56">
        <v>15.32</v>
      </c>
      <c r="AS899" s="56">
        <v>16.840000000000011</v>
      </c>
      <c r="AT899" s="62">
        <v>21.20000000000006</v>
      </c>
      <c r="AV899" s="64">
        <v>3.7268195833333331</v>
      </c>
      <c r="AW899" s="56">
        <v>14.76000000000006</v>
      </c>
      <c r="AX899" s="56">
        <v>16.26000000000003</v>
      </c>
      <c r="AY899" s="62">
        <v>21.280000000000051</v>
      </c>
      <c r="BA899" s="64">
        <v>3.1792008833333329</v>
      </c>
      <c r="BB899" s="56">
        <v>18.339999999999979</v>
      </c>
      <c r="BC899" s="56">
        <v>21.039999999999988</v>
      </c>
      <c r="BD899" s="62">
        <v>33.919999999999987</v>
      </c>
      <c r="BF899" s="64">
        <v>2.9679259999999998</v>
      </c>
      <c r="BG899" s="56">
        <v>22.679999999999989</v>
      </c>
      <c r="BH899" s="56">
        <v>30.620000000000051</v>
      </c>
      <c r="BI899" s="62">
        <v>61.260000000000048</v>
      </c>
      <c r="BJ899" s="69"/>
      <c r="BK899" s="51"/>
    </row>
    <row r="900" spans="1:63" ht="17.25" customHeight="1" thickBot="1" x14ac:dyDescent="0.45">
      <c r="A900" s="16" t="s">
        <v>977</v>
      </c>
      <c r="B900" s="4"/>
      <c r="C900" s="4"/>
      <c r="D900" s="4"/>
      <c r="E900" s="12"/>
      <c r="G900" s="147" t="s">
        <v>977</v>
      </c>
      <c r="H900" s="159">
        <v>69.995000000000005</v>
      </c>
      <c r="I900" s="153">
        <v>70.34</v>
      </c>
      <c r="J900" s="153">
        <v>70.34</v>
      </c>
      <c r="K900" s="153">
        <v>70.37</v>
      </c>
      <c r="L900" s="153">
        <v>70.38</v>
      </c>
      <c r="M900" s="80">
        <f t="shared" si="26"/>
        <v>70.38</v>
      </c>
      <c r="N900" s="80">
        <f t="shared" si="27"/>
        <v>70.34</v>
      </c>
      <c r="O900" s="153">
        <v>21.16</v>
      </c>
      <c r="P900" s="153">
        <v>21.05</v>
      </c>
      <c r="Q900" s="153">
        <v>21.14</v>
      </c>
      <c r="R900" s="153">
        <v>21.12</v>
      </c>
      <c r="S900" s="4"/>
      <c r="U900" s="147" t="s">
        <v>977</v>
      </c>
      <c r="V900" s="11"/>
      <c r="W900" s="4"/>
      <c r="X900" s="12"/>
      <c r="Y900" s="14"/>
      <c r="Z900" s="4"/>
      <c r="AA900" s="13"/>
      <c r="AB900" s="11"/>
      <c r="AC900" s="4"/>
      <c r="AD900" s="12"/>
      <c r="AE900" s="13"/>
      <c r="AF900" s="14">
        <v>5.0293000000000001</v>
      </c>
      <c r="AG900" s="133"/>
      <c r="AI900" s="84"/>
      <c r="AL900" s="64">
        <v>4.1710395</v>
      </c>
      <c r="AM900" s="56">
        <v>14.94</v>
      </c>
      <c r="AN900" s="56">
        <v>16.920000000000002</v>
      </c>
      <c r="AO900" s="62">
        <v>23.160000000000029</v>
      </c>
      <c r="AQ900" s="64">
        <v>4.0827589499999997</v>
      </c>
      <c r="AR900" s="56">
        <v>14.959999999999949</v>
      </c>
      <c r="AS900" s="56">
        <v>16.460000000000012</v>
      </c>
      <c r="AT900" s="62">
        <v>20.839999999999929</v>
      </c>
      <c r="AV900" s="64">
        <v>3.7290158166666658</v>
      </c>
      <c r="AW900" s="56">
        <v>14.379999999999971</v>
      </c>
      <c r="AX900" s="56">
        <v>15.839999999999939</v>
      </c>
      <c r="AY900" s="62">
        <v>20.77999999999998</v>
      </c>
      <c r="BA900" s="64">
        <v>3.18165385</v>
      </c>
      <c r="BB900" s="56">
        <v>17.69999999999996</v>
      </c>
      <c r="BC900" s="56">
        <v>20.359999999999982</v>
      </c>
      <c r="BD900" s="62">
        <v>33.119999999999997</v>
      </c>
      <c r="BF900" s="64">
        <v>2.9718535166666671</v>
      </c>
      <c r="BG900" s="56">
        <v>21.820000000000039</v>
      </c>
      <c r="BH900" s="56">
        <v>29.780000000000051</v>
      </c>
      <c r="BI900" s="62">
        <v>60.320000000000022</v>
      </c>
      <c r="BJ900" s="70"/>
      <c r="BK900" s="51"/>
    </row>
    <row r="901" spans="1:63" ht="17.25" customHeight="1" thickBot="1" x14ac:dyDescent="0.45">
      <c r="A901" s="16" t="s">
        <v>978</v>
      </c>
      <c r="B901" s="4"/>
      <c r="C901" s="4"/>
      <c r="D901" s="4"/>
      <c r="E901" s="12"/>
      <c r="G901" s="147" t="s">
        <v>978</v>
      </c>
      <c r="H901" s="159">
        <v>70.111999999999995</v>
      </c>
      <c r="I901" s="153">
        <v>70.33</v>
      </c>
      <c r="J901" s="153">
        <v>70.31</v>
      </c>
      <c r="K901" s="153">
        <v>70.3</v>
      </c>
      <c r="L901" s="153">
        <v>70.3</v>
      </c>
      <c r="M901" s="80">
        <f t="shared" si="26"/>
        <v>70.33</v>
      </c>
      <c r="N901" s="80">
        <f t="shared" si="27"/>
        <v>70.3</v>
      </c>
      <c r="O901" s="153">
        <v>21.19</v>
      </c>
      <c r="P901" s="153">
        <v>21.1</v>
      </c>
      <c r="Q901" s="153">
        <v>21.16</v>
      </c>
      <c r="R901" s="153">
        <v>21.01</v>
      </c>
      <c r="S901" s="4"/>
      <c r="U901" s="147" t="s">
        <v>978</v>
      </c>
      <c r="V901" s="11"/>
      <c r="W901" s="4"/>
      <c r="X901" s="12"/>
      <c r="Y901" s="14"/>
      <c r="Z901" s="4"/>
      <c r="AA901" s="13"/>
      <c r="AB901" s="11"/>
      <c r="AC901" s="4"/>
      <c r="AD901" s="12"/>
      <c r="AE901" s="13"/>
      <c r="AF901" s="14">
        <v>5.0304000000000002</v>
      </c>
      <c r="AG901" s="133"/>
      <c r="AI901" s="84"/>
      <c r="AL901" s="64">
        <v>4.1709658000000003</v>
      </c>
      <c r="AM901" s="56">
        <v>14.94</v>
      </c>
      <c r="AN901" s="56">
        <v>16.900000000000048</v>
      </c>
      <c r="AO901" s="62">
        <v>23.02</v>
      </c>
      <c r="AQ901" s="64">
        <v>4.0818734666666669</v>
      </c>
      <c r="AR901" s="56">
        <v>14.700000000000021</v>
      </c>
      <c r="AS901" s="56">
        <v>16.16</v>
      </c>
      <c r="AT901" s="62">
        <v>20.460000000000012</v>
      </c>
      <c r="AV901" s="64">
        <v>3.7288213666666672</v>
      </c>
      <c r="AW901" s="56">
        <v>14.060000000000009</v>
      </c>
      <c r="AX901" s="56">
        <v>15.479999999999981</v>
      </c>
      <c r="AY901" s="62">
        <v>20.359999999999982</v>
      </c>
      <c r="BA901" s="64">
        <v>3.1864138666666668</v>
      </c>
      <c r="BB901" s="56">
        <v>17.860000000000031</v>
      </c>
      <c r="BC901" s="56">
        <v>20.48000000000005</v>
      </c>
      <c r="BD901" s="62">
        <v>33.060000000000038</v>
      </c>
      <c r="BF901" s="64">
        <v>2.971165116666667</v>
      </c>
      <c r="BG901" s="56">
        <v>22.09999999999992</v>
      </c>
      <c r="BH901" s="56">
        <v>30.379999999999981</v>
      </c>
      <c r="BI901" s="62">
        <v>61.399999999999991</v>
      </c>
      <c r="BJ901" s="70"/>
      <c r="BK901" s="51"/>
    </row>
    <row r="902" spans="1:63" ht="17.25" customHeight="1" thickBot="1" x14ac:dyDescent="0.45">
      <c r="A902" s="16" t="s">
        <v>979</v>
      </c>
      <c r="B902" s="4"/>
      <c r="C902" s="4"/>
      <c r="D902" s="4"/>
      <c r="E902" s="12"/>
      <c r="G902" s="147" t="s">
        <v>979</v>
      </c>
      <c r="H902" s="159">
        <v>70.134</v>
      </c>
      <c r="I902" s="153">
        <v>70.28</v>
      </c>
      <c r="J902" s="153">
        <v>70.31</v>
      </c>
      <c r="K902" s="153">
        <v>70.31</v>
      </c>
      <c r="L902" s="153">
        <v>70.400000000000006</v>
      </c>
      <c r="M902" s="80">
        <f t="shared" ref="M902:M965" si="28">MAX(I902:L902)</f>
        <v>70.400000000000006</v>
      </c>
      <c r="N902" s="80">
        <f t="shared" ref="N902:N965" si="29">MIN(I902:L902)</f>
        <v>70.28</v>
      </c>
      <c r="O902" s="153">
        <v>21.13</v>
      </c>
      <c r="P902" s="153">
        <v>21.06</v>
      </c>
      <c r="Q902" s="153">
        <v>21.14</v>
      </c>
      <c r="R902" s="153">
        <v>21.12</v>
      </c>
      <c r="S902" s="4"/>
      <c r="U902" s="147" t="s">
        <v>979</v>
      </c>
      <c r="V902" s="11"/>
      <c r="W902" s="4"/>
      <c r="X902" s="12"/>
      <c r="Y902" s="14"/>
      <c r="Z902" s="4"/>
      <c r="AA902" s="13"/>
      <c r="AB902" s="11"/>
      <c r="AC902" s="4"/>
      <c r="AD902" s="12"/>
      <c r="AE902" s="13"/>
      <c r="AF902" s="14">
        <v>5.0382999999999996</v>
      </c>
      <c r="AG902" s="133"/>
      <c r="AI902" s="84"/>
      <c r="AL902" s="64">
        <v>4.170921316666667</v>
      </c>
      <c r="AM902" s="56">
        <v>14.759999999999881</v>
      </c>
      <c r="AN902" s="56">
        <v>16.719999999999931</v>
      </c>
      <c r="AO902" s="62">
        <v>22.819999999999929</v>
      </c>
      <c r="AQ902" s="64">
        <v>4.0823472833333341</v>
      </c>
      <c r="AR902" s="56">
        <v>14.620000000000029</v>
      </c>
      <c r="AS902" s="56">
        <v>16.099999999999959</v>
      </c>
      <c r="AT902" s="62">
        <v>20.439999999999969</v>
      </c>
      <c r="AV902" s="64">
        <v>3.7291911999999998</v>
      </c>
      <c r="AW902" s="56">
        <v>14.00000000000006</v>
      </c>
      <c r="AX902" s="56">
        <v>15.439999999999991</v>
      </c>
      <c r="AY902" s="62">
        <v>20.300000000000029</v>
      </c>
      <c r="BA902" s="64">
        <v>3.1858485166666659</v>
      </c>
      <c r="BB902" s="56">
        <v>17.060000000000031</v>
      </c>
      <c r="BC902" s="56">
        <v>19.660000000000011</v>
      </c>
      <c r="BD902" s="62">
        <v>32.100000000000058</v>
      </c>
      <c r="BF902" s="64">
        <v>2.9709973833333332</v>
      </c>
      <c r="BG902" s="56">
        <v>21.38</v>
      </c>
      <c r="BH902" s="56">
        <v>29.38000000000001</v>
      </c>
      <c r="BI902" s="62">
        <v>60.299999999999983</v>
      </c>
      <c r="BJ902" s="70"/>
      <c r="BK902" s="51"/>
    </row>
    <row r="903" spans="1:63" ht="17.25" customHeight="1" thickBot="1" x14ac:dyDescent="0.45">
      <c r="A903" s="16" t="s">
        <v>980</v>
      </c>
      <c r="B903" s="4"/>
      <c r="C903" s="4"/>
      <c r="D903" s="4"/>
      <c r="E903" s="12"/>
      <c r="G903" s="147" t="s">
        <v>980</v>
      </c>
      <c r="H903" s="159">
        <v>70.097999999999999</v>
      </c>
      <c r="I903" s="153">
        <v>70.34</v>
      </c>
      <c r="J903" s="153">
        <v>70.319999999999993</v>
      </c>
      <c r="K903" s="153">
        <v>70.349999999999994</v>
      </c>
      <c r="L903" s="153">
        <v>70.290000000000006</v>
      </c>
      <c r="M903" s="80">
        <f t="shared" si="28"/>
        <v>70.349999999999994</v>
      </c>
      <c r="N903" s="80">
        <f t="shared" si="29"/>
        <v>70.290000000000006</v>
      </c>
      <c r="O903" s="153">
        <v>21.17</v>
      </c>
      <c r="P903" s="153">
        <v>21.14</v>
      </c>
      <c r="Q903" s="153">
        <v>21.11</v>
      </c>
      <c r="R903" s="153">
        <v>21.07</v>
      </c>
      <c r="S903" s="4"/>
      <c r="U903" s="147" t="s">
        <v>980</v>
      </c>
      <c r="V903" s="11"/>
      <c r="W903" s="4"/>
      <c r="X903" s="12"/>
      <c r="Y903" s="14"/>
      <c r="Z903" s="4"/>
      <c r="AA903" s="13"/>
      <c r="AB903" s="11"/>
      <c r="AC903" s="4"/>
      <c r="AD903" s="12"/>
      <c r="AE903" s="13"/>
      <c r="AF903" s="14">
        <v>5.0194000000000001</v>
      </c>
      <c r="AG903" s="133"/>
      <c r="AI903" s="84"/>
      <c r="AL903" s="64">
        <v>4.171940283333333</v>
      </c>
      <c r="AM903" s="56">
        <v>15.16000000000002</v>
      </c>
      <c r="AN903" s="56">
        <v>17.159999999999979</v>
      </c>
      <c r="AO903" s="62">
        <v>23.320000000000011</v>
      </c>
      <c r="AQ903" s="64">
        <v>4.0814098000000012</v>
      </c>
      <c r="AR903" s="56">
        <v>14.8200000000001</v>
      </c>
      <c r="AS903" s="56">
        <v>16.320000000000071</v>
      </c>
      <c r="AT903" s="62">
        <v>20.560000000000041</v>
      </c>
      <c r="AV903" s="64">
        <v>3.729532583333333</v>
      </c>
      <c r="AW903" s="56">
        <v>14.33999999999997</v>
      </c>
      <c r="AX903" s="56">
        <v>15.81999999999999</v>
      </c>
      <c r="AY903" s="62">
        <v>20.760000000000019</v>
      </c>
      <c r="BA903" s="64">
        <v>3.1900764000000001</v>
      </c>
      <c r="BB903" s="56">
        <v>17.399999999999949</v>
      </c>
      <c r="BC903" s="56">
        <v>19.93999999999998</v>
      </c>
      <c r="BD903" s="62">
        <v>32.120000000000019</v>
      </c>
      <c r="BF903" s="64">
        <v>2.954021183333333</v>
      </c>
      <c r="BG903" s="56">
        <v>21.280000000000051</v>
      </c>
      <c r="BH903" s="56">
        <v>28.64000000000004</v>
      </c>
      <c r="BI903" s="62">
        <v>57.920000000000023</v>
      </c>
      <c r="BJ903" s="70"/>
      <c r="BK903" s="51"/>
    </row>
    <row r="904" spans="1:63" ht="17.25" customHeight="1" thickBot="1" x14ac:dyDescent="0.45">
      <c r="A904" s="16" t="s">
        <v>981</v>
      </c>
      <c r="B904" s="4"/>
      <c r="C904" s="4"/>
      <c r="D904" s="4"/>
      <c r="E904" s="12"/>
      <c r="G904" s="147" t="s">
        <v>981</v>
      </c>
      <c r="H904" s="159">
        <v>70.028000000000006</v>
      </c>
      <c r="I904" s="153">
        <v>70.33</v>
      </c>
      <c r="J904" s="153">
        <v>70.349999999999994</v>
      </c>
      <c r="K904" s="153">
        <v>70.33</v>
      </c>
      <c r="L904" s="153">
        <v>70.319999999999993</v>
      </c>
      <c r="M904" s="80">
        <f t="shared" si="28"/>
        <v>70.349999999999994</v>
      </c>
      <c r="N904" s="80">
        <f t="shared" si="29"/>
        <v>70.319999999999993</v>
      </c>
      <c r="O904" s="153">
        <v>21.2</v>
      </c>
      <c r="P904" s="153">
        <v>21.15</v>
      </c>
      <c r="Q904" s="153">
        <v>21.14</v>
      </c>
      <c r="R904" s="153">
        <v>21.1</v>
      </c>
      <c r="S904" s="4"/>
      <c r="U904" s="147" t="s">
        <v>981</v>
      </c>
      <c r="V904" s="11"/>
      <c r="W904" s="4"/>
      <c r="X904" s="12"/>
      <c r="Y904" s="14"/>
      <c r="Z904" s="4"/>
      <c r="AA904" s="13"/>
      <c r="AB904" s="11"/>
      <c r="AC904" s="4"/>
      <c r="AD904" s="12"/>
      <c r="AE904" s="13"/>
      <c r="AF904" s="14">
        <v>5.0206999999999997</v>
      </c>
      <c r="AG904" s="133"/>
      <c r="AI904" s="84"/>
      <c r="AL904" s="64">
        <v>4.1717778000000001</v>
      </c>
      <c r="AM904" s="56">
        <v>14.84000000000005</v>
      </c>
      <c r="AN904" s="56">
        <v>16.85999999999996</v>
      </c>
      <c r="AO904" s="62">
        <v>22.920000000000051</v>
      </c>
      <c r="AQ904" s="64">
        <v>4.0811006500000007</v>
      </c>
      <c r="AR904" s="56">
        <v>14.74000000000011</v>
      </c>
      <c r="AS904" s="56">
        <v>16.24000000000008</v>
      </c>
      <c r="AT904" s="62">
        <v>20.520000000000049</v>
      </c>
      <c r="AV904" s="64">
        <v>3.728016466666666</v>
      </c>
      <c r="AW904" s="56">
        <v>14.079999999999959</v>
      </c>
      <c r="AX904" s="56">
        <v>15.54000000000002</v>
      </c>
      <c r="AY904" s="62">
        <v>20.439999999999969</v>
      </c>
      <c r="BA904" s="64">
        <v>3.1830565000000002</v>
      </c>
      <c r="BB904" s="56">
        <v>17.480000000000029</v>
      </c>
      <c r="BC904" s="56">
        <v>20.100000000000051</v>
      </c>
      <c r="BD904" s="62">
        <v>32.619999999999997</v>
      </c>
      <c r="BF904" s="64">
        <v>2.9568141666666659</v>
      </c>
      <c r="BG904" s="56">
        <v>21.23999999999997</v>
      </c>
      <c r="BH904" s="56">
        <v>28.66</v>
      </c>
      <c r="BI904" s="62">
        <v>57.979999999999961</v>
      </c>
      <c r="BJ904" s="70"/>
      <c r="BK904" s="51"/>
    </row>
    <row r="905" spans="1:63" ht="17.25" customHeight="1" thickBot="1" x14ac:dyDescent="0.45">
      <c r="A905" s="16" t="s">
        <v>982</v>
      </c>
      <c r="B905" s="4"/>
      <c r="C905" s="4"/>
      <c r="D905" s="4"/>
      <c r="E905" s="12"/>
      <c r="G905" s="147" t="s">
        <v>982</v>
      </c>
      <c r="H905" s="159">
        <v>70.069999999999993</v>
      </c>
      <c r="I905" s="153">
        <v>70.400000000000006</v>
      </c>
      <c r="J905" s="153">
        <v>70.38</v>
      </c>
      <c r="K905" s="153">
        <v>70.349999999999994</v>
      </c>
      <c r="L905" s="153">
        <v>70.34</v>
      </c>
      <c r="M905" s="80">
        <f t="shared" si="28"/>
        <v>70.400000000000006</v>
      </c>
      <c r="N905" s="80">
        <f t="shared" si="29"/>
        <v>70.34</v>
      </c>
      <c r="O905" s="153">
        <v>21.17</v>
      </c>
      <c r="P905" s="153">
        <v>21.15</v>
      </c>
      <c r="Q905" s="153">
        <v>21.11</v>
      </c>
      <c r="R905" s="153">
        <v>21.09</v>
      </c>
      <c r="S905" s="4"/>
      <c r="U905" s="147" t="s">
        <v>982</v>
      </c>
      <c r="V905" s="11"/>
      <c r="W905" s="4"/>
      <c r="X905" s="12"/>
      <c r="Y905" s="14"/>
      <c r="Z905" s="4"/>
      <c r="AA905" s="13"/>
      <c r="AB905" s="11"/>
      <c r="AC905" s="4"/>
      <c r="AD905" s="12"/>
      <c r="AE905" s="13"/>
      <c r="AF905" s="14">
        <v>5.0231000000000003</v>
      </c>
      <c r="AG905" s="133"/>
      <c r="AI905" s="84"/>
      <c r="AL905" s="64">
        <v>4.171743966666666</v>
      </c>
      <c r="AM905" s="56">
        <v>15.859999999999991</v>
      </c>
      <c r="AN905" s="56">
        <v>17.8799999999999</v>
      </c>
      <c r="AO905" s="62">
        <v>24.21999999999986</v>
      </c>
      <c r="AQ905" s="64">
        <v>4.0810749166666671</v>
      </c>
      <c r="AR905" s="56">
        <v>15.32</v>
      </c>
      <c r="AS905" s="56">
        <v>16.860000000000049</v>
      </c>
      <c r="AT905" s="62">
        <v>21.22000000000002</v>
      </c>
      <c r="AV905" s="64">
        <v>3.7276677166666659</v>
      </c>
      <c r="AW905" s="56">
        <v>14.75999999999997</v>
      </c>
      <c r="AX905" s="56">
        <v>16.259999999999941</v>
      </c>
      <c r="AY905" s="62">
        <v>21.23999999999997</v>
      </c>
      <c r="BA905" s="64">
        <v>3.183639883333333</v>
      </c>
      <c r="BB905" s="56">
        <v>17.860000000000031</v>
      </c>
      <c r="BC905" s="56">
        <v>20.500000000000011</v>
      </c>
      <c r="BD905" s="62">
        <v>33.100000000000037</v>
      </c>
      <c r="BF905" s="64">
        <v>2.9641646833333328</v>
      </c>
      <c r="BG905" s="56">
        <v>21.600000000000019</v>
      </c>
      <c r="BH905" s="56">
        <v>29</v>
      </c>
      <c r="BI905" s="62">
        <v>58.139999999999951</v>
      </c>
      <c r="BJ905" s="70"/>
      <c r="BK905" s="51"/>
    </row>
    <row r="906" spans="1:63" ht="17.25" customHeight="1" thickBot="1" x14ac:dyDescent="0.45">
      <c r="A906" s="16" t="s">
        <v>983</v>
      </c>
      <c r="B906" s="4"/>
      <c r="C906" s="4"/>
      <c r="D906" s="4"/>
      <c r="E906" s="12"/>
      <c r="G906" s="147" t="s">
        <v>983</v>
      </c>
      <c r="H906" s="159">
        <v>70.075000000000003</v>
      </c>
      <c r="I906" s="153">
        <v>70.349999999999994</v>
      </c>
      <c r="J906" s="153">
        <v>70.3</v>
      </c>
      <c r="K906" s="153">
        <v>70.319999999999993</v>
      </c>
      <c r="L906" s="153">
        <v>70.28</v>
      </c>
      <c r="M906" s="80">
        <f t="shared" si="28"/>
        <v>70.349999999999994</v>
      </c>
      <c r="N906" s="80">
        <f t="shared" si="29"/>
        <v>70.28</v>
      </c>
      <c r="O906" s="153">
        <v>21.2</v>
      </c>
      <c r="P906" s="153">
        <v>21.12</v>
      </c>
      <c r="Q906" s="153">
        <v>21.14</v>
      </c>
      <c r="R906" s="153">
        <v>21.09</v>
      </c>
      <c r="S906" s="4"/>
      <c r="U906" s="147" t="s">
        <v>983</v>
      </c>
      <c r="V906" s="11"/>
      <c r="W906" s="4"/>
      <c r="X906" s="12"/>
      <c r="Y906" s="14"/>
      <c r="Z906" s="4"/>
      <c r="AA906" s="13"/>
      <c r="AB906" s="11"/>
      <c r="AC906" s="4"/>
      <c r="AD906" s="12"/>
      <c r="AE906" s="13"/>
      <c r="AF906" s="14">
        <v>5.0298999999999996</v>
      </c>
      <c r="AG906" s="133"/>
      <c r="AI906" s="84"/>
      <c r="AL906" s="64">
        <v>4.1721214</v>
      </c>
      <c r="AM906" s="56">
        <v>15.26000000000014</v>
      </c>
      <c r="AN906" s="56">
        <v>17.260000000000101</v>
      </c>
      <c r="AO906" s="62">
        <v>23.4</v>
      </c>
      <c r="AQ906" s="64">
        <v>4.0814209833333344</v>
      </c>
      <c r="AR906" s="56">
        <v>14.920000000000041</v>
      </c>
      <c r="AS906" s="56">
        <v>16.420000000000009</v>
      </c>
      <c r="AT906" s="62">
        <v>20.760000000000019</v>
      </c>
      <c r="AV906" s="64">
        <v>3.72804775</v>
      </c>
      <c r="AW906" s="56">
        <v>14.24000000000003</v>
      </c>
      <c r="AX906" s="56">
        <v>15.74</v>
      </c>
      <c r="AY906" s="62">
        <v>20.680000000000032</v>
      </c>
      <c r="BA906" s="64">
        <v>3.1831076833333332</v>
      </c>
      <c r="BB906" s="56">
        <v>17.280000000000051</v>
      </c>
      <c r="BC906" s="56">
        <v>19.860000000000081</v>
      </c>
      <c r="BD906" s="62">
        <v>32.340000000000032</v>
      </c>
      <c r="BF906" s="64">
        <v>2.9565823666666669</v>
      </c>
      <c r="BG906" s="56">
        <v>21.099999999999941</v>
      </c>
      <c r="BH906" s="56">
        <v>28.43999999999998</v>
      </c>
      <c r="BI906" s="62">
        <v>57.739999999999988</v>
      </c>
      <c r="BJ906" s="70"/>
      <c r="BK906" s="51"/>
    </row>
    <row r="907" spans="1:63" ht="17.25" customHeight="1" thickBot="1" x14ac:dyDescent="0.45">
      <c r="A907" s="16" t="s">
        <v>984</v>
      </c>
      <c r="B907" s="4"/>
      <c r="C907" s="4"/>
      <c r="D907" s="4"/>
      <c r="E907" s="12"/>
      <c r="G907" s="147" t="s">
        <v>984</v>
      </c>
      <c r="H907" s="159">
        <v>70.087000000000003</v>
      </c>
      <c r="I907" s="153">
        <v>70.33</v>
      </c>
      <c r="J907" s="153">
        <v>70.34</v>
      </c>
      <c r="K907" s="153">
        <v>70.3</v>
      </c>
      <c r="L907" s="153">
        <v>70.400000000000006</v>
      </c>
      <c r="M907" s="80">
        <f t="shared" si="28"/>
        <v>70.400000000000006</v>
      </c>
      <c r="N907" s="80">
        <f t="shared" si="29"/>
        <v>70.3</v>
      </c>
      <c r="O907" s="153">
        <v>21.21</v>
      </c>
      <c r="P907" s="153">
        <v>21.1</v>
      </c>
      <c r="Q907" s="153">
        <v>21.15</v>
      </c>
      <c r="R907" s="153">
        <v>21.11</v>
      </c>
      <c r="S907" s="4"/>
      <c r="U907" s="147" t="s">
        <v>984</v>
      </c>
      <c r="V907" s="11"/>
      <c r="W907" s="4"/>
      <c r="X907" s="12"/>
      <c r="Y907" s="14"/>
      <c r="Z907" s="4"/>
      <c r="AA907" s="13"/>
      <c r="AB907" s="11"/>
      <c r="AC907" s="4"/>
      <c r="AD907" s="12"/>
      <c r="AE907" s="13"/>
      <c r="AF907" s="14">
        <v>5.0232000000000001</v>
      </c>
      <c r="AG907" s="133"/>
      <c r="AI907" s="84"/>
      <c r="AL907" s="64">
        <v>4.1721942333333333</v>
      </c>
      <c r="AM907" s="56">
        <v>14.719999999999979</v>
      </c>
      <c r="AN907" s="56">
        <v>16.680000000000032</v>
      </c>
      <c r="AO907" s="62">
        <v>22.900000000000102</v>
      </c>
      <c r="AQ907" s="64">
        <v>4.0821064166666652</v>
      </c>
      <c r="AR907" s="56">
        <v>14.89999999999991</v>
      </c>
      <c r="AS907" s="56">
        <v>16.379999999999839</v>
      </c>
      <c r="AT907" s="62">
        <v>20.6999999999999</v>
      </c>
      <c r="AV907" s="64">
        <v>3.7292141166666659</v>
      </c>
      <c r="AW907" s="56">
        <v>14.079999999999959</v>
      </c>
      <c r="AX907" s="56">
        <v>15.53999999999993</v>
      </c>
      <c r="AY907" s="62">
        <v>20.439999999999969</v>
      </c>
      <c r="BA907" s="64">
        <v>3.186484683333334</v>
      </c>
      <c r="BB907" s="56">
        <v>17.879999999999981</v>
      </c>
      <c r="BC907" s="56">
        <v>20.479999999999961</v>
      </c>
      <c r="BD907" s="62">
        <v>33.04</v>
      </c>
      <c r="BF907" s="64">
        <v>2.9597871333333341</v>
      </c>
      <c r="BG907" s="56">
        <v>21.659999999999972</v>
      </c>
      <c r="BH907" s="56">
        <v>29.319999999999968</v>
      </c>
      <c r="BI907" s="62">
        <v>59.020000000000032</v>
      </c>
      <c r="BJ907" s="70"/>
      <c r="BK907" s="51"/>
    </row>
    <row r="908" spans="1:63" ht="17.25" customHeight="1" thickBot="1" x14ac:dyDescent="0.45">
      <c r="A908" s="16" t="s">
        <v>985</v>
      </c>
      <c r="B908" s="4"/>
      <c r="C908" s="4"/>
      <c r="D908" s="4"/>
      <c r="E908" s="12"/>
      <c r="G908" s="147" t="s">
        <v>985</v>
      </c>
      <c r="H908" s="159">
        <v>70.102999999999994</v>
      </c>
      <c r="I908" s="153">
        <v>70.39</v>
      </c>
      <c r="J908" s="153">
        <v>70.36</v>
      </c>
      <c r="K908" s="153">
        <v>70.34</v>
      </c>
      <c r="L908" s="153">
        <v>70.38</v>
      </c>
      <c r="M908" s="80">
        <f t="shared" si="28"/>
        <v>70.39</v>
      </c>
      <c r="N908" s="80">
        <f t="shared" si="29"/>
        <v>70.34</v>
      </c>
      <c r="O908" s="153">
        <v>21.19</v>
      </c>
      <c r="P908" s="153">
        <v>21.16</v>
      </c>
      <c r="Q908" s="153">
        <v>21.17</v>
      </c>
      <c r="R908" s="153">
        <v>21.12</v>
      </c>
      <c r="S908" s="4"/>
      <c r="U908" s="147" t="s">
        <v>985</v>
      </c>
      <c r="V908" s="11"/>
      <c r="W908" s="4"/>
      <c r="X908" s="12"/>
      <c r="Y908" s="14"/>
      <c r="Z908" s="4"/>
      <c r="AA908" s="13"/>
      <c r="AB908" s="11"/>
      <c r="AC908" s="4"/>
      <c r="AD908" s="12"/>
      <c r="AE908" s="13"/>
      <c r="AF908" s="14">
        <v>5.0320999999999998</v>
      </c>
      <c r="AG908" s="133"/>
      <c r="AI908" s="96"/>
      <c r="AL908" s="64">
        <v>4.1720661000000003</v>
      </c>
      <c r="AM908" s="56">
        <v>14.91999999999987</v>
      </c>
      <c r="AN908" s="56">
        <v>16.879999999999921</v>
      </c>
      <c r="AO908" s="62">
        <v>23.039999999999949</v>
      </c>
      <c r="AQ908" s="64">
        <v>4.0810059833333341</v>
      </c>
      <c r="AR908" s="56">
        <v>14.42000000000014</v>
      </c>
      <c r="AS908" s="56">
        <v>15.860000000000159</v>
      </c>
      <c r="AT908" s="62">
        <v>20.12000000000009</v>
      </c>
      <c r="AV908" s="64">
        <v>3.7277363666666661</v>
      </c>
      <c r="AW908" s="56">
        <v>13.77999999999995</v>
      </c>
      <c r="AX908" s="56">
        <v>15.21999999999997</v>
      </c>
      <c r="AY908" s="62">
        <v>20.039999999999921</v>
      </c>
      <c r="BA908" s="64">
        <v>3.1832795666666671</v>
      </c>
      <c r="BB908" s="56">
        <v>16.920000000000002</v>
      </c>
      <c r="BC908" s="56">
        <v>19.440000000000079</v>
      </c>
      <c r="BD908" s="62">
        <v>31.720000000000059</v>
      </c>
      <c r="BF908" s="64">
        <v>2.9532452</v>
      </c>
      <c r="BG908" s="56">
        <v>20.680000000000032</v>
      </c>
      <c r="BH908" s="56">
        <v>28.000000000000021</v>
      </c>
      <c r="BI908" s="62">
        <v>57.340000000000039</v>
      </c>
      <c r="BJ908" s="70"/>
      <c r="BK908" s="51"/>
    </row>
    <row r="909" spans="1:63" ht="17.25" customHeight="1" thickBot="1" x14ac:dyDescent="0.45">
      <c r="A909" s="16" t="s">
        <v>986</v>
      </c>
      <c r="B909" s="4"/>
      <c r="C909" s="4"/>
      <c r="D909" s="4"/>
      <c r="E909" s="12"/>
      <c r="G909" s="147" t="s">
        <v>986</v>
      </c>
      <c r="H909" s="159">
        <v>70.082999999999998</v>
      </c>
      <c r="I909" s="153">
        <v>70.290000000000006</v>
      </c>
      <c r="J909" s="153">
        <v>70.37</v>
      </c>
      <c r="K909" s="153">
        <v>70.290000000000006</v>
      </c>
      <c r="L909" s="153">
        <v>70.37</v>
      </c>
      <c r="M909" s="80">
        <f t="shared" si="28"/>
        <v>70.37</v>
      </c>
      <c r="N909" s="80">
        <f t="shared" si="29"/>
        <v>70.290000000000006</v>
      </c>
      <c r="O909" s="153">
        <v>21.22</v>
      </c>
      <c r="P909" s="153">
        <v>21.11</v>
      </c>
      <c r="Q909" s="153">
        <v>21.13</v>
      </c>
      <c r="R909" s="153">
        <v>21.07</v>
      </c>
      <c r="S909" s="4"/>
      <c r="U909" s="147" t="s">
        <v>986</v>
      </c>
      <c r="V909" s="11"/>
      <c r="W909" s="4"/>
      <c r="X909" s="12"/>
      <c r="Y909" s="14"/>
      <c r="Z909" s="4"/>
      <c r="AA909" s="13"/>
      <c r="AB909" s="11"/>
      <c r="AC909" s="4"/>
      <c r="AD909" s="12"/>
      <c r="AE909" s="13"/>
      <c r="AF909" s="14">
        <v>5.0232000000000001</v>
      </c>
      <c r="AG909" s="133"/>
      <c r="AI909" s="84"/>
      <c r="AL909" s="64">
        <v>4.172342116666667</v>
      </c>
      <c r="AM909" s="56">
        <v>14.780000000000021</v>
      </c>
      <c r="AN909" s="56">
        <v>16.760000000000019</v>
      </c>
      <c r="AO909" s="62">
        <v>22.89999999999992</v>
      </c>
      <c r="AQ909" s="64">
        <v>4.0820956833333319</v>
      </c>
      <c r="AR909" s="56">
        <v>14.619999999999861</v>
      </c>
      <c r="AS909" s="56">
        <v>16.099999999999959</v>
      </c>
      <c r="AT909" s="62">
        <v>20.339999999999939</v>
      </c>
      <c r="AV909" s="64">
        <v>3.729852283333333</v>
      </c>
      <c r="AW909" s="56">
        <v>14.12000000000004</v>
      </c>
      <c r="AX909" s="56">
        <v>15.58000000000002</v>
      </c>
      <c r="AY909" s="62">
        <v>20.500000000000011</v>
      </c>
      <c r="BA909" s="64">
        <v>3.188274016666667</v>
      </c>
      <c r="BB909" s="56">
        <v>17.44000000000003</v>
      </c>
      <c r="BC909" s="56">
        <v>20.000000000000021</v>
      </c>
      <c r="BD909" s="62">
        <v>32.260000000000048</v>
      </c>
      <c r="BF909" s="64">
        <v>2.9541654166666671</v>
      </c>
      <c r="BG909" s="56">
        <v>21.300000000000011</v>
      </c>
      <c r="BH909" s="56">
        <v>28.62</v>
      </c>
      <c r="BI909" s="62">
        <v>57.940000000000062</v>
      </c>
      <c r="BJ909" s="69"/>
      <c r="BK909" s="51"/>
    </row>
    <row r="910" spans="1:63" ht="17.25" customHeight="1" thickBot="1" x14ac:dyDescent="0.45">
      <c r="A910" s="16" t="s">
        <v>987</v>
      </c>
      <c r="B910" s="4"/>
      <c r="C910" s="4"/>
      <c r="D910" s="4"/>
      <c r="E910" s="12"/>
      <c r="G910" s="147" t="s">
        <v>987</v>
      </c>
      <c r="H910" s="159">
        <v>70.132000000000005</v>
      </c>
      <c r="I910" s="153">
        <v>70.31</v>
      </c>
      <c r="J910" s="153">
        <v>70.38</v>
      </c>
      <c r="K910" s="153">
        <v>70.39</v>
      </c>
      <c r="L910" s="153">
        <v>70.290000000000006</v>
      </c>
      <c r="M910" s="80">
        <f t="shared" si="28"/>
        <v>70.39</v>
      </c>
      <c r="N910" s="80">
        <f t="shared" si="29"/>
        <v>70.290000000000006</v>
      </c>
      <c r="O910" s="153">
        <v>21.19</v>
      </c>
      <c r="P910" s="153">
        <v>21.11</v>
      </c>
      <c r="Q910" s="153">
        <v>21.16</v>
      </c>
      <c r="R910" s="153">
        <v>21.14</v>
      </c>
      <c r="S910" s="4"/>
      <c r="U910" s="147" t="s">
        <v>987</v>
      </c>
      <c r="V910" s="11"/>
      <c r="W910" s="4"/>
      <c r="X910" s="12"/>
      <c r="Y910" s="14"/>
      <c r="Z910" s="4"/>
      <c r="AA910" s="13"/>
      <c r="AB910" s="11"/>
      <c r="AC910" s="4"/>
      <c r="AD910" s="12"/>
      <c r="AE910" s="13"/>
      <c r="AF910" s="14">
        <v>5.0254000000000003</v>
      </c>
      <c r="AG910" s="133"/>
      <c r="AI910" s="96"/>
      <c r="AL910" s="64">
        <v>4.1722210999999998</v>
      </c>
      <c r="AM910" s="56">
        <v>14.780000000000021</v>
      </c>
      <c r="AN910" s="56">
        <v>16.760000000000019</v>
      </c>
      <c r="AO910" s="62">
        <v>22.82000000000011</v>
      </c>
      <c r="AQ910" s="64">
        <v>4.0819275666666668</v>
      </c>
      <c r="AR910" s="56">
        <v>14.799999999999971</v>
      </c>
      <c r="AS910" s="56">
        <v>16.279999999999891</v>
      </c>
      <c r="AT910" s="62">
        <v>20.55999999999996</v>
      </c>
      <c r="AV910" s="64">
        <v>3.7290174999999999</v>
      </c>
      <c r="AW910" s="56">
        <v>14.03999999999996</v>
      </c>
      <c r="AX910" s="56">
        <v>15.479999999999981</v>
      </c>
      <c r="AY910" s="62">
        <v>20.39999999999997</v>
      </c>
      <c r="BA910" s="64">
        <v>3.1849183666666661</v>
      </c>
      <c r="BB910" s="56">
        <v>17.400000000000041</v>
      </c>
      <c r="BC910" s="56">
        <v>19.979999999999979</v>
      </c>
      <c r="BD910" s="62">
        <v>32.420000000000023</v>
      </c>
      <c r="BF910" s="64">
        <v>2.9566611166666661</v>
      </c>
      <c r="BG910" s="56">
        <v>21.22000000000002</v>
      </c>
      <c r="BH910" s="56">
        <v>28.600000000000051</v>
      </c>
      <c r="BI910" s="62">
        <v>58.04</v>
      </c>
      <c r="BJ910" s="70"/>
      <c r="BK910" s="51"/>
    </row>
    <row r="911" spans="1:63" ht="17.25" customHeight="1" thickBot="1" x14ac:dyDescent="0.45">
      <c r="A911" s="16" t="s">
        <v>988</v>
      </c>
      <c r="B911" s="4"/>
      <c r="C911" s="4"/>
      <c r="D911" s="4"/>
      <c r="E911" s="12"/>
      <c r="G911" s="147" t="s">
        <v>988</v>
      </c>
      <c r="H911" s="159">
        <v>70.102000000000004</v>
      </c>
      <c r="I911" s="153">
        <v>70.33</v>
      </c>
      <c r="J911" s="153">
        <v>70.400000000000006</v>
      </c>
      <c r="K911" s="153">
        <v>70.33</v>
      </c>
      <c r="L911" s="153">
        <v>70.38</v>
      </c>
      <c r="M911" s="80">
        <f t="shared" si="28"/>
        <v>70.400000000000006</v>
      </c>
      <c r="N911" s="80">
        <f t="shared" si="29"/>
        <v>70.33</v>
      </c>
      <c r="O911" s="153">
        <v>21.14</v>
      </c>
      <c r="P911" s="153">
        <v>21.15</v>
      </c>
      <c r="Q911" s="153">
        <v>21.14</v>
      </c>
      <c r="R911" s="153">
        <v>21</v>
      </c>
      <c r="S911" s="4"/>
      <c r="U911" s="147" t="s">
        <v>988</v>
      </c>
      <c r="V911" s="11"/>
      <c r="W911" s="4"/>
      <c r="X911" s="12"/>
      <c r="Y911" s="14"/>
      <c r="Z911" s="4"/>
      <c r="AA911" s="13"/>
      <c r="AB911" s="11"/>
      <c r="AC911" s="4"/>
      <c r="AD911" s="12"/>
      <c r="AE911" s="13"/>
      <c r="AF911" s="14">
        <v>5.03</v>
      </c>
      <c r="AG911" s="133"/>
      <c r="AI911" s="96"/>
      <c r="AL911" s="64">
        <v>4.1713347333333326</v>
      </c>
      <c r="AM911" s="56">
        <v>14.25999999999998</v>
      </c>
      <c r="AN911" s="56">
        <v>16.21999999999986</v>
      </c>
      <c r="AO911" s="62">
        <v>22.319999999999851</v>
      </c>
      <c r="AQ911" s="64">
        <v>4.0833393666666673</v>
      </c>
      <c r="AR911" s="56">
        <v>14.440000000000101</v>
      </c>
      <c r="AS911" s="56">
        <v>15.920000000000019</v>
      </c>
      <c r="AT911" s="62">
        <v>20.180000000000039</v>
      </c>
      <c r="AV911" s="64">
        <v>3.730960983333333</v>
      </c>
      <c r="AW911" s="56">
        <v>13.859999999999941</v>
      </c>
      <c r="AX911" s="56">
        <v>15.29999999999996</v>
      </c>
      <c r="AY911" s="62">
        <v>20.12</v>
      </c>
      <c r="BA911" s="64">
        <v>3.1879590000000002</v>
      </c>
      <c r="BB911" s="56">
        <v>16.760000000000019</v>
      </c>
      <c r="BC911" s="56">
        <v>19.299999999999962</v>
      </c>
      <c r="BD911" s="62">
        <v>31.519999999999989</v>
      </c>
      <c r="BF911" s="64">
        <v>2.9597083</v>
      </c>
      <c r="BG911" s="56">
        <v>20.560000000000041</v>
      </c>
      <c r="BH911" s="56">
        <v>27.740000000000009</v>
      </c>
      <c r="BI911" s="62">
        <v>56.680000000000057</v>
      </c>
      <c r="BJ911" s="70"/>
      <c r="BK911" s="51"/>
    </row>
    <row r="912" spans="1:63" ht="17.25" customHeight="1" thickBot="1" x14ac:dyDescent="0.45">
      <c r="A912" s="16" t="s">
        <v>989</v>
      </c>
      <c r="B912" s="4"/>
      <c r="C912" s="4"/>
      <c r="D912" s="4"/>
      <c r="E912" s="12"/>
      <c r="G912" s="147" t="s">
        <v>989</v>
      </c>
      <c r="H912" s="159">
        <v>70.042000000000002</v>
      </c>
      <c r="I912" s="153">
        <v>70.349999999999994</v>
      </c>
      <c r="J912" s="153">
        <v>70.319999999999993</v>
      </c>
      <c r="K912" s="153">
        <v>70.31</v>
      </c>
      <c r="L912" s="153">
        <v>70.3</v>
      </c>
      <c r="M912" s="80">
        <f t="shared" si="28"/>
        <v>70.349999999999994</v>
      </c>
      <c r="N912" s="80">
        <f t="shared" si="29"/>
        <v>70.3</v>
      </c>
      <c r="O912" s="153">
        <v>21.17</v>
      </c>
      <c r="P912" s="153">
        <v>21.1</v>
      </c>
      <c r="Q912" s="153">
        <v>21.14</v>
      </c>
      <c r="R912" s="153">
        <v>21.07</v>
      </c>
      <c r="S912" s="4"/>
      <c r="U912" s="147" t="s">
        <v>989</v>
      </c>
      <c r="V912" s="11"/>
      <c r="W912" s="4"/>
      <c r="X912" s="12"/>
      <c r="Y912" s="14"/>
      <c r="Z912" s="4"/>
      <c r="AA912" s="13"/>
      <c r="AB912" s="11"/>
      <c r="AC912" s="4"/>
      <c r="AD912" s="12"/>
      <c r="AE912" s="13"/>
      <c r="AF912" s="14">
        <v>5.0205000000000002</v>
      </c>
      <c r="AG912" s="133"/>
      <c r="AI912" s="84"/>
      <c r="AL912" s="64">
        <v>4.1716675499999996</v>
      </c>
      <c r="AM912" s="56">
        <v>15.21999999999988</v>
      </c>
      <c r="AN912" s="56">
        <v>17.22000000000001</v>
      </c>
      <c r="AO912" s="62">
        <v>23.320000000000011</v>
      </c>
      <c r="AQ912" s="64">
        <v>4.080706283333333</v>
      </c>
      <c r="AR912" s="56">
        <v>14.920000000000041</v>
      </c>
      <c r="AS912" s="56">
        <v>16.38000000000002</v>
      </c>
      <c r="AT912" s="62">
        <v>20.680000000000032</v>
      </c>
      <c r="AV912" s="64">
        <v>3.727640183333333</v>
      </c>
      <c r="AW912" s="56">
        <v>14.12000000000004</v>
      </c>
      <c r="AX912" s="56">
        <v>15.55999999999997</v>
      </c>
      <c r="AY912" s="62">
        <v>20.420000000000019</v>
      </c>
      <c r="BA912" s="64">
        <v>3.185410216666666</v>
      </c>
      <c r="BB912" s="56">
        <v>17.140000000000018</v>
      </c>
      <c r="BC912" s="56">
        <v>19.70000000000001</v>
      </c>
      <c r="BD912" s="62">
        <v>31.980000000000079</v>
      </c>
      <c r="BF912" s="64">
        <v>2.9586483833333328</v>
      </c>
      <c r="BG912" s="56">
        <v>20.760000000000019</v>
      </c>
      <c r="BH912" s="56">
        <v>28.24</v>
      </c>
      <c r="BI912" s="62">
        <v>57.28</v>
      </c>
      <c r="BJ912" s="69"/>
      <c r="BK912" s="51"/>
    </row>
    <row r="913" spans="1:63" ht="17.25" customHeight="1" thickBot="1" x14ac:dyDescent="0.45">
      <c r="A913" s="16" t="s">
        <v>990</v>
      </c>
      <c r="B913" s="4"/>
      <c r="C913" s="4"/>
      <c r="D913" s="4"/>
      <c r="E913" s="12"/>
      <c r="G913" s="147" t="s">
        <v>990</v>
      </c>
      <c r="H913" s="159">
        <v>70.043999999999997</v>
      </c>
      <c r="I913" s="153">
        <v>70.37</v>
      </c>
      <c r="J913" s="153">
        <v>70.319999999999993</v>
      </c>
      <c r="K913" s="153">
        <v>70.34</v>
      </c>
      <c r="L913" s="153">
        <v>70.33</v>
      </c>
      <c r="M913" s="80">
        <f t="shared" si="28"/>
        <v>70.37</v>
      </c>
      <c r="N913" s="80">
        <f t="shared" si="29"/>
        <v>70.319999999999993</v>
      </c>
      <c r="O913" s="153">
        <v>21.2</v>
      </c>
      <c r="P913" s="153">
        <v>21.09</v>
      </c>
      <c r="Q913" s="153">
        <v>21.07</v>
      </c>
      <c r="R913" s="153">
        <v>21.04</v>
      </c>
      <c r="S913" s="4"/>
      <c r="U913" s="147" t="s">
        <v>990</v>
      </c>
      <c r="V913" s="11"/>
      <c r="W913" s="4"/>
      <c r="X913" s="12"/>
      <c r="Y913" s="14"/>
      <c r="Z913" s="4"/>
      <c r="AA913" s="13"/>
      <c r="AB913" s="11"/>
      <c r="AC913" s="4"/>
      <c r="AD913" s="12"/>
      <c r="AE913" s="13"/>
      <c r="AF913" s="14">
        <v>5.0305</v>
      </c>
      <c r="AG913" s="133"/>
      <c r="AI913" s="84"/>
      <c r="AL913" s="64">
        <v>4.1714317166666666</v>
      </c>
      <c r="AM913" s="56">
        <v>15.06000000000007</v>
      </c>
      <c r="AN913" s="56">
        <v>17.02000000000012</v>
      </c>
      <c r="AO913" s="62">
        <v>23.120000000000118</v>
      </c>
      <c r="AQ913" s="64">
        <v>4.0805414166666667</v>
      </c>
      <c r="AR913" s="56">
        <v>14.69999999999985</v>
      </c>
      <c r="AS913" s="56">
        <v>16.17999999999995</v>
      </c>
      <c r="AT913" s="62">
        <v>20.43999999999988</v>
      </c>
      <c r="AV913" s="64">
        <v>3.727297249999999</v>
      </c>
      <c r="AW913" s="56">
        <v>14.01999999999992</v>
      </c>
      <c r="AX913" s="56">
        <v>15.45999999999994</v>
      </c>
      <c r="AY913" s="62">
        <v>20.319999999999979</v>
      </c>
      <c r="BA913" s="64">
        <v>3.1820161499999999</v>
      </c>
      <c r="BB913" s="56">
        <v>17.20000000000006</v>
      </c>
      <c r="BC913" s="56">
        <v>19.760000000000041</v>
      </c>
      <c r="BD913" s="62">
        <v>32.160000000000011</v>
      </c>
      <c r="BF913" s="64">
        <v>2.9570962833333341</v>
      </c>
      <c r="BG913" s="56">
        <v>20.939999999999959</v>
      </c>
      <c r="BH913" s="56">
        <v>28.2</v>
      </c>
      <c r="BI913" s="62">
        <v>57.259999999999962</v>
      </c>
      <c r="BJ913" s="69"/>
      <c r="BK913" s="51"/>
    </row>
    <row r="914" spans="1:63" ht="17.25" customHeight="1" thickBot="1" x14ac:dyDescent="0.45">
      <c r="A914" s="16" t="s">
        <v>991</v>
      </c>
      <c r="B914" s="4"/>
      <c r="C914" s="4"/>
      <c r="D914" s="4"/>
      <c r="E914" s="12"/>
      <c r="G914" s="147" t="s">
        <v>991</v>
      </c>
      <c r="H914" s="159">
        <v>70.063999999999993</v>
      </c>
      <c r="I914" s="153">
        <v>70.349999999999994</v>
      </c>
      <c r="J914" s="153">
        <v>70.38</v>
      </c>
      <c r="K914" s="153">
        <v>70.400000000000006</v>
      </c>
      <c r="L914" s="153">
        <v>70.319999999999993</v>
      </c>
      <c r="M914" s="80">
        <f t="shared" si="28"/>
        <v>70.400000000000006</v>
      </c>
      <c r="N914" s="80">
        <f t="shared" si="29"/>
        <v>70.319999999999993</v>
      </c>
      <c r="O914" s="153">
        <v>21.22</v>
      </c>
      <c r="P914" s="153">
        <v>21.11</v>
      </c>
      <c r="Q914" s="153">
        <v>21.15</v>
      </c>
      <c r="R914" s="153">
        <v>21.03</v>
      </c>
      <c r="S914" s="4"/>
      <c r="U914" s="147" t="s">
        <v>991</v>
      </c>
      <c r="V914" s="11"/>
      <c r="W914" s="4"/>
      <c r="X914" s="12"/>
      <c r="Y914" s="14"/>
      <c r="Z914" s="4"/>
      <c r="AA914" s="13"/>
      <c r="AB914" s="11"/>
      <c r="AC914" s="4"/>
      <c r="AD914" s="12"/>
      <c r="AE914" s="13"/>
      <c r="AF914" s="14">
        <v>5.0251000000000001</v>
      </c>
      <c r="AG914" s="133"/>
      <c r="AI914" s="96"/>
      <c r="AL914" s="64">
        <v>4.1717986833333329</v>
      </c>
      <c r="AM914" s="56">
        <v>14.960000000000131</v>
      </c>
      <c r="AN914" s="56">
        <v>16.939999999999959</v>
      </c>
      <c r="AO914" s="62">
        <v>23.099999999999991</v>
      </c>
      <c r="AQ914" s="64">
        <v>4.0806811499999993</v>
      </c>
      <c r="AR914" s="56">
        <v>14.52000000000009</v>
      </c>
      <c r="AS914" s="56">
        <v>15.980000000000061</v>
      </c>
      <c r="AT914" s="62">
        <v>20.24000000000008</v>
      </c>
      <c r="AV914" s="64">
        <v>3.7276906499999991</v>
      </c>
      <c r="AW914" s="56">
        <v>14.119999999999949</v>
      </c>
      <c r="AX914" s="56">
        <v>15.579999999999931</v>
      </c>
      <c r="AY914" s="62">
        <v>20.53999999999991</v>
      </c>
      <c r="BA914" s="64">
        <v>3.1853117499999999</v>
      </c>
      <c r="BB914" s="56">
        <v>17.56000000000002</v>
      </c>
      <c r="BC914" s="56">
        <v>20.139999999999961</v>
      </c>
      <c r="BD914" s="62">
        <v>32.540000000000013</v>
      </c>
      <c r="BF914" s="64">
        <v>2.9556638666666659</v>
      </c>
      <c r="BG914" s="56">
        <v>21.279999999999969</v>
      </c>
      <c r="BH914" s="56">
        <v>28.77999999999998</v>
      </c>
      <c r="BI914" s="62">
        <v>58.359999999999971</v>
      </c>
      <c r="BJ914" s="70"/>
      <c r="BK914" s="51"/>
    </row>
    <row r="915" spans="1:63" ht="17.25" customHeight="1" thickBot="1" x14ac:dyDescent="0.45">
      <c r="A915" s="16" t="s">
        <v>992</v>
      </c>
      <c r="B915" s="4"/>
      <c r="C915" s="4"/>
      <c r="D915" s="4"/>
      <c r="E915" s="12"/>
      <c r="G915" s="147" t="s">
        <v>992</v>
      </c>
      <c r="H915" s="159">
        <v>70.117999999999995</v>
      </c>
      <c r="I915" s="153">
        <v>70.38</v>
      </c>
      <c r="J915" s="153">
        <v>70.37</v>
      </c>
      <c r="K915" s="153">
        <v>70.34</v>
      </c>
      <c r="L915" s="153">
        <v>70.39</v>
      </c>
      <c r="M915" s="80">
        <f t="shared" si="28"/>
        <v>70.39</v>
      </c>
      <c r="N915" s="80">
        <f t="shared" si="29"/>
        <v>70.34</v>
      </c>
      <c r="O915" s="153">
        <v>21.19</v>
      </c>
      <c r="P915" s="153">
        <v>21.12</v>
      </c>
      <c r="Q915" s="153">
        <v>21.15</v>
      </c>
      <c r="R915" s="153">
        <v>21.06</v>
      </c>
      <c r="S915" s="4"/>
      <c r="U915" s="147" t="s">
        <v>992</v>
      </c>
      <c r="V915" s="11"/>
      <c r="W915" s="4"/>
      <c r="X915" s="12"/>
      <c r="Y915" s="14"/>
      <c r="Z915" s="4"/>
      <c r="AA915" s="13"/>
      <c r="AB915" s="11"/>
      <c r="AC915" s="4"/>
      <c r="AD915" s="12"/>
      <c r="AE915" s="13"/>
      <c r="AF915" s="14">
        <v>5.0507</v>
      </c>
      <c r="AG915" s="133"/>
      <c r="AI915" s="96"/>
      <c r="AL915" s="64">
        <v>4.1714250500000007</v>
      </c>
      <c r="AM915" s="56">
        <v>14.98000000000008</v>
      </c>
      <c r="AN915" s="56">
        <v>16.96000000000009</v>
      </c>
      <c r="AO915" s="62">
        <v>23.08000000000003</v>
      </c>
      <c r="AQ915" s="64">
        <v>4.0812244166666662</v>
      </c>
      <c r="AR915" s="56">
        <v>14.89999999999991</v>
      </c>
      <c r="AS915" s="56">
        <v>16.39999999999997</v>
      </c>
      <c r="AT915" s="62">
        <v>20.699999999999989</v>
      </c>
      <c r="AV915" s="64">
        <v>3.7279146166666659</v>
      </c>
      <c r="AW915" s="56">
        <v>14.21999999999999</v>
      </c>
      <c r="AX915" s="56">
        <v>15.679999999999961</v>
      </c>
      <c r="AY915" s="62">
        <v>20.58</v>
      </c>
      <c r="BA915" s="64">
        <v>3.184019866666667</v>
      </c>
      <c r="BB915" s="56">
        <v>17.419999999999991</v>
      </c>
      <c r="BC915" s="56">
        <v>20.019999999999971</v>
      </c>
      <c r="BD915" s="62">
        <v>32.439999999999984</v>
      </c>
      <c r="BF915" s="64">
        <v>2.9598333833333328</v>
      </c>
      <c r="BG915" s="56">
        <v>21.159999999999979</v>
      </c>
      <c r="BH915" s="56">
        <v>28.460000000000019</v>
      </c>
      <c r="BI915" s="62">
        <v>57.439999999999984</v>
      </c>
      <c r="BJ915" s="70"/>
      <c r="BK915" s="51"/>
    </row>
    <row r="916" spans="1:63" ht="17.25" customHeight="1" thickBot="1" x14ac:dyDescent="0.45">
      <c r="A916" s="16" t="s">
        <v>993</v>
      </c>
      <c r="B916" s="4"/>
      <c r="C916" s="4"/>
      <c r="D916" s="4"/>
      <c r="E916" s="12"/>
      <c r="G916" s="147" t="s">
        <v>993</v>
      </c>
      <c r="H916" s="159">
        <v>70.031999999999996</v>
      </c>
      <c r="I916" s="153">
        <v>70.3</v>
      </c>
      <c r="J916" s="153">
        <v>70.28</v>
      </c>
      <c r="K916" s="153">
        <v>70.38</v>
      </c>
      <c r="L916" s="153">
        <v>70.33</v>
      </c>
      <c r="M916" s="80">
        <f t="shared" si="28"/>
        <v>70.38</v>
      </c>
      <c r="N916" s="80">
        <f t="shared" si="29"/>
        <v>70.28</v>
      </c>
      <c r="O916" s="153">
        <v>21.15</v>
      </c>
      <c r="P916" s="153">
        <v>21.07</v>
      </c>
      <c r="Q916" s="153">
        <v>21.05</v>
      </c>
      <c r="R916" s="153">
        <v>21.02</v>
      </c>
      <c r="S916" s="4"/>
      <c r="U916" s="147" t="s">
        <v>993</v>
      </c>
      <c r="V916" s="11"/>
      <c r="W916" s="4"/>
      <c r="X916" s="12"/>
      <c r="Y916" s="14"/>
      <c r="Z916" s="4"/>
      <c r="AA916" s="13"/>
      <c r="AB916" s="11"/>
      <c r="AC916" s="4"/>
      <c r="AD916" s="12"/>
      <c r="AE916" s="13"/>
      <c r="AF916" s="14">
        <v>5.0382999999999996</v>
      </c>
      <c r="AG916" s="133"/>
      <c r="AI916" s="96"/>
      <c r="AL916" s="64">
        <v>4.1722872833333344</v>
      </c>
      <c r="AM916" s="56">
        <v>13.81999999999994</v>
      </c>
      <c r="AN916" s="56">
        <v>15.71999999999996</v>
      </c>
      <c r="AO916" s="62">
        <v>21.879999999999988</v>
      </c>
      <c r="AQ916" s="64">
        <v>4.0820084000000003</v>
      </c>
      <c r="AR916" s="56">
        <v>13.56000000000002</v>
      </c>
      <c r="AS916" s="56">
        <v>14.94</v>
      </c>
      <c r="AT916" s="62">
        <v>18.99999999999995</v>
      </c>
      <c r="AV916" s="64">
        <v>3.7287331333333338</v>
      </c>
      <c r="AW916" s="56">
        <v>13.160000000000061</v>
      </c>
      <c r="AX916" s="56">
        <v>14.54000000000004</v>
      </c>
      <c r="AY916" s="62">
        <v>19.240000000000009</v>
      </c>
      <c r="BA916" s="64">
        <v>3.1903203833333338</v>
      </c>
      <c r="BB916" s="56">
        <v>16.12</v>
      </c>
      <c r="BC916" s="56">
        <v>18.52</v>
      </c>
      <c r="BD916" s="62">
        <v>30.29999999999999</v>
      </c>
      <c r="BF916" s="64">
        <v>2.952132933333333</v>
      </c>
      <c r="BG916" s="56">
        <v>19.83999999999995</v>
      </c>
      <c r="BH916" s="56">
        <v>26.900000000000009</v>
      </c>
      <c r="BI916" s="62">
        <v>55.539999999999957</v>
      </c>
      <c r="BJ916" s="70"/>
      <c r="BK916" s="51"/>
    </row>
    <row r="917" spans="1:63" ht="17.25" customHeight="1" thickBot="1" x14ac:dyDescent="0.45">
      <c r="A917" s="16" t="s">
        <v>994</v>
      </c>
      <c r="B917" s="4"/>
      <c r="C917" s="4"/>
      <c r="D917" s="4"/>
      <c r="E917" s="12"/>
      <c r="G917" s="147" t="s">
        <v>994</v>
      </c>
      <c r="H917" s="159">
        <v>70.081999999999994</v>
      </c>
      <c r="I917" s="153">
        <v>70.38</v>
      </c>
      <c r="J917" s="153">
        <v>70.39</v>
      </c>
      <c r="K917" s="153">
        <v>70.28</v>
      </c>
      <c r="L917" s="153">
        <v>70.38</v>
      </c>
      <c r="M917" s="80">
        <f t="shared" si="28"/>
        <v>70.39</v>
      </c>
      <c r="N917" s="80">
        <f t="shared" si="29"/>
        <v>70.28</v>
      </c>
      <c r="O917" s="153">
        <v>21.15</v>
      </c>
      <c r="P917" s="153">
        <v>21.11</v>
      </c>
      <c r="Q917" s="153">
        <v>21.06</v>
      </c>
      <c r="R917" s="153">
        <v>21.02</v>
      </c>
      <c r="S917" s="4"/>
      <c r="U917" s="147" t="s">
        <v>994</v>
      </c>
      <c r="V917" s="11"/>
      <c r="W917" s="4"/>
      <c r="X917" s="12"/>
      <c r="Y917" s="14"/>
      <c r="Z917" s="4"/>
      <c r="AA917" s="13"/>
      <c r="AB917" s="11"/>
      <c r="AC917" s="4"/>
      <c r="AD917" s="12"/>
      <c r="AE917" s="13"/>
      <c r="AF917" s="14">
        <v>5.0117000000000003</v>
      </c>
      <c r="AG917" s="133"/>
      <c r="AI917" s="96"/>
      <c r="AL917" s="64">
        <v>4.1718690500000006</v>
      </c>
      <c r="AM917" s="56">
        <v>14.08000000000005</v>
      </c>
      <c r="AN917" s="56">
        <v>16.019999999999971</v>
      </c>
      <c r="AO917" s="62">
        <v>22.19999999999995</v>
      </c>
      <c r="AQ917" s="64">
        <v>4.0816492999999996</v>
      </c>
      <c r="AR917" s="56">
        <v>13.73999999999995</v>
      </c>
      <c r="AS917" s="56">
        <v>15.13999999999989</v>
      </c>
      <c r="AT917" s="62">
        <v>19.21999999999997</v>
      </c>
      <c r="AV917" s="64">
        <v>3.7278894166666658</v>
      </c>
      <c r="AW917" s="56">
        <v>13.36000000000004</v>
      </c>
      <c r="AX917" s="56">
        <v>14.75999999999997</v>
      </c>
      <c r="AY917" s="62">
        <v>19.47999999999999</v>
      </c>
      <c r="BA917" s="64">
        <v>3.1879804833333329</v>
      </c>
      <c r="BB917" s="56">
        <v>16.51999999999996</v>
      </c>
      <c r="BC917" s="56">
        <v>18.99999999999995</v>
      </c>
      <c r="BD917" s="62">
        <v>31.02</v>
      </c>
      <c r="BF917" s="64">
        <v>2.9591873166666658</v>
      </c>
      <c r="BG917" s="56">
        <v>20.239999999999991</v>
      </c>
      <c r="BH917" s="56">
        <v>27.280000000000019</v>
      </c>
      <c r="BI917" s="62">
        <v>55.560000000000009</v>
      </c>
      <c r="BJ917" s="70"/>
      <c r="BK917" s="51"/>
    </row>
    <row r="918" spans="1:63" ht="17.25" customHeight="1" thickBot="1" x14ac:dyDescent="0.45">
      <c r="A918" s="16" t="s">
        <v>995</v>
      </c>
      <c r="B918" s="4"/>
      <c r="C918" s="4"/>
      <c r="D918" s="4"/>
      <c r="E918" s="12"/>
      <c r="G918" s="147" t="s">
        <v>995</v>
      </c>
      <c r="H918" s="159">
        <v>69.867999999999995</v>
      </c>
      <c r="I918" s="153">
        <v>70.33</v>
      </c>
      <c r="J918" s="153">
        <v>70.34</v>
      </c>
      <c r="K918" s="153">
        <v>70.349999999999994</v>
      </c>
      <c r="L918" s="153">
        <v>70.39</v>
      </c>
      <c r="M918" s="80">
        <f t="shared" si="28"/>
        <v>70.39</v>
      </c>
      <c r="N918" s="80">
        <f t="shared" si="29"/>
        <v>70.33</v>
      </c>
      <c r="O918" s="153">
        <v>21.12</v>
      </c>
      <c r="P918" s="153">
        <v>21.04</v>
      </c>
      <c r="Q918" s="153">
        <v>21.12</v>
      </c>
      <c r="R918" s="153">
        <v>21.03</v>
      </c>
      <c r="S918" s="4"/>
      <c r="U918" s="147" t="s">
        <v>995</v>
      </c>
      <c r="V918" s="11"/>
      <c r="W918" s="4"/>
      <c r="X918" s="12"/>
      <c r="Y918" s="14"/>
      <c r="Z918" s="4"/>
      <c r="AA918" s="13"/>
      <c r="AB918" s="11"/>
      <c r="AC918" s="4"/>
      <c r="AD918" s="12"/>
      <c r="AE918" s="13"/>
      <c r="AF918" s="14">
        <v>5.0279999999999996</v>
      </c>
      <c r="AG918" s="133"/>
      <c r="AI918" s="84"/>
      <c r="AL918" s="64">
        <v>4.1718137500000001</v>
      </c>
      <c r="AM918" s="56">
        <v>14.440000000000101</v>
      </c>
      <c r="AN918" s="56">
        <v>16.36000000000006</v>
      </c>
      <c r="AO918" s="62">
        <v>22.520000000000099</v>
      </c>
      <c r="AQ918" s="64">
        <v>4.0808850666666663</v>
      </c>
      <c r="AR918" s="56">
        <v>14.040000000000139</v>
      </c>
      <c r="AS918" s="56">
        <v>15.460000000000029</v>
      </c>
      <c r="AT918" s="62">
        <v>19.600000000000058</v>
      </c>
      <c r="AV918" s="64">
        <v>3.726633000000001</v>
      </c>
      <c r="AW918" s="56">
        <v>13.79999999999999</v>
      </c>
      <c r="AX918" s="56">
        <v>15.220000000000059</v>
      </c>
      <c r="AY918" s="62">
        <v>20.02000000000006</v>
      </c>
      <c r="BA918" s="64">
        <v>3.1794630000000002</v>
      </c>
      <c r="BB918" s="56">
        <v>17.480000000000029</v>
      </c>
      <c r="BC918" s="56">
        <v>20.100000000000051</v>
      </c>
      <c r="BD918" s="62">
        <v>32.640000000000043</v>
      </c>
      <c r="BF918" s="64">
        <v>2.9486857999999998</v>
      </c>
      <c r="BG918" s="56">
        <v>21.260000000000009</v>
      </c>
      <c r="BH918" s="56">
        <v>28.54000000000001</v>
      </c>
      <c r="BI918" s="62">
        <v>57.939999999999969</v>
      </c>
      <c r="BJ918" s="69"/>
      <c r="BK918" s="51"/>
    </row>
    <row r="919" spans="1:63" ht="17.25" customHeight="1" thickBot="1" x14ac:dyDescent="0.45">
      <c r="A919" s="16" t="s">
        <v>996</v>
      </c>
      <c r="B919" s="4"/>
      <c r="C919" s="4"/>
      <c r="D919" s="4"/>
      <c r="E919" s="12"/>
      <c r="G919" s="147" t="s">
        <v>996</v>
      </c>
      <c r="H919" s="159">
        <v>70.13</v>
      </c>
      <c r="I919" s="153">
        <v>70.27</v>
      </c>
      <c r="J919" s="153">
        <v>70.33</v>
      </c>
      <c r="K919" s="153">
        <v>70.36</v>
      </c>
      <c r="L919" s="153">
        <v>70.36</v>
      </c>
      <c r="M919" s="80">
        <f t="shared" si="28"/>
        <v>70.36</v>
      </c>
      <c r="N919" s="80">
        <f t="shared" si="29"/>
        <v>70.27</v>
      </c>
      <c r="O919" s="153">
        <v>21.14</v>
      </c>
      <c r="P919" s="153">
        <v>21.07</v>
      </c>
      <c r="Q919" s="153">
        <v>21.12</v>
      </c>
      <c r="R919" s="153">
        <v>21.02</v>
      </c>
      <c r="S919" s="4"/>
      <c r="U919" s="147" t="s">
        <v>996</v>
      </c>
      <c r="V919" s="11"/>
      <c r="W919" s="4"/>
      <c r="X919" s="12"/>
      <c r="Y919" s="14"/>
      <c r="Z919" s="4"/>
      <c r="AA919" s="13"/>
      <c r="AB919" s="11"/>
      <c r="AC919" s="4"/>
      <c r="AD919" s="12"/>
      <c r="AE919" s="13"/>
      <c r="AF919" s="14">
        <v>5.0354000000000001</v>
      </c>
      <c r="AG919" s="133"/>
      <c r="AI919" s="84"/>
      <c r="AL919" s="64">
        <v>4.1719087999999998</v>
      </c>
      <c r="AM919" s="56">
        <v>15.259999999999961</v>
      </c>
      <c r="AN919" s="56">
        <v>17.23999999999997</v>
      </c>
      <c r="AO919" s="62">
        <v>23.520000000000071</v>
      </c>
      <c r="AQ919" s="64">
        <v>4.0810620999999996</v>
      </c>
      <c r="AR919" s="56">
        <v>14.660000000000119</v>
      </c>
      <c r="AS919" s="56">
        <v>16.14000000000004</v>
      </c>
      <c r="AT919" s="62">
        <v>20.36000000000007</v>
      </c>
      <c r="AV919" s="64">
        <v>3.7272412333333329</v>
      </c>
      <c r="AW919" s="56">
        <v>14.24000000000003</v>
      </c>
      <c r="AX919" s="56">
        <v>15.7</v>
      </c>
      <c r="AY919" s="62">
        <v>20.58</v>
      </c>
      <c r="BA919" s="64">
        <v>3.183241516666667</v>
      </c>
      <c r="BB919" s="56">
        <v>17.199999999999971</v>
      </c>
      <c r="BC919" s="56">
        <v>19.759999999999959</v>
      </c>
      <c r="BD919" s="62">
        <v>32.040000000000028</v>
      </c>
      <c r="BF919" s="64">
        <v>2.951340333333333</v>
      </c>
      <c r="BG919" s="56">
        <v>20.820000000000061</v>
      </c>
      <c r="BH919" s="56">
        <v>27.960000000000029</v>
      </c>
      <c r="BI919" s="62">
        <v>56.740000000000009</v>
      </c>
      <c r="BJ919" s="69"/>
      <c r="BK919" s="51"/>
    </row>
    <row r="920" spans="1:63" ht="17.25" customHeight="1" thickBot="1" x14ac:dyDescent="0.45">
      <c r="A920" s="16" t="s">
        <v>997</v>
      </c>
      <c r="B920" s="4"/>
      <c r="C920" s="4"/>
      <c r="D920" s="4"/>
      <c r="E920" s="12"/>
      <c r="G920" s="147" t="s">
        <v>997</v>
      </c>
      <c r="H920" s="159">
        <v>70.125</v>
      </c>
      <c r="I920" s="153">
        <v>70.36</v>
      </c>
      <c r="J920" s="153">
        <v>70.290000000000006</v>
      </c>
      <c r="K920" s="153">
        <v>70.31</v>
      </c>
      <c r="L920" s="153">
        <v>70.319999999999993</v>
      </c>
      <c r="M920" s="80">
        <f t="shared" si="28"/>
        <v>70.36</v>
      </c>
      <c r="N920" s="80">
        <f t="shared" si="29"/>
        <v>70.290000000000006</v>
      </c>
      <c r="O920" s="153">
        <v>21.13</v>
      </c>
      <c r="P920" s="153">
        <v>21.08</v>
      </c>
      <c r="Q920" s="153">
        <v>21.16</v>
      </c>
      <c r="R920" s="153">
        <v>21.09</v>
      </c>
      <c r="S920" s="4"/>
      <c r="U920" s="147" t="s">
        <v>997</v>
      </c>
      <c r="V920" s="11"/>
      <c r="W920" s="4"/>
      <c r="X920" s="12"/>
      <c r="Y920" s="14"/>
      <c r="Z920" s="4"/>
      <c r="AA920" s="13"/>
      <c r="AB920" s="11"/>
      <c r="AC920" s="4"/>
      <c r="AD920" s="12"/>
      <c r="AE920" s="13"/>
      <c r="AF920" s="14">
        <v>5.0505000000000004</v>
      </c>
      <c r="AG920" s="133"/>
      <c r="AI920" s="96"/>
      <c r="AL920" s="64">
        <v>4.1726906499999998</v>
      </c>
      <c r="AM920" s="56">
        <v>14.48</v>
      </c>
      <c r="AN920" s="56">
        <v>16.38000000000002</v>
      </c>
      <c r="AO920" s="62">
        <v>22.56</v>
      </c>
      <c r="AQ920" s="64">
        <v>4.0811786000000003</v>
      </c>
      <c r="AR920" s="56">
        <v>13.86000000000003</v>
      </c>
      <c r="AS920" s="56">
        <v>15.259999999999961</v>
      </c>
      <c r="AT920" s="62">
        <v>19.379999999999949</v>
      </c>
      <c r="AV920" s="64">
        <v>3.7280496666666672</v>
      </c>
      <c r="AW920" s="56">
        <v>13.419999999999989</v>
      </c>
      <c r="AX920" s="56">
        <v>14.799999999999971</v>
      </c>
      <c r="AY920" s="62">
        <v>19.559999999999981</v>
      </c>
      <c r="BA920" s="64">
        <v>3.1869066166666671</v>
      </c>
      <c r="BB920" s="56">
        <v>16.439999999999969</v>
      </c>
      <c r="BC920" s="56">
        <v>18.919999999999959</v>
      </c>
      <c r="BD920" s="62">
        <v>30.959999999999969</v>
      </c>
      <c r="BF920" s="64">
        <v>2.954062683333333</v>
      </c>
      <c r="BG920" s="56">
        <v>20.100000000000051</v>
      </c>
      <c r="BH920" s="56">
        <v>26.960000000000051</v>
      </c>
      <c r="BI920" s="62">
        <v>55.26</v>
      </c>
      <c r="BJ920" s="70"/>
      <c r="BK920" s="51"/>
    </row>
    <row r="921" spans="1:63" ht="17.25" customHeight="1" thickBot="1" x14ac:dyDescent="0.45">
      <c r="A921" s="16" t="s">
        <v>998</v>
      </c>
      <c r="B921" s="4"/>
      <c r="C921" s="4"/>
      <c r="D921" s="4"/>
      <c r="E921" s="12"/>
      <c r="G921" s="147" t="s">
        <v>998</v>
      </c>
      <c r="H921" s="159">
        <v>70.001999999999995</v>
      </c>
      <c r="I921" s="153">
        <v>70.37</v>
      </c>
      <c r="J921" s="153">
        <v>70.31</v>
      </c>
      <c r="K921" s="153">
        <v>70.3</v>
      </c>
      <c r="L921" s="153">
        <v>70.39</v>
      </c>
      <c r="M921" s="80">
        <f t="shared" si="28"/>
        <v>70.39</v>
      </c>
      <c r="N921" s="80">
        <f t="shared" si="29"/>
        <v>70.3</v>
      </c>
      <c r="O921" s="153">
        <v>21.12</v>
      </c>
      <c r="P921" s="153">
        <v>21.01</v>
      </c>
      <c r="Q921" s="153">
        <v>21.12</v>
      </c>
      <c r="R921" s="153">
        <v>21.04</v>
      </c>
      <c r="S921" s="4"/>
      <c r="U921" s="147" t="s">
        <v>998</v>
      </c>
      <c r="V921" s="11"/>
      <c r="W921" s="4"/>
      <c r="X921" s="12"/>
      <c r="Y921" s="14"/>
      <c r="Z921" s="4"/>
      <c r="AA921" s="13"/>
      <c r="AB921" s="11"/>
      <c r="AC921" s="4"/>
      <c r="AD921" s="12"/>
      <c r="AE921" s="13"/>
      <c r="AF921" s="14">
        <v>5.0289000000000001</v>
      </c>
      <c r="AG921" s="133"/>
      <c r="AI921" s="84"/>
      <c r="AL921" s="64">
        <v>4.1723860666666672</v>
      </c>
      <c r="AM921" s="56">
        <v>14.119999999999949</v>
      </c>
      <c r="AN921" s="56">
        <v>16.000000000000011</v>
      </c>
      <c r="AO921" s="62">
        <v>22.159999999999869</v>
      </c>
      <c r="AQ921" s="64">
        <v>4.0815355166666656</v>
      </c>
      <c r="AR921" s="56">
        <v>13.640000000000009</v>
      </c>
      <c r="AS921" s="56">
        <v>15.019999999999991</v>
      </c>
      <c r="AT921" s="62">
        <v>19.09999999999998</v>
      </c>
      <c r="AV921" s="64">
        <v>3.7277922499999998</v>
      </c>
      <c r="AW921" s="56">
        <v>13.26000000000001</v>
      </c>
      <c r="AX921" s="56">
        <v>14.63999999999999</v>
      </c>
      <c r="AY921" s="62">
        <v>19.36</v>
      </c>
      <c r="BA921" s="64">
        <v>3.1872692166666661</v>
      </c>
      <c r="BB921" s="56">
        <v>16.780000000000062</v>
      </c>
      <c r="BC921" s="56">
        <v>19.260000000000051</v>
      </c>
      <c r="BD921" s="62">
        <v>31.160000000000029</v>
      </c>
      <c r="BF921" s="64">
        <v>2.949767066666666</v>
      </c>
      <c r="BG921" s="56">
        <v>20.54</v>
      </c>
      <c r="BH921" s="56">
        <v>28.020000000000071</v>
      </c>
      <c r="BI921" s="62">
        <v>57.220000000000049</v>
      </c>
      <c r="BJ921" s="69"/>
      <c r="BK921" s="51"/>
    </row>
    <row r="922" spans="1:63" ht="17.25" customHeight="1" thickBot="1" x14ac:dyDescent="0.45">
      <c r="A922" s="16" t="s">
        <v>999</v>
      </c>
      <c r="B922" s="4"/>
      <c r="C922" s="4"/>
      <c r="D922" s="4"/>
      <c r="E922" s="12"/>
      <c r="G922" s="147" t="s">
        <v>999</v>
      </c>
      <c r="H922" s="159">
        <v>70.12</v>
      </c>
      <c r="I922" s="153">
        <v>70.27</v>
      </c>
      <c r="J922" s="153">
        <v>70.400000000000006</v>
      </c>
      <c r="K922" s="153">
        <v>70.36</v>
      </c>
      <c r="L922" s="153">
        <v>70.38</v>
      </c>
      <c r="M922" s="80">
        <f t="shared" si="28"/>
        <v>70.400000000000006</v>
      </c>
      <c r="N922" s="80">
        <f t="shared" si="29"/>
        <v>70.27</v>
      </c>
      <c r="O922" s="153">
        <v>21.15</v>
      </c>
      <c r="P922" s="153">
        <v>21.09</v>
      </c>
      <c r="Q922" s="153">
        <v>21.11</v>
      </c>
      <c r="R922" s="153">
        <v>21.06</v>
      </c>
      <c r="S922" s="4"/>
      <c r="U922" s="147" t="s">
        <v>999</v>
      </c>
      <c r="V922" s="11"/>
      <c r="W922" s="4"/>
      <c r="X922" s="12"/>
      <c r="Y922" s="14"/>
      <c r="Z922" s="4"/>
      <c r="AA922" s="13"/>
      <c r="AB922" s="11"/>
      <c r="AC922" s="4"/>
      <c r="AD922" s="12"/>
      <c r="AE922" s="13"/>
      <c r="AF922" s="14">
        <v>5.0358000000000001</v>
      </c>
      <c r="AG922" s="133"/>
      <c r="AI922" s="96"/>
      <c r="AL922" s="64">
        <v>4.1720529500000003</v>
      </c>
      <c r="AM922" s="56">
        <v>14.25999999999998</v>
      </c>
      <c r="AN922" s="56">
        <v>16.1999999999999</v>
      </c>
      <c r="AO922" s="62">
        <v>22.320000000000029</v>
      </c>
      <c r="AQ922" s="64">
        <v>4.08243125</v>
      </c>
      <c r="AR922" s="56">
        <v>13.959999999999971</v>
      </c>
      <c r="AS922" s="56">
        <v>15.37999999999986</v>
      </c>
      <c r="AT922" s="62">
        <v>19.49999999999994</v>
      </c>
      <c r="AV922" s="64">
        <v>3.728932233333333</v>
      </c>
      <c r="AW922" s="56">
        <v>13.740000000000039</v>
      </c>
      <c r="AX922" s="56">
        <v>15.16000000000002</v>
      </c>
      <c r="AY922" s="62">
        <v>20.000000000000021</v>
      </c>
      <c r="BA922" s="64">
        <v>3.182993016666666</v>
      </c>
      <c r="BB922" s="56">
        <v>16.54</v>
      </c>
      <c r="BC922" s="56">
        <v>19.059999999999992</v>
      </c>
      <c r="BD922" s="62">
        <v>31.339999999999961</v>
      </c>
      <c r="BF922" s="64">
        <v>2.9538160666666662</v>
      </c>
      <c r="BG922" s="56">
        <v>20.060000000000059</v>
      </c>
      <c r="BH922" s="56">
        <v>27.080000000000041</v>
      </c>
      <c r="BI922" s="62">
        <v>55.719999999999992</v>
      </c>
      <c r="BJ922" s="70"/>
      <c r="BK922" s="51"/>
    </row>
    <row r="923" spans="1:63" ht="17.25" customHeight="1" thickBot="1" x14ac:dyDescent="0.45">
      <c r="A923" s="16" t="s">
        <v>1000</v>
      </c>
      <c r="B923" s="4"/>
      <c r="C923" s="4"/>
      <c r="D923" s="4"/>
      <c r="E923" s="12"/>
      <c r="G923" s="147" t="s">
        <v>1000</v>
      </c>
      <c r="H923" s="159">
        <v>69.972999999999999</v>
      </c>
      <c r="I923" s="153">
        <v>70.31</v>
      </c>
      <c r="J923" s="153">
        <v>70.27</v>
      </c>
      <c r="K923" s="153">
        <v>70.37</v>
      </c>
      <c r="L923" s="153">
        <v>70.38</v>
      </c>
      <c r="M923" s="80">
        <f t="shared" si="28"/>
        <v>70.38</v>
      </c>
      <c r="N923" s="80">
        <f t="shared" si="29"/>
        <v>70.27</v>
      </c>
      <c r="O923" s="153">
        <v>21.14</v>
      </c>
      <c r="P923" s="153">
        <v>21.12</v>
      </c>
      <c r="Q923" s="153">
        <v>21.1</v>
      </c>
      <c r="R923" s="153">
        <v>21.02</v>
      </c>
      <c r="S923" s="4"/>
      <c r="U923" s="147" t="s">
        <v>1000</v>
      </c>
      <c r="V923" s="11"/>
      <c r="W923" s="4"/>
      <c r="X923" s="12"/>
      <c r="Y923" s="14"/>
      <c r="Z923" s="4"/>
      <c r="AA923" s="13"/>
      <c r="AB923" s="11"/>
      <c r="AC923" s="4"/>
      <c r="AD923" s="12"/>
      <c r="AE923" s="13"/>
      <c r="AF923" s="14">
        <v>5.0270999999999999</v>
      </c>
      <c r="AG923" s="133"/>
      <c r="AI923" s="96"/>
      <c r="AL923" s="64">
        <v>4.1717069833333333</v>
      </c>
      <c r="AM923" s="56">
        <v>14.759999999999881</v>
      </c>
      <c r="AN923" s="56">
        <v>16.719999999999931</v>
      </c>
      <c r="AO923" s="62">
        <v>22.89999999999992</v>
      </c>
      <c r="AQ923" s="64">
        <v>4.08087965</v>
      </c>
      <c r="AR923" s="56">
        <v>14.400000000000009</v>
      </c>
      <c r="AS923" s="56">
        <v>15.859999999999991</v>
      </c>
      <c r="AT923" s="62">
        <v>20.05999999999997</v>
      </c>
      <c r="AV923" s="64">
        <v>3.7274387166666672</v>
      </c>
      <c r="AW923" s="56">
        <v>13.72</v>
      </c>
      <c r="AX923" s="56">
        <v>15.16000000000002</v>
      </c>
      <c r="AY923" s="62">
        <v>20.000000000000021</v>
      </c>
      <c r="BA923" s="64">
        <v>3.1847902833333328</v>
      </c>
      <c r="BB923" s="56">
        <v>16.27999999999998</v>
      </c>
      <c r="BC923" s="56">
        <v>18.77999999999993</v>
      </c>
      <c r="BD923" s="62">
        <v>30.91999999999997</v>
      </c>
      <c r="BF923" s="64">
        <v>2.9557085500000011</v>
      </c>
      <c r="BG923" s="56">
        <v>19.620000000000019</v>
      </c>
      <c r="BH923" s="56">
        <v>26.200000000000049</v>
      </c>
      <c r="BI923" s="62">
        <v>53.920000000000009</v>
      </c>
      <c r="BJ923" s="70"/>
      <c r="BK923" s="51"/>
    </row>
    <row r="924" spans="1:63" ht="17.25" customHeight="1" thickBot="1" x14ac:dyDescent="0.45">
      <c r="A924" s="16" t="s">
        <v>1001</v>
      </c>
      <c r="B924" s="4"/>
      <c r="C924" s="4"/>
      <c r="D924" s="4"/>
      <c r="E924" s="12"/>
      <c r="G924" s="147" t="s">
        <v>1001</v>
      </c>
      <c r="H924" s="159">
        <v>70.003</v>
      </c>
      <c r="I924" s="153">
        <v>70.37</v>
      </c>
      <c r="J924" s="153">
        <v>70.290000000000006</v>
      </c>
      <c r="K924" s="153">
        <v>70.37</v>
      </c>
      <c r="L924" s="153">
        <v>70.37</v>
      </c>
      <c r="M924" s="80">
        <f t="shared" si="28"/>
        <v>70.37</v>
      </c>
      <c r="N924" s="80">
        <f t="shared" si="29"/>
        <v>70.290000000000006</v>
      </c>
      <c r="O924" s="153">
        <v>21.18</v>
      </c>
      <c r="P924" s="153">
        <v>21.09</v>
      </c>
      <c r="Q924" s="153">
        <v>21.15</v>
      </c>
      <c r="R924" s="153">
        <v>21.02</v>
      </c>
      <c r="S924" s="4"/>
      <c r="U924" s="147" t="s">
        <v>1001</v>
      </c>
      <c r="V924" s="11"/>
      <c r="W924" s="4"/>
      <c r="X924" s="12"/>
      <c r="Y924" s="14"/>
      <c r="Z924" s="4"/>
      <c r="AA924" s="13"/>
      <c r="AB924" s="11"/>
      <c r="AC924" s="4"/>
      <c r="AD924" s="12"/>
      <c r="AE924" s="13"/>
      <c r="AF924" s="14">
        <v>5.0327999999999999</v>
      </c>
      <c r="AG924" s="133"/>
      <c r="AI924" s="96"/>
      <c r="AL924" s="64">
        <v>4.1713469833333336</v>
      </c>
      <c r="AM924" s="56">
        <v>15.019999999999991</v>
      </c>
      <c r="AN924" s="56">
        <v>16.999999999999989</v>
      </c>
      <c r="AO924" s="62">
        <v>23.29999999999988</v>
      </c>
      <c r="AQ924" s="64">
        <v>4.0810756166666673</v>
      </c>
      <c r="AR924" s="56">
        <v>14.56</v>
      </c>
      <c r="AS924" s="56">
        <v>16.040000000000099</v>
      </c>
      <c r="AT924" s="62">
        <v>20.300000000000029</v>
      </c>
      <c r="AV924" s="64">
        <v>3.727347766666667</v>
      </c>
      <c r="AW924" s="56">
        <v>14.08000000000005</v>
      </c>
      <c r="AX924" s="56">
        <v>15.58000000000002</v>
      </c>
      <c r="AY924" s="62">
        <v>20.479999999999961</v>
      </c>
      <c r="BA924" s="64">
        <v>3.1840654000000002</v>
      </c>
      <c r="BB924" s="56">
        <v>17.020000000000039</v>
      </c>
      <c r="BC924" s="56">
        <v>19.600000000000058</v>
      </c>
      <c r="BD924" s="62">
        <v>31.960000000000029</v>
      </c>
      <c r="BF924" s="64">
        <v>2.9482749333333329</v>
      </c>
      <c r="BG924" s="56">
        <v>20.359999999999982</v>
      </c>
      <c r="BH924" s="56">
        <v>26.719999999999992</v>
      </c>
      <c r="BI924" s="62">
        <v>54.44000000000004</v>
      </c>
      <c r="BJ924" s="70"/>
      <c r="BK924" s="51"/>
    </row>
    <row r="925" spans="1:63" ht="17.25" customHeight="1" thickBot="1" x14ac:dyDescent="0.45">
      <c r="A925" s="16" t="s">
        <v>1002</v>
      </c>
      <c r="B925" s="4"/>
      <c r="C925" s="4"/>
      <c r="D925" s="4"/>
      <c r="E925" s="12"/>
      <c r="G925" s="147" t="s">
        <v>1002</v>
      </c>
      <c r="H925" s="159">
        <v>70.012</v>
      </c>
      <c r="I925" s="153">
        <v>70.36</v>
      </c>
      <c r="J925" s="153">
        <v>70.37</v>
      </c>
      <c r="K925" s="153">
        <v>70.38</v>
      </c>
      <c r="L925" s="153">
        <v>70.349999999999994</v>
      </c>
      <c r="M925" s="80">
        <f t="shared" si="28"/>
        <v>70.38</v>
      </c>
      <c r="N925" s="80">
        <f t="shared" si="29"/>
        <v>70.349999999999994</v>
      </c>
      <c r="O925" s="153">
        <v>21.21</v>
      </c>
      <c r="P925" s="153">
        <v>21.1</v>
      </c>
      <c r="Q925" s="153">
        <v>21.17</v>
      </c>
      <c r="R925" s="153">
        <v>21.09</v>
      </c>
      <c r="S925" s="4"/>
      <c r="U925" s="147" t="s">
        <v>1002</v>
      </c>
      <c r="V925" s="11"/>
      <c r="W925" s="4"/>
      <c r="X925" s="12"/>
      <c r="Y925" s="14"/>
      <c r="Z925" s="4"/>
      <c r="AA925" s="13"/>
      <c r="AB925" s="11"/>
      <c r="AC925" s="4"/>
      <c r="AD925" s="12"/>
      <c r="AE925" s="13"/>
      <c r="AF925" s="14">
        <v>5.0446</v>
      </c>
      <c r="AG925" s="133"/>
      <c r="AI925" s="96"/>
      <c r="AL925" s="64">
        <v>4.1721932666666666</v>
      </c>
      <c r="AM925" s="56">
        <v>14.220000000000081</v>
      </c>
      <c r="AN925" s="56">
        <v>16.16</v>
      </c>
      <c r="AO925" s="62">
        <v>22.320000000000029</v>
      </c>
      <c r="AQ925" s="64">
        <v>4.0825001833333321</v>
      </c>
      <c r="AR925" s="56">
        <v>13.959999999999971</v>
      </c>
      <c r="AS925" s="56">
        <v>15.38000000000004</v>
      </c>
      <c r="AT925" s="62">
        <v>19.500000000000028</v>
      </c>
      <c r="AV925" s="64">
        <v>3.7288039999999998</v>
      </c>
      <c r="AW925" s="56">
        <v>13.539999999999971</v>
      </c>
      <c r="AX925" s="56">
        <v>14.959999999999949</v>
      </c>
      <c r="AY925" s="62">
        <v>19.71999999999996</v>
      </c>
      <c r="BA925" s="64">
        <v>3.1858053166666669</v>
      </c>
      <c r="BB925" s="56">
        <v>16.600000000000041</v>
      </c>
      <c r="BC925" s="56">
        <v>19.09999999999998</v>
      </c>
      <c r="BD925" s="62">
        <v>31.260000000000069</v>
      </c>
      <c r="BF925" s="64">
        <v>2.9525776833333341</v>
      </c>
      <c r="BG925" s="56">
        <v>20.14000000000005</v>
      </c>
      <c r="BH925" s="56">
        <v>27.040000000000038</v>
      </c>
      <c r="BI925" s="62">
        <v>55.339999999999989</v>
      </c>
      <c r="BJ925" s="70"/>
      <c r="BK925" s="51"/>
    </row>
    <row r="926" spans="1:63" ht="17.25" customHeight="1" thickBot="1" x14ac:dyDescent="0.45">
      <c r="A926" s="16" t="s">
        <v>1003</v>
      </c>
      <c r="B926" s="4"/>
      <c r="C926" s="4"/>
      <c r="D926" s="4"/>
      <c r="E926" s="12"/>
      <c r="G926" s="147" t="s">
        <v>1003</v>
      </c>
      <c r="H926" s="159">
        <v>70.111999999999995</v>
      </c>
      <c r="I926" s="153">
        <v>70.28</v>
      </c>
      <c r="J926" s="153">
        <v>70.33</v>
      </c>
      <c r="K926" s="153">
        <v>70.28</v>
      </c>
      <c r="L926" s="153">
        <v>70.319999999999993</v>
      </c>
      <c r="M926" s="80">
        <f t="shared" si="28"/>
        <v>70.33</v>
      </c>
      <c r="N926" s="80">
        <f t="shared" si="29"/>
        <v>70.28</v>
      </c>
      <c r="O926" s="153">
        <v>21.19</v>
      </c>
      <c r="P926" s="153">
        <v>21.09</v>
      </c>
      <c r="Q926" s="153">
        <v>21.11</v>
      </c>
      <c r="R926" s="153">
        <v>21.05</v>
      </c>
      <c r="S926" s="4"/>
      <c r="U926" s="147" t="s">
        <v>1003</v>
      </c>
      <c r="V926" s="11"/>
      <c r="W926" s="4"/>
      <c r="X926" s="12"/>
      <c r="Y926" s="14"/>
      <c r="Z926" s="4"/>
      <c r="AA926" s="13"/>
      <c r="AB926" s="11"/>
      <c r="AC926" s="4"/>
      <c r="AD926" s="12"/>
      <c r="AE926" s="13"/>
      <c r="AF926" s="14">
        <v>5.0193000000000003</v>
      </c>
      <c r="AG926" s="133"/>
      <c r="AI926" s="96"/>
      <c r="AL926" s="64">
        <v>4.1719998333333326</v>
      </c>
      <c r="AM926" s="56">
        <v>13.899999999999929</v>
      </c>
      <c r="AN926" s="56">
        <v>15.819999999999901</v>
      </c>
      <c r="AO926" s="62">
        <v>21.99999999999989</v>
      </c>
      <c r="AQ926" s="64">
        <v>4.0819437999999986</v>
      </c>
      <c r="AR926" s="56">
        <v>13.659999999999959</v>
      </c>
      <c r="AS926" s="56">
        <v>15.08000000000003</v>
      </c>
      <c r="AT926" s="62">
        <v>19.139999999999979</v>
      </c>
      <c r="AV926" s="64">
        <v>3.7285130666666659</v>
      </c>
      <c r="AW926" s="56">
        <v>13.280000000000051</v>
      </c>
      <c r="AX926" s="56">
        <v>14.680000000000071</v>
      </c>
      <c r="AY926" s="62">
        <v>19.380000000000042</v>
      </c>
      <c r="BA926" s="64">
        <v>3.1896592000000008</v>
      </c>
      <c r="BB926" s="56">
        <v>16.420000000000009</v>
      </c>
      <c r="BC926" s="56">
        <v>18.86000000000001</v>
      </c>
      <c r="BD926" s="62">
        <v>30.820000000000029</v>
      </c>
      <c r="BF926" s="64">
        <v>2.9617023166666669</v>
      </c>
      <c r="BG926" s="56">
        <v>20.04000000000001</v>
      </c>
      <c r="BH926" s="56">
        <v>26.98</v>
      </c>
      <c r="BI926" s="62">
        <v>54.919999999999987</v>
      </c>
      <c r="BJ926" s="70"/>
      <c r="BK926" s="51"/>
    </row>
    <row r="927" spans="1:63" ht="17.25" customHeight="1" thickBot="1" x14ac:dyDescent="0.45">
      <c r="A927" s="16" t="s">
        <v>1004</v>
      </c>
      <c r="B927" s="4"/>
      <c r="C927" s="4"/>
      <c r="D927" s="4"/>
      <c r="E927" s="12"/>
      <c r="G927" s="147" t="s">
        <v>1004</v>
      </c>
      <c r="H927" s="159">
        <v>70.108000000000004</v>
      </c>
      <c r="I927" s="153">
        <v>70.319999999999993</v>
      </c>
      <c r="J927" s="153">
        <v>70.28</v>
      </c>
      <c r="K927" s="153">
        <v>70.319999999999993</v>
      </c>
      <c r="L927" s="153">
        <v>70.28</v>
      </c>
      <c r="M927" s="80">
        <f t="shared" si="28"/>
        <v>70.319999999999993</v>
      </c>
      <c r="N927" s="80">
        <f t="shared" si="29"/>
        <v>70.28</v>
      </c>
      <c r="O927" s="153">
        <v>21.15</v>
      </c>
      <c r="P927" s="153">
        <v>21.07</v>
      </c>
      <c r="Q927" s="153">
        <v>21.14</v>
      </c>
      <c r="R927" s="153">
        <v>21.11</v>
      </c>
      <c r="S927" s="4"/>
      <c r="U927" s="147" t="s">
        <v>1004</v>
      </c>
      <c r="V927" s="11"/>
      <c r="W927" s="4"/>
      <c r="X927" s="12"/>
      <c r="Y927" s="14"/>
      <c r="Z927" s="4"/>
      <c r="AA927" s="13"/>
      <c r="AB927" s="11"/>
      <c r="AC927" s="4"/>
      <c r="AD927" s="12"/>
      <c r="AE927" s="13"/>
      <c r="AF927" s="14">
        <v>5.0540000000000003</v>
      </c>
      <c r="AG927" s="133"/>
      <c r="AI927" s="96"/>
      <c r="AL927" s="64">
        <v>4.1718358833333333</v>
      </c>
      <c r="AM927" s="56">
        <v>14.460000000000051</v>
      </c>
      <c r="AN927" s="56">
        <v>16.38000000000002</v>
      </c>
      <c r="AO927" s="62">
        <v>22.56</v>
      </c>
      <c r="AQ927" s="64">
        <v>4.0818671833333333</v>
      </c>
      <c r="AR927" s="56">
        <v>14.19999999999995</v>
      </c>
      <c r="AS927" s="56">
        <v>15.60000000000006</v>
      </c>
      <c r="AT927" s="62">
        <v>19.739999999999998</v>
      </c>
      <c r="AV927" s="64">
        <v>3.7279346833333329</v>
      </c>
      <c r="AW927" s="56">
        <v>13.920000000000069</v>
      </c>
      <c r="AX927" s="56">
        <v>15.32</v>
      </c>
      <c r="AY927" s="62">
        <v>20.12</v>
      </c>
      <c r="BA927" s="64">
        <v>3.1827249499999999</v>
      </c>
      <c r="BB927" s="56">
        <v>17.499999999999979</v>
      </c>
      <c r="BC927" s="56">
        <v>20.07999999999992</v>
      </c>
      <c r="BD927" s="62">
        <v>32.459999999999937</v>
      </c>
      <c r="BF927" s="64">
        <v>2.950544583333333</v>
      </c>
      <c r="BG927" s="56">
        <v>21.13999999999994</v>
      </c>
      <c r="BH927" s="56">
        <v>28.399999999999981</v>
      </c>
      <c r="BI927" s="62">
        <v>57.519999999999968</v>
      </c>
      <c r="BJ927" s="70"/>
      <c r="BK927" s="51"/>
    </row>
    <row r="928" spans="1:63" ht="17.25" customHeight="1" thickBot="1" x14ac:dyDescent="0.45">
      <c r="A928" s="16" t="s">
        <v>1005</v>
      </c>
      <c r="B928" s="4"/>
      <c r="C928" s="4"/>
      <c r="D928" s="4"/>
      <c r="E928" s="12"/>
      <c r="G928" s="147" t="s">
        <v>1005</v>
      </c>
      <c r="H928" s="159">
        <v>70.087999999999994</v>
      </c>
      <c r="I928" s="153">
        <v>70.38</v>
      </c>
      <c r="J928" s="153">
        <v>70.39</v>
      </c>
      <c r="K928" s="153">
        <v>70.28</v>
      </c>
      <c r="L928" s="153">
        <v>70.39</v>
      </c>
      <c r="M928" s="80">
        <f t="shared" si="28"/>
        <v>70.39</v>
      </c>
      <c r="N928" s="80">
        <f t="shared" si="29"/>
        <v>70.28</v>
      </c>
      <c r="O928" s="153">
        <v>21.21</v>
      </c>
      <c r="P928" s="153">
        <v>21.15</v>
      </c>
      <c r="Q928" s="153">
        <v>21.16</v>
      </c>
      <c r="R928" s="153">
        <v>21.09</v>
      </c>
      <c r="S928" s="4"/>
      <c r="U928" s="147" t="s">
        <v>1005</v>
      </c>
      <c r="V928" s="11"/>
      <c r="W928" s="4"/>
      <c r="X928" s="12"/>
      <c r="Y928" s="14"/>
      <c r="Z928" s="4"/>
      <c r="AA928" s="13"/>
      <c r="AB928" s="11"/>
      <c r="AC928" s="4"/>
      <c r="AD928" s="12"/>
      <c r="AE928" s="13"/>
      <c r="AF928" s="14">
        <v>5.0353000000000003</v>
      </c>
      <c r="AG928" s="133"/>
      <c r="AI928" s="96"/>
      <c r="AL928" s="64">
        <v>4.1721916333333331</v>
      </c>
      <c r="AM928" s="56">
        <v>13.959999999999971</v>
      </c>
      <c r="AN928" s="56">
        <v>15.88000000000012</v>
      </c>
      <c r="AO928" s="62">
        <v>22.060000000000102</v>
      </c>
      <c r="AQ928" s="64">
        <v>4.0825858833333326</v>
      </c>
      <c r="AR928" s="56">
        <v>13.72</v>
      </c>
      <c r="AS928" s="56">
        <v>15.09999999999998</v>
      </c>
      <c r="AT928" s="62">
        <v>19.200000000000021</v>
      </c>
      <c r="AV928" s="64">
        <v>3.72906995</v>
      </c>
      <c r="AW928" s="56">
        <v>13.34</v>
      </c>
      <c r="AX928" s="56">
        <v>14.739999999999929</v>
      </c>
      <c r="AY928" s="62">
        <v>19.45999999999994</v>
      </c>
      <c r="BA928" s="64">
        <v>3.1912182166666669</v>
      </c>
      <c r="BB928" s="56">
        <v>16.699999999999982</v>
      </c>
      <c r="BC928" s="56">
        <v>19.160000000000021</v>
      </c>
      <c r="BD928" s="62">
        <v>31.079999999999949</v>
      </c>
      <c r="BF928" s="64">
        <v>2.9582974166666669</v>
      </c>
      <c r="BG928" s="56">
        <v>20.340000000000021</v>
      </c>
      <c r="BH928" s="56">
        <v>27.36000000000001</v>
      </c>
      <c r="BI928" s="62">
        <v>55.540000000000063</v>
      </c>
      <c r="BJ928" s="70"/>
      <c r="BK928" s="51"/>
    </row>
    <row r="929" spans="1:63" ht="17.25" customHeight="1" thickBot="1" x14ac:dyDescent="0.45">
      <c r="A929" s="16" t="s">
        <v>1006</v>
      </c>
      <c r="B929" s="4"/>
      <c r="C929" s="4"/>
      <c r="D929" s="4"/>
      <c r="E929" s="12"/>
      <c r="G929" s="147" t="s">
        <v>1006</v>
      </c>
      <c r="H929" s="159">
        <v>70.037000000000006</v>
      </c>
      <c r="I929" s="153">
        <v>70.34</v>
      </c>
      <c r="J929" s="153">
        <v>70.31</v>
      </c>
      <c r="K929" s="153">
        <v>70.28</v>
      </c>
      <c r="L929" s="153">
        <v>70.34</v>
      </c>
      <c r="M929" s="80">
        <f t="shared" si="28"/>
        <v>70.34</v>
      </c>
      <c r="N929" s="80">
        <f t="shared" si="29"/>
        <v>70.28</v>
      </c>
      <c r="O929" s="153">
        <v>21.17</v>
      </c>
      <c r="P929" s="153">
        <v>21.07</v>
      </c>
      <c r="Q929" s="153">
        <v>21.13</v>
      </c>
      <c r="R929" s="153">
        <v>21.12</v>
      </c>
      <c r="S929" s="4"/>
      <c r="U929" s="147" t="s">
        <v>1006</v>
      </c>
      <c r="V929" s="11"/>
      <c r="W929" s="4"/>
      <c r="X929" s="12"/>
      <c r="Y929" s="14"/>
      <c r="Z929" s="4"/>
      <c r="AA929" s="13"/>
      <c r="AB929" s="11"/>
      <c r="AC929" s="4"/>
      <c r="AD929" s="12"/>
      <c r="AE929" s="13"/>
      <c r="AF929" s="14">
        <v>5.0265000000000004</v>
      </c>
      <c r="AG929" s="133"/>
      <c r="AI929" s="96"/>
      <c r="AL929" s="64">
        <v>4.1716889166666666</v>
      </c>
      <c r="AM929" s="56">
        <v>14.41999999999997</v>
      </c>
      <c r="AN929" s="56">
        <v>16.359999999999889</v>
      </c>
      <c r="AO929" s="62">
        <v>22.579999999999959</v>
      </c>
      <c r="AQ929" s="64">
        <v>4.0832825166666673</v>
      </c>
      <c r="AR929" s="56">
        <v>14.26000000000016</v>
      </c>
      <c r="AS929" s="56">
        <v>15.680000000000049</v>
      </c>
      <c r="AT929" s="62">
        <v>19.860000000000081</v>
      </c>
      <c r="AV929" s="64">
        <v>3.7303509500000001</v>
      </c>
      <c r="AW929" s="56">
        <v>13.879999999999979</v>
      </c>
      <c r="AX929" s="56">
        <v>15.32</v>
      </c>
      <c r="AY929" s="62">
        <v>20.139999999999961</v>
      </c>
      <c r="BA929" s="64">
        <v>3.189520166666667</v>
      </c>
      <c r="BB929" s="56">
        <v>17.060000000000031</v>
      </c>
      <c r="BC929" s="56">
        <v>19.559999999999981</v>
      </c>
      <c r="BD929" s="62">
        <v>31.71999999999997</v>
      </c>
      <c r="BF929" s="64">
        <v>2.9615242166666671</v>
      </c>
      <c r="BG929" s="56">
        <v>20.58</v>
      </c>
      <c r="BH929" s="56">
        <v>27.540000000000031</v>
      </c>
      <c r="BI929" s="62">
        <v>55.539999999999957</v>
      </c>
      <c r="BJ929" s="70"/>
      <c r="BK929" s="51"/>
    </row>
    <row r="930" spans="1:63" ht="17.25" customHeight="1" thickBot="1" x14ac:dyDescent="0.45">
      <c r="A930" s="16" t="s">
        <v>1007</v>
      </c>
      <c r="B930" s="4"/>
      <c r="C930" s="4"/>
      <c r="D930" s="4"/>
      <c r="E930" s="12"/>
      <c r="G930" s="147" t="s">
        <v>1007</v>
      </c>
      <c r="H930" s="159">
        <v>70.034999999999997</v>
      </c>
      <c r="I930" s="153">
        <v>70.37</v>
      </c>
      <c r="J930" s="153">
        <v>70.36</v>
      </c>
      <c r="K930" s="153">
        <v>70.28</v>
      </c>
      <c r="L930" s="153">
        <v>70.28</v>
      </c>
      <c r="M930" s="80">
        <f t="shared" si="28"/>
        <v>70.37</v>
      </c>
      <c r="N930" s="80">
        <f t="shared" si="29"/>
        <v>70.28</v>
      </c>
      <c r="O930" s="153">
        <v>21.11</v>
      </c>
      <c r="P930" s="153">
        <v>21.14</v>
      </c>
      <c r="Q930" s="153">
        <v>21.12</v>
      </c>
      <c r="R930" s="153">
        <v>21.1</v>
      </c>
      <c r="S930" s="4"/>
      <c r="U930" s="147" t="s">
        <v>1007</v>
      </c>
      <c r="V930" s="11"/>
      <c r="W930" s="4"/>
      <c r="X930" s="12"/>
      <c r="Y930" s="14"/>
      <c r="Z930" s="4"/>
      <c r="AA930" s="13"/>
      <c r="AB930" s="11"/>
      <c r="AC930" s="4"/>
      <c r="AD930" s="12"/>
      <c r="AE930" s="13"/>
      <c r="AF930" s="14">
        <v>5.0225999999999997</v>
      </c>
      <c r="AG930" s="133"/>
      <c r="AI930" s="84"/>
      <c r="AL930" s="64">
        <v>4.1717812500000004</v>
      </c>
      <c r="AM930" s="56">
        <v>14.63999999999999</v>
      </c>
      <c r="AN930" s="56">
        <v>16.600000000000041</v>
      </c>
      <c r="AO930" s="62">
        <v>22.780000000000019</v>
      </c>
      <c r="AQ930" s="64">
        <v>4.0826999666666666</v>
      </c>
      <c r="AR930" s="56">
        <v>14.380000000000059</v>
      </c>
      <c r="AS930" s="56">
        <v>15.82000000000008</v>
      </c>
      <c r="AT930" s="62">
        <v>20.019999999999971</v>
      </c>
      <c r="AV930" s="64">
        <v>3.729122666666667</v>
      </c>
      <c r="AW930" s="56">
        <v>14.00000000000006</v>
      </c>
      <c r="AX930" s="56">
        <v>15.439999999999991</v>
      </c>
      <c r="AY930" s="62">
        <v>20.26000000000003</v>
      </c>
      <c r="BA930" s="64">
        <v>3.18458855</v>
      </c>
      <c r="BB930" s="56">
        <v>17.559999999999931</v>
      </c>
      <c r="BC930" s="56">
        <v>20.12</v>
      </c>
      <c r="BD930" s="62">
        <v>32.499999999999929</v>
      </c>
      <c r="BF930" s="64">
        <v>2.95572335</v>
      </c>
      <c r="BG930" s="56">
        <v>21.079999999999991</v>
      </c>
      <c r="BH930" s="56">
        <v>28.160000000000011</v>
      </c>
      <c r="BI930" s="62">
        <v>56.640000000000057</v>
      </c>
      <c r="BJ930" s="69"/>
      <c r="BK930" s="51"/>
    </row>
    <row r="931" spans="1:63" ht="17.25" customHeight="1" thickBot="1" x14ac:dyDescent="0.45">
      <c r="A931" s="16" t="s">
        <v>1008</v>
      </c>
      <c r="B931" s="4"/>
      <c r="C931" s="4"/>
      <c r="D931" s="4"/>
      <c r="E931" s="12"/>
      <c r="G931" s="147" t="s">
        <v>1008</v>
      </c>
      <c r="H931" s="159">
        <v>69.968999999999994</v>
      </c>
      <c r="I931" s="153">
        <v>70.319999999999993</v>
      </c>
      <c r="J931" s="153">
        <v>70.31</v>
      </c>
      <c r="K931" s="153">
        <v>70.3</v>
      </c>
      <c r="L931" s="153">
        <v>70.31</v>
      </c>
      <c r="M931" s="80">
        <f t="shared" si="28"/>
        <v>70.319999999999993</v>
      </c>
      <c r="N931" s="80">
        <f t="shared" si="29"/>
        <v>70.3</v>
      </c>
      <c r="O931" s="153">
        <v>21.22</v>
      </c>
      <c r="P931" s="153">
        <v>21.1</v>
      </c>
      <c r="Q931" s="153">
        <v>21.16</v>
      </c>
      <c r="R931" s="153">
        <v>21.06</v>
      </c>
      <c r="S931" s="4"/>
      <c r="U931" s="147" t="s">
        <v>1008</v>
      </c>
      <c r="V931" s="11"/>
      <c r="W931" s="4"/>
      <c r="X931" s="12"/>
      <c r="Y931" s="14"/>
      <c r="Z931" s="4"/>
      <c r="AA931" s="13"/>
      <c r="AB931" s="11"/>
      <c r="AC931" s="4"/>
      <c r="AD931" s="12"/>
      <c r="AE931" s="13"/>
      <c r="AF931" s="14">
        <v>5.0263999999999998</v>
      </c>
      <c r="AG931" s="133"/>
      <c r="AI931" s="96"/>
      <c r="AL931" s="64">
        <v>4.1716706666666674</v>
      </c>
      <c r="AM931" s="56">
        <v>15.13999999999989</v>
      </c>
      <c r="AN931" s="56">
        <v>17.119999999999891</v>
      </c>
      <c r="AO931" s="62">
        <v>23.339999999999961</v>
      </c>
      <c r="AQ931" s="64">
        <v>4.0809803833333342</v>
      </c>
      <c r="AR931" s="56">
        <v>14.56</v>
      </c>
      <c r="AS931" s="56">
        <v>16.020000000000149</v>
      </c>
      <c r="AT931" s="62">
        <v>20.220000000000041</v>
      </c>
      <c r="AV931" s="64">
        <v>3.7268724666666659</v>
      </c>
      <c r="AW931" s="56">
        <v>14.599999999999991</v>
      </c>
      <c r="AX931" s="56">
        <v>16.080000000000009</v>
      </c>
      <c r="AY931" s="62">
        <v>21.01999999999995</v>
      </c>
      <c r="BA931" s="64">
        <v>3.1803340333333332</v>
      </c>
      <c r="BB931" s="56">
        <v>17.820000000000039</v>
      </c>
      <c r="BC931" s="56">
        <v>20.440000000000062</v>
      </c>
      <c r="BD931" s="62">
        <v>32.960000000000008</v>
      </c>
      <c r="BF931" s="64">
        <v>2.9531373333333328</v>
      </c>
      <c r="BG931" s="56">
        <v>21.35999999999996</v>
      </c>
      <c r="BH931" s="56">
        <v>28.819999999999979</v>
      </c>
      <c r="BI931" s="62">
        <v>57.739999999999988</v>
      </c>
      <c r="BJ931" s="70"/>
      <c r="BK931" s="51"/>
    </row>
    <row r="932" spans="1:63" ht="17.25" customHeight="1" thickBot="1" x14ac:dyDescent="0.45">
      <c r="A932" s="16" t="s">
        <v>1009</v>
      </c>
      <c r="B932" s="4"/>
      <c r="C932" s="4"/>
      <c r="D932" s="4"/>
      <c r="E932" s="12"/>
      <c r="G932" s="147" t="s">
        <v>1009</v>
      </c>
      <c r="H932" s="159">
        <v>69.962000000000003</v>
      </c>
      <c r="I932" s="153">
        <v>70.37</v>
      </c>
      <c r="J932" s="153">
        <v>70.39</v>
      </c>
      <c r="K932" s="153">
        <v>70.319999999999993</v>
      </c>
      <c r="L932" s="153">
        <v>70.39</v>
      </c>
      <c r="M932" s="80">
        <f t="shared" si="28"/>
        <v>70.39</v>
      </c>
      <c r="N932" s="80">
        <f t="shared" si="29"/>
        <v>70.319999999999993</v>
      </c>
      <c r="O932" s="153">
        <v>21.21</v>
      </c>
      <c r="P932" s="153">
        <v>21.15</v>
      </c>
      <c r="Q932" s="153">
        <v>21.15</v>
      </c>
      <c r="R932" s="153">
        <v>21.09</v>
      </c>
      <c r="S932" s="4"/>
      <c r="U932" s="147" t="s">
        <v>1009</v>
      </c>
      <c r="V932" s="11"/>
      <c r="W932" s="4"/>
      <c r="X932" s="12"/>
      <c r="Y932" s="14"/>
      <c r="Z932" s="4"/>
      <c r="AA932" s="13"/>
      <c r="AB932" s="11"/>
      <c r="AC932" s="4"/>
      <c r="AD932" s="12"/>
      <c r="AE932" s="13"/>
      <c r="AF932" s="14">
        <v>5.0377000000000001</v>
      </c>
      <c r="AG932" s="133"/>
      <c r="AI932" s="84"/>
      <c r="AL932" s="64">
        <v>4.1714017666666674</v>
      </c>
      <c r="AM932" s="56">
        <v>14.41999999999997</v>
      </c>
      <c r="AN932" s="56">
        <v>16.38000000000002</v>
      </c>
      <c r="AO932" s="62">
        <v>22.540000000000049</v>
      </c>
      <c r="AQ932" s="64">
        <v>4.081639383333334</v>
      </c>
      <c r="AR932" s="56">
        <v>14.24000000000003</v>
      </c>
      <c r="AS932" s="56">
        <v>15.680000000000049</v>
      </c>
      <c r="AT932" s="62">
        <v>19.83999999999995</v>
      </c>
      <c r="AV932" s="64">
        <v>3.72787135</v>
      </c>
      <c r="AW932" s="56">
        <v>13.88000000000007</v>
      </c>
      <c r="AX932" s="56">
        <v>15.32</v>
      </c>
      <c r="AY932" s="62">
        <v>20.16</v>
      </c>
      <c r="BA932" s="64">
        <v>3.1817353833333328</v>
      </c>
      <c r="BB932" s="56">
        <v>16.779999999999969</v>
      </c>
      <c r="BC932" s="56">
        <v>19.32</v>
      </c>
      <c r="BD932" s="62">
        <v>31.639999999999979</v>
      </c>
      <c r="BF932" s="64">
        <v>2.9538956833333341</v>
      </c>
      <c r="BG932" s="56">
        <v>20.420000000000019</v>
      </c>
      <c r="BH932" s="56">
        <v>27.600000000000069</v>
      </c>
      <c r="BI932" s="62">
        <v>56.460000000000043</v>
      </c>
      <c r="BJ932" s="69"/>
      <c r="BK932" s="51"/>
    </row>
    <row r="933" spans="1:63" ht="17.25" customHeight="1" thickBot="1" x14ac:dyDescent="0.45">
      <c r="A933" s="16" t="s">
        <v>1010</v>
      </c>
      <c r="B933" s="4"/>
      <c r="C933" s="4"/>
      <c r="D933" s="4"/>
      <c r="E933" s="12"/>
      <c r="G933" s="147" t="s">
        <v>1010</v>
      </c>
      <c r="H933" s="159">
        <v>70.108000000000004</v>
      </c>
      <c r="I933" s="153">
        <v>70.31</v>
      </c>
      <c r="J933" s="153">
        <v>70.33</v>
      </c>
      <c r="K933" s="153">
        <v>70.3</v>
      </c>
      <c r="L933" s="153">
        <v>70.349999999999994</v>
      </c>
      <c r="M933" s="80">
        <f t="shared" si="28"/>
        <v>70.349999999999994</v>
      </c>
      <c r="N933" s="80">
        <f t="shared" si="29"/>
        <v>70.3</v>
      </c>
      <c r="O933" s="153">
        <v>21.17</v>
      </c>
      <c r="P933" s="153">
        <v>21.12</v>
      </c>
      <c r="Q933" s="153">
        <v>21.11</v>
      </c>
      <c r="R933" s="153">
        <v>21.07</v>
      </c>
      <c r="S933" s="4"/>
      <c r="U933" s="147" t="s">
        <v>1010</v>
      </c>
      <c r="V933" s="11"/>
      <c r="W933" s="4"/>
      <c r="X933" s="12"/>
      <c r="Y933" s="14"/>
      <c r="Z933" s="4"/>
      <c r="AA933" s="13"/>
      <c r="AB933" s="11"/>
      <c r="AC933" s="4"/>
      <c r="AD933" s="12"/>
      <c r="AE933" s="13"/>
      <c r="AF933" s="14">
        <v>5.0369000000000002</v>
      </c>
      <c r="AG933" s="133"/>
      <c r="AI933" s="84"/>
      <c r="AL933" s="64">
        <v>4.171457133333333</v>
      </c>
      <c r="AM933" s="56">
        <v>14.280000000000109</v>
      </c>
      <c r="AN933" s="56">
        <v>16.180000000000131</v>
      </c>
      <c r="AO933" s="62">
        <v>22.339999999999979</v>
      </c>
      <c r="AQ933" s="64">
        <v>4.0802121499999986</v>
      </c>
      <c r="AR933" s="56">
        <v>13.59999999999992</v>
      </c>
      <c r="AS933" s="56">
        <v>14.979999999999899</v>
      </c>
      <c r="AT933" s="62">
        <v>19.039999999999949</v>
      </c>
      <c r="AV933" s="64">
        <v>3.72651435</v>
      </c>
      <c r="AW933" s="56">
        <v>13.18000000000001</v>
      </c>
      <c r="AX933" s="56">
        <v>14.57999999999995</v>
      </c>
      <c r="AY933" s="62">
        <v>19.32</v>
      </c>
      <c r="BA933" s="64">
        <v>3.1840033499999998</v>
      </c>
      <c r="BB933" s="56">
        <v>16.359999999999971</v>
      </c>
      <c r="BC933" s="56">
        <v>18.839999999999971</v>
      </c>
      <c r="BD933" s="62">
        <v>30.91999999999997</v>
      </c>
      <c r="BF933" s="64">
        <v>2.952521383333333</v>
      </c>
      <c r="BG933" s="56">
        <v>20.000000000000021</v>
      </c>
      <c r="BH933" s="56">
        <v>27.200000000000021</v>
      </c>
      <c r="BI933" s="62">
        <v>55.879999999999967</v>
      </c>
      <c r="BJ933" s="69"/>
      <c r="BK933" s="51"/>
    </row>
    <row r="934" spans="1:63" ht="17.25" customHeight="1" thickBot="1" x14ac:dyDescent="0.45">
      <c r="A934" s="16" t="s">
        <v>1011</v>
      </c>
      <c r="B934" s="4"/>
      <c r="C934" s="4"/>
      <c r="D934" s="4"/>
      <c r="E934" s="12"/>
      <c r="G934" s="147" t="s">
        <v>1011</v>
      </c>
      <c r="H934" s="159">
        <v>70.129000000000005</v>
      </c>
      <c r="I934" s="153">
        <v>70.400000000000006</v>
      </c>
      <c r="J934" s="153">
        <v>70.349999999999994</v>
      </c>
      <c r="K934" s="153">
        <v>70.319999999999993</v>
      </c>
      <c r="L934" s="153">
        <v>70.349999999999994</v>
      </c>
      <c r="M934" s="80">
        <f t="shared" si="28"/>
        <v>70.400000000000006</v>
      </c>
      <c r="N934" s="80">
        <f t="shared" si="29"/>
        <v>70.319999999999993</v>
      </c>
      <c r="O934" s="153">
        <v>21.16</v>
      </c>
      <c r="P934" s="153">
        <v>21.02</v>
      </c>
      <c r="Q934" s="153">
        <v>21.14</v>
      </c>
      <c r="R934" s="153">
        <v>21.08</v>
      </c>
      <c r="S934" s="4"/>
      <c r="U934" s="147" t="s">
        <v>1011</v>
      </c>
      <c r="V934" s="11"/>
      <c r="W934" s="4"/>
      <c r="X934" s="12"/>
      <c r="Y934" s="14"/>
      <c r="Z934" s="4"/>
      <c r="AA934" s="13"/>
      <c r="AB934" s="11"/>
      <c r="AC934" s="4"/>
      <c r="AD934" s="12"/>
      <c r="AE934" s="13"/>
      <c r="AF934" s="14">
        <v>5.0385</v>
      </c>
      <c r="AG934" s="133"/>
      <c r="AI934" s="84"/>
      <c r="AL934" s="64">
        <v>4.1716674666666664</v>
      </c>
      <c r="AM934" s="56">
        <v>13.979999999999929</v>
      </c>
      <c r="AN934" s="56">
        <v>15.87999999999994</v>
      </c>
      <c r="AO934" s="62">
        <v>22.020000000000021</v>
      </c>
      <c r="AQ934" s="64">
        <v>4.0818251000000014</v>
      </c>
      <c r="AR934" s="56">
        <v>13.57999999999997</v>
      </c>
      <c r="AS934" s="56">
        <v>14.959999999999949</v>
      </c>
      <c r="AT934" s="62">
        <v>19.019999999999989</v>
      </c>
      <c r="AV934" s="64">
        <v>3.7285719166666671</v>
      </c>
      <c r="AW934" s="56">
        <v>13.15999999999997</v>
      </c>
      <c r="AX934" s="56">
        <v>14.539999999999949</v>
      </c>
      <c r="AY934" s="62">
        <v>19.25999999999997</v>
      </c>
      <c r="BA934" s="64">
        <v>3.186869033333334</v>
      </c>
      <c r="BB934" s="56">
        <v>16.300000000000029</v>
      </c>
      <c r="BC934" s="56">
        <v>18.75999999999998</v>
      </c>
      <c r="BD934" s="62">
        <v>30.820000000000029</v>
      </c>
      <c r="BF934" s="64">
        <v>2.953234966666666</v>
      </c>
      <c r="BG934" s="56">
        <v>20.04000000000001</v>
      </c>
      <c r="BH934" s="56">
        <v>27.320000000000011</v>
      </c>
      <c r="BI934" s="62">
        <v>56.360000000000007</v>
      </c>
      <c r="BJ934" s="69"/>
      <c r="BK934" s="51"/>
    </row>
    <row r="935" spans="1:63" ht="17.25" customHeight="1" thickBot="1" x14ac:dyDescent="0.45">
      <c r="A935" s="16" t="s">
        <v>1012</v>
      </c>
      <c r="B935" s="4"/>
      <c r="C935" s="4"/>
      <c r="D935" s="4"/>
      <c r="E935" s="12"/>
      <c r="G935" s="147" t="s">
        <v>1012</v>
      </c>
      <c r="H935" s="159">
        <v>70.108999999999995</v>
      </c>
      <c r="I935" s="153">
        <v>70.290000000000006</v>
      </c>
      <c r="J935" s="153">
        <v>70.39</v>
      </c>
      <c r="K935" s="153">
        <v>70.34</v>
      </c>
      <c r="L935" s="153">
        <v>70.33</v>
      </c>
      <c r="M935" s="80">
        <f t="shared" si="28"/>
        <v>70.39</v>
      </c>
      <c r="N935" s="80">
        <f t="shared" si="29"/>
        <v>70.290000000000006</v>
      </c>
      <c r="O935" s="153">
        <v>21.12</v>
      </c>
      <c r="P935" s="153">
        <v>21.06</v>
      </c>
      <c r="Q935" s="153">
        <v>21.14</v>
      </c>
      <c r="R935" s="153">
        <v>21.08</v>
      </c>
      <c r="S935" s="4"/>
      <c r="U935" s="147" t="s">
        <v>1012</v>
      </c>
      <c r="V935" s="11"/>
      <c r="W935" s="4"/>
      <c r="X935" s="12"/>
      <c r="Y935" s="14"/>
      <c r="Z935" s="4"/>
      <c r="AA935" s="13"/>
      <c r="AB935" s="11"/>
      <c r="AC935" s="4"/>
      <c r="AD935" s="12"/>
      <c r="AE935" s="13"/>
      <c r="AF935" s="14">
        <v>5.0430000000000001</v>
      </c>
      <c r="AG935" s="133"/>
      <c r="AI935" s="96"/>
      <c r="AL935" s="64">
        <v>4.1724450166666669</v>
      </c>
      <c r="AM935" s="56">
        <v>14.32000000000002</v>
      </c>
      <c r="AN935" s="56">
        <v>16.259999999999941</v>
      </c>
      <c r="AO935" s="62">
        <v>22.41999999999997</v>
      </c>
      <c r="AQ935" s="64">
        <v>4.080783349999999</v>
      </c>
      <c r="AR935" s="56">
        <v>13.76000000000008</v>
      </c>
      <c r="AS935" s="56">
        <v>15.16000000000002</v>
      </c>
      <c r="AT935" s="62">
        <v>19.25999999999997</v>
      </c>
      <c r="AV935" s="64">
        <v>3.7278239333333332</v>
      </c>
      <c r="AW935" s="56">
        <v>13.36000000000004</v>
      </c>
      <c r="AX935" s="56">
        <v>14.74000000000002</v>
      </c>
      <c r="AY935" s="62">
        <v>19.460000000000029</v>
      </c>
      <c r="BA935" s="64">
        <v>3.1874596666666668</v>
      </c>
      <c r="BB935" s="56">
        <v>16.38000000000002</v>
      </c>
      <c r="BC935" s="56">
        <v>18.820000000000011</v>
      </c>
      <c r="BD935" s="62">
        <v>30.840000000000071</v>
      </c>
      <c r="BF935" s="64">
        <v>2.9587164833333341</v>
      </c>
      <c r="BG935" s="56">
        <v>19.799999999999951</v>
      </c>
      <c r="BH935" s="56">
        <v>26.65999999999995</v>
      </c>
      <c r="BI935" s="62">
        <v>54.559999999999953</v>
      </c>
      <c r="BJ935" s="70"/>
      <c r="BK935" s="51"/>
    </row>
    <row r="936" spans="1:63" ht="17.25" customHeight="1" thickBot="1" x14ac:dyDescent="0.45">
      <c r="A936" s="16" t="s">
        <v>1013</v>
      </c>
      <c r="B936" s="4"/>
      <c r="C936" s="4"/>
      <c r="D936" s="4"/>
      <c r="E936" s="12"/>
      <c r="G936" s="147" t="s">
        <v>1013</v>
      </c>
      <c r="H936" s="159">
        <v>70.013000000000005</v>
      </c>
      <c r="I936" s="153">
        <v>70.349999999999994</v>
      </c>
      <c r="J936" s="153">
        <v>70.349999999999994</v>
      </c>
      <c r="K936" s="153">
        <v>70.28</v>
      </c>
      <c r="L936" s="153">
        <v>70.36</v>
      </c>
      <c r="M936" s="80">
        <f t="shared" si="28"/>
        <v>70.36</v>
      </c>
      <c r="N936" s="80">
        <f t="shared" si="29"/>
        <v>70.28</v>
      </c>
      <c r="O936" s="153">
        <v>21.19</v>
      </c>
      <c r="P936" s="153">
        <v>21.14</v>
      </c>
      <c r="Q936" s="153">
        <v>21.16</v>
      </c>
      <c r="R936" s="153">
        <v>21.01</v>
      </c>
      <c r="S936" s="4"/>
      <c r="U936" s="147" t="s">
        <v>1013</v>
      </c>
      <c r="V936" s="11"/>
      <c r="W936" s="4"/>
      <c r="X936" s="12"/>
      <c r="Y936" s="14"/>
      <c r="Z936" s="4"/>
      <c r="AA936" s="13"/>
      <c r="AB936" s="11"/>
      <c r="AC936" s="4"/>
      <c r="AD936" s="12"/>
      <c r="AE936" s="13"/>
      <c r="AF936" s="14">
        <v>5.0263</v>
      </c>
      <c r="AG936" s="133"/>
      <c r="AI936" s="96"/>
      <c r="AL936" s="64">
        <v>4.1718405833333332</v>
      </c>
      <c r="AM936" s="56">
        <v>14.30000000000007</v>
      </c>
      <c r="AN936" s="56">
        <v>16.220000000000031</v>
      </c>
      <c r="AO936" s="62">
        <v>22.40000000000002</v>
      </c>
      <c r="AQ936" s="64">
        <v>4.080562333333333</v>
      </c>
      <c r="AR936" s="56">
        <v>13.779999999999861</v>
      </c>
      <c r="AS936" s="56">
        <v>15.15999999999984</v>
      </c>
      <c r="AT936" s="62">
        <v>19.279999999999919</v>
      </c>
      <c r="AV936" s="64">
        <v>3.726834016666666</v>
      </c>
      <c r="AW936" s="56">
        <v>13.419999999999989</v>
      </c>
      <c r="AX936" s="56">
        <v>14.800000000000059</v>
      </c>
      <c r="AY936" s="62">
        <v>19.559999999999981</v>
      </c>
      <c r="BA936" s="64">
        <v>3.1876786666666672</v>
      </c>
      <c r="BB936" s="56">
        <v>16.72000000000002</v>
      </c>
      <c r="BC936" s="56">
        <v>19.18000000000006</v>
      </c>
      <c r="BD936" s="62">
        <v>31.260000000000069</v>
      </c>
      <c r="BF936" s="64">
        <v>2.9653917166666659</v>
      </c>
      <c r="BG936" s="56">
        <v>20.100000000000051</v>
      </c>
      <c r="BH936" s="56">
        <v>26.920000000000051</v>
      </c>
      <c r="BI936" s="62">
        <v>54.220000000000027</v>
      </c>
      <c r="BJ936" s="70"/>
      <c r="BK936" s="51"/>
    </row>
    <row r="937" spans="1:63" ht="17.25" customHeight="1" thickBot="1" x14ac:dyDescent="0.45">
      <c r="A937" s="16" t="s">
        <v>1014</v>
      </c>
      <c r="B937" s="4"/>
      <c r="C937" s="4"/>
      <c r="D937" s="4"/>
      <c r="E937" s="12"/>
      <c r="G937" s="147" t="s">
        <v>1014</v>
      </c>
      <c r="H937" s="159">
        <v>70.105999999999995</v>
      </c>
      <c r="I937" s="153">
        <v>70.3</v>
      </c>
      <c r="J937" s="153">
        <v>70.36</v>
      </c>
      <c r="K937" s="153">
        <v>70.38</v>
      </c>
      <c r="L937" s="153">
        <v>70.37</v>
      </c>
      <c r="M937" s="80">
        <f t="shared" si="28"/>
        <v>70.38</v>
      </c>
      <c r="N937" s="80">
        <f t="shared" si="29"/>
        <v>70.3</v>
      </c>
      <c r="O937" s="153">
        <v>21.21</v>
      </c>
      <c r="P937" s="153">
        <v>21.09</v>
      </c>
      <c r="Q937" s="153">
        <v>21.14</v>
      </c>
      <c r="R937" s="153">
        <v>21.09</v>
      </c>
      <c r="S937" s="4"/>
      <c r="U937" s="147" t="s">
        <v>1014</v>
      </c>
      <c r="V937" s="11"/>
      <c r="W937" s="4"/>
      <c r="X937" s="12"/>
      <c r="Y937" s="14"/>
      <c r="Z937" s="4"/>
      <c r="AA937" s="13"/>
      <c r="AB937" s="11"/>
      <c r="AC937" s="4"/>
      <c r="AD937" s="12"/>
      <c r="AE937" s="13"/>
      <c r="AF937" s="14">
        <v>5.0244</v>
      </c>
      <c r="AG937" s="133"/>
      <c r="AI937" s="84"/>
      <c r="AL937" s="64">
        <v>4.171859033333333</v>
      </c>
      <c r="AM937" s="56">
        <v>14.220000000000081</v>
      </c>
      <c r="AN937" s="56">
        <v>16.14000000000004</v>
      </c>
      <c r="AO937" s="62">
        <v>22.320000000000029</v>
      </c>
      <c r="AQ937" s="64">
        <v>4.0808871499999997</v>
      </c>
      <c r="AR937" s="56">
        <v>13.78000000000004</v>
      </c>
      <c r="AS937" s="56">
        <v>15.17999999999997</v>
      </c>
      <c r="AT937" s="62">
        <v>19.279999999999919</v>
      </c>
      <c r="AV937" s="64">
        <v>3.7275839833333331</v>
      </c>
      <c r="AW937" s="56">
        <v>13.37999999999999</v>
      </c>
      <c r="AX937" s="56">
        <v>14.77999999999993</v>
      </c>
      <c r="AY937" s="62">
        <v>19.519999999999978</v>
      </c>
      <c r="BA937" s="64">
        <v>3.189430633333334</v>
      </c>
      <c r="BB937" s="56">
        <v>16.72000000000002</v>
      </c>
      <c r="BC937" s="56">
        <v>19.160000000000021</v>
      </c>
      <c r="BD937" s="62">
        <v>31.12000000000004</v>
      </c>
      <c r="BF937" s="64">
        <v>2.963002416666666</v>
      </c>
      <c r="BG937" s="56">
        <v>20.000000000000021</v>
      </c>
      <c r="BH937" s="56">
        <v>27.00000000000005</v>
      </c>
      <c r="BI937" s="62">
        <v>54.459999999999987</v>
      </c>
      <c r="BJ937" s="69"/>
      <c r="BK937" s="51"/>
    </row>
    <row r="938" spans="1:63" ht="17.25" customHeight="1" thickBot="1" x14ac:dyDescent="0.45">
      <c r="A938" s="16" t="s">
        <v>1015</v>
      </c>
      <c r="B938" s="4"/>
      <c r="C938" s="4"/>
      <c r="D938" s="4"/>
      <c r="E938" s="12"/>
      <c r="G938" s="147" t="s">
        <v>1015</v>
      </c>
      <c r="H938" s="159">
        <v>70.134</v>
      </c>
      <c r="I938" s="153">
        <v>70.34</v>
      </c>
      <c r="J938" s="153">
        <v>70.34</v>
      </c>
      <c r="K938" s="153">
        <v>70.290000000000006</v>
      </c>
      <c r="L938" s="153">
        <v>70.37</v>
      </c>
      <c r="M938" s="80">
        <f t="shared" si="28"/>
        <v>70.37</v>
      </c>
      <c r="N938" s="80">
        <f t="shared" si="29"/>
        <v>70.290000000000006</v>
      </c>
      <c r="O938" s="153">
        <v>21.2</v>
      </c>
      <c r="P938" s="153">
        <v>21.17</v>
      </c>
      <c r="Q938" s="153">
        <v>21.11</v>
      </c>
      <c r="R938" s="153">
        <v>20.99</v>
      </c>
      <c r="S938" s="4"/>
      <c r="U938" s="147" t="s">
        <v>1015</v>
      </c>
      <c r="V938" s="11"/>
      <c r="W938" s="4"/>
      <c r="X938" s="12"/>
      <c r="Y938" s="14"/>
      <c r="Z938" s="4"/>
      <c r="AA938" s="13"/>
      <c r="AB938" s="11"/>
      <c r="AC938" s="4"/>
      <c r="AD938" s="12"/>
      <c r="AE938" s="13"/>
      <c r="AF938" s="14">
        <v>5.0170000000000003</v>
      </c>
      <c r="AG938" s="133"/>
      <c r="AI938" s="84"/>
      <c r="AL938" s="64">
        <v>4.1723072666666674</v>
      </c>
      <c r="AM938" s="56">
        <v>14.32000000000002</v>
      </c>
      <c r="AN938" s="56">
        <v>16.220000000000031</v>
      </c>
      <c r="AO938" s="62">
        <v>22.41999999999997</v>
      </c>
      <c r="AQ938" s="64">
        <v>4.0809678500000013</v>
      </c>
      <c r="AR938" s="56">
        <v>13.800000000000169</v>
      </c>
      <c r="AS938" s="56">
        <v>15.200000000000101</v>
      </c>
      <c r="AT938" s="62">
        <v>19.320000000000089</v>
      </c>
      <c r="AV938" s="64">
        <v>3.727192183333333</v>
      </c>
      <c r="AW938" s="56">
        <v>13.439999999999941</v>
      </c>
      <c r="AX938" s="56">
        <v>14.799999999999971</v>
      </c>
      <c r="AY938" s="62">
        <v>19.579999999999931</v>
      </c>
      <c r="BA938" s="64">
        <v>3.1882572666666671</v>
      </c>
      <c r="BB938" s="56">
        <v>16.85999999999996</v>
      </c>
      <c r="BC938" s="56">
        <v>19.339999999999961</v>
      </c>
      <c r="BD938" s="62">
        <v>31.339999999999961</v>
      </c>
      <c r="BF938" s="64">
        <v>2.9593522000000001</v>
      </c>
      <c r="BG938" s="56">
        <v>20.16</v>
      </c>
      <c r="BH938" s="56">
        <v>27.22000000000007</v>
      </c>
      <c r="BI938" s="62">
        <v>54.92000000000008</v>
      </c>
      <c r="BJ938" s="69"/>
      <c r="BK938" s="57"/>
    </row>
    <row r="939" spans="1:63" ht="17.25" customHeight="1" thickBot="1" x14ac:dyDescent="0.45">
      <c r="A939" s="16" t="s">
        <v>1016</v>
      </c>
      <c r="B939" s="4"/>
      <c r="C939" s="4"/>
      <c r="D939" s="4"/>
      <c r="E939" s="12"/>
      <c r="G939" s="147" t="s">
        <v>1016</v>
      </c>
      <c r="H939" s="159">
        <v>69.909000000000006</v>
      </c>
      <c r="I939" s="153">
        <v>70.31</v>
      </c>
      <c r="J939" s="153">
        <v>70.33</v>
      </c>
      <c r="K939" s="153">
        <v>70.31</v>
      </c>
      <c r="L939" s="153">
        <v>70.290000000000006</v>
      </c>
      <c r="M939" s="80">
        <f t="shared" si="28"/>
        <v>70.33</v>
      </c>
      <c r="N939" s="80">
        <f t="shared" si="29"/>
        <v>70.290000000000006</v>
      </c>
      <c r="O939" s="153">
        <v>21.21</v>
      </c>
      <c r="P939" s="153">
        <v>21.05</v>
      </c>
      <c r="Q939" s="153">
        <v>21.14</v>
      </c>
      <c r="R939" s="153">
        <v>21.11</v>
      </c>
      <c r="S939" s="4"/>
      <c r="U939" s="147" t="s">
        <v>1016</v>
      </c>
      <c r="V939" s="11"/>
      <c r="W939" s="4"/>
      <c r="X939" s="12"/>
      <c r="Y939" s="14"/>
      <c r="Z939" s="4"/>
      <c r="AA939" s="13"/>
      <c r="AB939" s="11"/>
      <c r="AC939" s="4"/>
      <c r="AD939" s="12"/>
      <c r="AE939" s="13"/>
      <c r="AF939" s="14">
        <v>5.0324</v>
      </c>
      <c r="AG939" s="133"/>
      <c r="AI939" s="84"/>
      <c r="AL939" s="64">
        <v>4.1722507333333327</v>
      </c>
      <c r="AM939" s="56">
        <v>14.24000000000003</v>
      </c>
      <c r="AN939" s="56">
        <v>16.16</v>
      </c>
      <c r="AO939" s="62">
        <v>22.339999999999979</v>
      </c>
      <c r="AQ939" s="64">
        <v>4.0815056500000004</v>
      </c>
      <c r="AR939" s="56">
        <v>13.81999999999994</v>
      </c>
      <c r="AS939" s="56">
        <v>15.220000000000059</v>
      </c>
      <c r="AT939" s="62">
        <v>19.34000000000005</v>
      </c>
      <c r="AV939" s="64">
        <v>3.7287598499999999</v>
      </c>
      <c r="AW939" s="56">
        <v>13.400000000000031</v>
      </c>
      <c r="AX939" s="56">
        <v>14.800000000000059</v>
      </c>
      <c r="AY939" s="62">
        <v>19.54000000000002</v>
      </c>
      <c r="BA939" s="64">
        <v>3.1880408</v>
      </c>
      <c r="BB939" s="56">
        <v>16.420000000000009</v>
      </c>
      <c r="BC939" s="56">
        <v>18.86000000000001</v>
      </c>
      <c r="BD939" s="62">
        <v>30.839999999999979</v>
      </c>
      <c r="BF939" s="64">
        <v>2.9576920833333329</v>
      </c>
      <c r="BG939" s="56">
        <v>19.680000000000049</v>
      </c>
      <c r="BH939" s="56">
        <v>26.52000000000001</v>
      </c>
      <c r="BI939" s="62">
        <v>54.280000000000072</v>
      </c>
      <c r="BJ939" s="69"/>
      <c r="BK939" s="51"/>
    </row>
    <row r="940" spans="1:63" ht="17.25" customHeight="1" thickBot="1" x14ac:dyDescent="0.45">
      <c r="A940" s="16" t="s">
        <v>1017</v>
      </c>
      <c r="B940" s="4"/>
      <c r="C940" s="4"/>
      <c r="D940" s="4"/>
      <c r="E940" s="12"/>
      <c r="G940" s="147" t="s">
        <v>1017</v>
      </c>
      <c r="H940" s="159">
        <v>69.963999999999999</v>
      </c>
      <c r="I940" s="153">
        <v>70.349999999999994</v>
      </c>
      <c r="J940" s="153">
        <v>70.28</v>
      </c>
      <c r="K940" s="153">
        <v>70.37</v>
      </c>
      <c r="L940" s="153">
        <v>70.31</v>
      </c>
      <c r="M940" s="80">
        <f t="shared" si="28"/>
        <v>70.37</v>
      </c>
      <c r="N940" s="80">
        <f t="shared" si="29"/>
        <v>70.28</v>
      </c>
      <c r="O940" s="153">
        <v>21.22</v>
      </c>
      <c r="P940" s="153">
        <v>21.06</v>
      </c>
      <c r="Q940" s="153">
        <v>21.08</v>
      </c>
      <c r="R940" s="153">
        <v>21.06</v>
      </c>
      <c r="S940" s="4"/>
      <c r="U940" s="147" t="s">
        <v>1017</v>
      </c>
      <c r="V940" s="11"/>
      <c r="W940" s="4"/>
      <c r="X940" s="12"/>
      <c r="Y940" s="14"/>
      <c r="Z940" s="4"/>
      <c r="AA940" s="13"/>
      <c r="AB940" s="11"/>
      <c r="AC940" s="4"/>
      <c r="AD940" s="12"/>
      <c r="AE940" s="13"/>
      <c r="AF940" s="14">
        <v>5.0408999999999997</v>
      </c>
      <c r="AG940" s="133"/>
      <c r="AI940" s="96"/>
      <c r="AL940" s="64">
        <v>4.1720009833333336</v>
      </c>
      <c r="AM940" s="56">
        <v>15.000000000000041</v>
      </c>
      <c r="AN940" s="56">
        <v>16.999999999999989</v>
      </c>
      <c r="AO940" s="62">
        <v>23.25999999999997</v>
      </c>
      <c r="AQ940" s="64">
        <v>4.0828210499999997</v>
      </c>
      <c r="AR940" s="56">
        <v>14.58000000000013</v>
      </c>
      <c r="AS940" s="56">
        <v>16.040000000000099</v>
      </c>
      <c r="AT940" s="62">
        <v>20.260000000000119</v>
      </c>
      <c r="AV940" s="64">
        <v>3.7293764166666659</v>
      </c>
      <c r="AW940" s="56">
        <v>14.12000000000004</v>
      </c>
      <c r="AX940" s="56">
        <v>15.58000000000002</v>
      </c>
      <c r="AY940" s="62">
        <v>20.439999999999969</v>
      </c>
      <c r="BA940" s="64">
        <v>3.1850368833333329</v>
      </c>
      <c r="BB940" s="56">
        <v>17.34</v>
      </c>
      <c r="BC940" s="56">
        <v>19.92000000000003</v>
      </c>
      <c r="BD940" s="62">
        <v>32.260000000000048</v>
      </c>
      <c r="BF940" s="64">
        <v>2.9545931333333328</v>
      </c>
      <c r="BG940" s="56">
        <v>20.79999999999993</v>
      </c>
      <c r="BH940" s="56">
        <v>27.82</v>
      </c>
      <c r="BI940" s="62">
        <v>56.239999999999938</v>
      </c>
      <c r="BJ940" s="70"/>
      <c r="BK940" s="51"/>
    </row>
    <row r="941" spans="1:63" ht="17.25" customHeight="1" thickBot="1" x14ac:dyDescent="0.45">
      <c r="A941" s="16" t="s">
        <v>1018</v>
      </c>
      <c r="B941" s="17"/>
      <c r="C941" s="17"/>
      <c r="D941" s="17"/>
      <c r="E941" s="18"/>
      <c r="G941" s="147" t="s">
        <v>1018</v>
      </c>
      <c r="H941" s="159">
        <v>69.92</v>
      </c>
      <c r="I941" s="153">
        <v>70.27</v>
      </c>
      <c r="J941" s="153">
        <v>70.34</v>
      </c>
      <c r="K941" s="153">
        <v>70.28</v>
      </c>
      <c r="L941" s="153">
        <v>70.31</v>
      </c>
      <c r="M941" s="80">
        <f t="shared" si="28"/>
        <v>70.34</v>
      </c>
      <c r="N941" s="80">
        <f t="shared" si="29"/>
        <v>70.27</v>
      </c>
      <c r="O941" s="153">
        <v>21.11</v>
      </c>
      <c r="P941" s="153">
        <v>21.11</v>
      </c>
      <c r="Q941" s="153">
        <v>21.15</v>
      </c>
      <c r="R941" s="153">
        <v>21.08</v>
      </c>
      <c r="S941" s="4"/>
      <c r="U941" s="147" t="s">
        <v>1018</v>
      </c>
      <c r="V941" s="16"/>
      <c r="W941" s="17"/>
      <c r="X941" s="18"/>
      <c r="Y941" s="29"/>
      <c r="Z941" s="17"/>
      <c r="AA941" s="30"/>
      <c r="AB941" s="16"/>
      <c r="AC941" s="17"/>
      <c r="AD941" s="18"/>
      <c r="AE941" s="30"/>
      <c r="AF941" s="14">
        <v>5.0433000000000003</v>
      </c>
      <c r="AG941" s="133"/>
      <c r="AI941" s="84"/>
      <c r="AL941" s="64">
        <v>4.17181275</v>
      </c>
      <c r="AM941" s="56">
        <v>14.54000000000004</v>
      </c>
      <c r="AN941" s="56">
        <v>16.479999999999961</v>
      </c>
      <c r="AO941" s="62">
        <v>22.56</v>
      </c>
      <c r="AQ941" s="64">
        <v>4.0821260999999991</v>
      </c>
      <c r="AR941" s="56">
        <v>14.460000000000051</v>
      </c>
      <c r="AS941" s="56">
        <v>15.920000000000019</v>
      </c>
      <c r="AT941" s="62">
        <v>20.14000000000005</v>
      </c>
      <c r="AV941" s="64">
        <v>3.7280260833333339</v>
      </c>
      <c r="AW941" s="56">
        <v>13.940000000000021</v>
      </c>
      <c r="AX941" s="56">
        <v>15.36</v>
      </c>
      <c r="AY941" s="62">
        <v>20.17999999999995</v>
      </c>
      <c r="BA941" s="64">
        <v>3.180916316666667</v>
      </c>
      <c r="BB941" s="56">
        <v>16.760000000000019</v>
      </c>
      <c r="BC941" s="56">
        <v>19.299999999999962</v>
      </c>
      <c r="BD941" s="62">
        <v>31.660000000000021</v>
      </c>
      <c r="BF941" s="64">
        <v>2.9573453166666668</v>
      </c>
      <c r="BG941" s="56">
        <v>20.099999999999959</v>
      </c>
      <c r="BH941" s="56">
        <v>27.339999999999961</v>
      </c>
      <c r="BI941" s="62">
        <v>55.719999999999992</v>
      </c>
      <c r="BJ941" s="69"/>
      <c r="BK941" s="51"/>
    </row>
    <row r="942" spans="1:63" ht="17.25" customHeight="1" thickBot="1" x14ac:dyDescent="0.45">
      <c r="A942" s="16" t="s">
        <v>1019</v>
      </c>
      <c r="B942" s="4"/>
      <c r="C942" s="4"/>
      <c r="D942" s="4"/>
      <c r="E942" s="12"/>
      <c r="G942" s="147" t="s">
        <v>1019</v>
      </c>
      <c r="H942" s="159">
        <v>70.007000000000005</v>
      </c>
      <c r="I942" s="153">
        <v>70.36</v>
      </c>
      <c r="J942" s="153">
        <v>70.28</v>
      </c>
      <c r="K942" s="153">
        <v>70.38</v>
      </c>
      <c r="L942" s="153">
        <v>70.27</v>
      </c>
      <c r="M942" s="80">
        <f t="shared" si="28"/>
        <v>70.38</v>
      </c>
      <c r="N942" s="80">
        <f t="shared" si="29"/>
        <v>70.27</v>
      </c>
      <c r="O942" s="153">
        <v>21.14</v>
      </c>
      <c r="P942" s="153">
        <v>21.03</v>
      </c>
      <c r="Q942" s="153">
        <v>21.12</v>
      </c>
      <c r="R942" s="153">
        <v>21.11</v>
      </c>
      <c r="S942" s="4"/>
      <c r="U942" s="147" t="s">
        <v>1019</v>
      </c>
      <c r="V942" s="11"/>
      <c r="W942" s="4"/>
      <c r="X942" s="12"/>
      <c r="Y942" s="14"/>
      <c r="Z942" s="4"/>
      <c r="AA942" s="13"/>
      <c r="AB942" s="11"/>
      <c r="AC942" s="4"/>
      <c r="AD942" s="12"/>
      <c r="AE942" s="13"/>
      <c r="AF942" s="14">
        <v>5.0396000000000001</v>
      </c>
      <c r="AG942" s="133"/>
      <c r="AI942" s="96"/>
      <c r="AL942" s="64">
        <v>4.1717733499999996</v>
      </c>
      <c r="AM942" s="56">
        <v>14.160000000000039</v>
      </c>
      <c r="AN942" s="56">
        <v>16.099999999999959</v>
      </c>
      <c r="AO942" s="62">
        <v>22.259999999999991</v>
      </c>
      <c r="AQ942" s="64">
        <v>4.0819833333333344</v>
      </c>
      <c r="AR942" s="56">
        <v>13.72</v>
      </c>
      <c r="AS942" s="56">
        <v>15.13999999999989</v>
      </c>
      <c r="AT942" s="62">
        <v>19.25999999999997</v>
      </c>
      <c r="AV942" s="64">
        <v>3.7281273833333342</v>
      </c>
      <c r="AW942" s="56">
        <v>13.320000000000039</v>
      </c>
      <c r="AX942" s="56">
        <v>14.72000000000007</v>
      </c>
      <c r="AY942" s="62">
        <v>19.500000000000028</v>
      </c>
      <c r="BA942" s="64">
        <v>3.1790639500000002</v>
      </c>
      <c r="BB942" s="56">
        <v>16.38000000000002</v>
      </c>
      <c r="BC942" s="56">
        <v>18.919999999999959</v>
      </c>
      <c r="BD942" s="62">
        <v>31.24000000000002</v>
      </c>
      <c r="BF942" s="64">
        <v>2.9492951499999989</v>
      </c>
      <c r="BG942" s="56">
        <v>19.600000000000058</v>
      </c>
      <c r="BH942" s="56">
        <v>26.480000000000011</v>
      </c>
      <c r="BI942" s="62">
        <v>54.780000000000051</v>
      </c>
      <c r="BJ942" s="70"/>
      <c r="BK942" s="51"/>
    </row>
    <row r="943" spans="1:63" ht="17.25" customHeight="1" thickBot="1" x14ac:dyDescent="0.45">
      <c r="A943" s="16" t="s">
        <v>1020</v>
      </c>
      <c r="B943" s="4"/>
      <c r="C943" s="4"/>
      <c r="D943" s="4"/>
      <c r="E943" s="12"/>
      <c r="G943" s="147" t="s">
        <v>1020</v>
      </c>
      <c r="H943" s="159">
        <v>70.040999999999997</v>
      </c>
      <c r="I943" s="153">
        <v>70.3</v>
      </c>
      <c r="J943" s="153">
        <v>70.37</v>
      </c>
      <c r="K943" s="153">
        <v>70.31</v>
      </c>
      <c r="L943" s="153">
        <v>70.28</v>
      </c>
      <c r="M943" s="80">
        <f t="shared" si="28"/>
        <v>70.37</v>
      </c>
      <c r="N943" s="80">
        <f t="shared" si="29"/>
        <v>70.28</v>
      </c>
      <c r="O943" s="153">
        <v>21.19</v>
      </c>
      <c r="P943" s="153">
        <v>21.06</v>
      </c>
      <c r="Q943" s="153">
        <v>21.1</v>
      </c>
      <c r="R943" s="153">
        <v>21.01</v>
      </c>
      <c r="S943" s="4"/>
      <c r="U943" s="147" t="s">
        <v>1020</v>
      </c>
      <c r="V943" s="11"/>
      <c r="W943" s="4"/>
      <c r="X943" s="12"/>
      <c r="Y943" s="14"/>
      <c r="Z943" s="4"/>
      <c r="AA943" s="13"/>
      <c r="AB943" s="11"/>
      <c r="AC943" s="4"/>
      <c r="AD943" s="12"/>
      <c r="AE943" s="13"/>
      <c r="AF943" s="14">
        <v>5.0387000000000004</v>
      </c>
      <c r="AG943" s="133"/>
      <c r="AI943" s="84"/>
      <c r="AL943" s="64">
        <v>4.170455716666666</v>
      </c>
      <c r="AM943" s="56">
        <v>14.959999999999949</v>
      </c>
      <c r="AN943" s="56">
        <v>16.939999999999959</v>
      </c>
      <c r="AO943" s="62">
        <v>23.179999999999978</v>
      </c>
      <c r="AQ943" s="64">
        <v>4.0816018500000011</v>
      </c>
      <c r="AR943" s="56">
        <v>14.799999999999971</v>
      </c>
      <c r="AS943" s="56">
        <v>16.300000000000029</v>
      </c>
      <c r="AT943" s="62">
        <v>20.55999999999996</v>
      </c>
      <c r="AV943" s="64">
        <v>3.7273523000000002</v>
      </c>
      <c r="AW943" s="56">
        <v>14.319999999999929</v>
      </c>
      <c r="AX943" s="56">
        <v>15.799999999999949</v>
      </c>
      <c r="AY943" s="62">
        <v>20.77999999999998</v>
      </c>
      <c r="BA943" s="64">
        <v>3.1828770166666671</v>
      </c>
      <c r="BB943" s="56">
        <v>16.979999999999951</v>
      </c>
      <c r="BC943" s="56">
        <v>19.559999999999981</v>
      </c>
      <c r="BD943" s="62">
        <v>32.059999999999967</v>
      </c>
      <c r="BF943" s="64">
        <v>2.9599795833333342</v>
      </c>
      <c r="BG943" s="56">
        <v>20.12</v>
      </c>
      <c r="BH943" s="56">
        <v>26.84000000000006</v>
      </c>
      <c r="BI943" s="62">
        <v>54.199999999999982</v>
      </c>
      <c r="BJ943" s="69"/>
      <c r="BK943" s="51"/>
    </row>
    <row r="944" spans="1:63" ht="17.25" customHeight="1" thickBot="1" x14ac:dyDescent="0.45">
      <c r="A944" s="16" t="s">
        <v>1021</v>
      </c>
      <c r="B944" s="4"/>
      <c r="C944" s="4"/>
      <c r="D944" s="4"/>
      <c r="E944" s="12"/>
      <c r="G944" s="147" t="s">
        <v>1021</v>
      </c>
      <c r="H944" s="159">
        <v>70.085999999999999</v>
      </c>
      <c r="I944" s="153">
        <v>70.319999999999993</v>
      </c>
      <c r="J944" s="153">
        <v>70.31</v>
      </c>
      <c r="K944" s="153">
        <v>70.38</v>
      </c>
      <c r="L944" s="153">
        <v>70.31</v>
      </c>
      <c r="M944" s="80">
        <f t="shared" si="28"/>
        <v>70.38</v>
      </c>
      <c r="N944" s="80">
        <f t="shared" si="29"/>
        <v>70.31</v>
      </c>
      <c r="O944" s="153">
        <v>21.18</v>
      </c>
      <c r="P944" s="153">
        <v>21.18</v>
      </c>
      <c r="Q944" s="153">
        <v>21.13</v>
      </c>
      <c r="R944" s="153">
        <v>21.07</v>
      </c>
      <c r="S944" s="4"/>
      <c r="U944" s="147" t="s">
        <v>1021</v>
      </c>
      <c r="V944" s="11"/>
      <c r="W944" s="4"/>
      <c r="X944" s="12"/>
      <c r="Y944" s="14"/>
      <c r="Z944" s="4"/>
      <c r="AA944" s="13"/>
      <c r="AB944" s="11"/>
      <c r="AC944" s="4"/>
      <c r="AD944" s="12"/>
      <c r="AE944" s="13"/>
      <c r="AF944" s="14">
        <v>5.0374999999999996</v>
      </c>
      <c r="AG944" s="133"/>
      <c r="AI944" s="84"/>
      <c r="AL944" s="64">
        <v>4.1713346500000004</v>
      </c>
      <c r="AM944" s="56">
        <v>13.72</v>
      </c>
      <c r="AN944" s="56">
        <v>15.61999999999983</v>
      </c>
      <c r="AO944" s="62">
        <v>21.77999999999987</v>
      </c>
      <c r="AQ944" s="64">
        <v>4.0831837999999987</v>
      </c>
      <c r="AR944" s="56">
        <v>13.61999999999988</v>
      </c>
      <c r="AS944" s="56">
        <v>14.99999999999986</v>
      </c>
      <c r="AT944" s="62">
        <v>19.09999999999998</v>
      </c>
      <c r="AV944" s="64">
        <v>3.7297987166666671</v>
      </c>
      <c r="AW944" s="56">
        <v>13.22000000000001</v>
      </c>
      <c r="AX944" s="56">
        <v>14.60000000000008</v>
      </c>
      <c r="AY944" s="62">
        <v>19.380000000000042</v>
      </c>
      <c r="BA944" s="64">
        <v>3.1867816166666669</v>
      </c>
      <c r="BB944" s="56">
        <v>16.420000000000009</v>
      </c>
      <c r="BC944" s="56">
        <v>18.920000000000051</v>
      </c>
      <c r="BD944" s="62">
        <v>31.13999999999999</v>
      </c>
      <c r="BF944" s="64">
        <v>2.9614430999999999</v>
      </c>
      <c r="BG944" s="56">
        <v>19.739999999999998</v>
      </c>
      <c r="BH944" s="56">
        <v>26.820000000000022</v>
      </c>
      <c r="BI944" s="62">
        <v>55.020000000000017</v>
      </c>
      <c r="BJ944" s="69"/>
      <c r="BK944" s="51"/>
    </row>
    <row r="945" spans="1:63" ht="17.25" customHeight="1" thickBot="1" x14ac:dyDescent="0.45">
      <c r="A945" s="16" t="s">
        <v>1022</v>
      </c>
      <c r="B945" s="4"/>
      <c r="C945" s="4"/>
      <c r="D945" s="4"/>
      <c r="E945" s="12"/>
      <c r="G945" s="147" t="s">
        <v>1022</v>
      </c>
      <c r="H945" s="159">
        <v>69.974999999999994</v>
      </c>
      <c r="I945" s="153">
        <v>70.37</v>
      </c>
      <c r="J945" s="153">
        <v>70.39</v>
      </c>
      <c r="K945" s="153">
        <v>70.33</v>
      </c>
      <c r="L945" s="153">
        <v>70.39</v>
      </c>
      <c r="M945" s="80">
        <f t="shared" si="28"/>
        <v>70.39</v>
      </c>
      <c r="N945" s="80">
        <f t="shared" si="29"/>
        <v>70.33</v>
      </c>
      <c r="O945" s="153">
        <v>21.19</v>
      </c>
      <c r="P945" s="153">
        <v>21.09</v>
      </c>
      <c r="Q945" s="153">
        <v>21.09</v>
      </c>
      <c r="R945" s="153">
        <v>21.05</v>
      </c>
      <c r="S945" s="4"/>
      <c r="U945" s="147" t="s">
        <v>1022</v>
      </c>
      <c r="V945" s="11"/>
      <c r="W945" s="4"/>
      <c r="X945" s="12"/>
      <c r="Y945" s="14"/>
      <c r="Z945" s="4"/>
      <c r="AA945" s="13"/>
      <c r="AB945" s="11"/>
      <c r="AC945" s="4"/>
      <c r="AD945" s="12"/>
      <c r="AE945" s="13"/>
      <c r="AF945" s="14">
        <v>5.0164999999999997</v>
      </c>
      <c r="AG945" s="133"/>
      <c r="AI945" s="96"/>
      <c r="AL945" s="64">
        <v>4.171291383333334</v>
      </c>
      <c r="AM945" s="56">
        <v>14.1</v>
      </c>
      <c r="AN945" s="56">
        <v>16.059999999999871</v>
      </c>
      <c r="AO945" s="62">
        <v>22.21999999999991</v>
      </c>
      <c r="AQ945" s="64">
        <v>4.0822821166666676</v>
      </c>
      <c r="AR945" s="56">
        <v>13.79999999999999</v>
      </c>
      <c r="AS945" s="56">
        <v>15.220000000000059</v>
      </c>
      <c r="AT945" s="62">
        <v>19.36</v>
      </c>
      <c r="AV945" s="64">
        <v>3.7290355000000002</v>
      </c>
      <c r="AW945" s="56">
        <v>13.399999999999951</v>
      </c>
      <c r="AX945" s="56">
        <v>14.799999999999971</v>
      </c>
      <c r="AY945" s="62">
        <v>19.559999999999981</v>
      </c>
      <c r="BA945" s="64">
        <v>3.1874558666666659</v>
      </c>
      <c r="BB945" s="56">
        <v>16.48000000000005</v>
      </c>
      <c r="BC945" s="56">
        <v>19.000000000000039</v>
      </c>
      <c r="BD945" s="62">
        <v>31.180000000000071</v>
      </c>
      <c r="BF945" s="64">
        <v>2.966692366666666</v>
      </c>
      <c r="BG945" s="56">
        <v>19.679999999999961</v>
      </c>
      <c r="BH945" s="56">
        <v>26.41999999999998</v>
      </c>
      <c r="BI945" s="62">
        <v>53.719999999999949</v>
      </c>
      <c r="BJ945" s="70"/>
      <c r="BK945" s="51"/>
    </row>
    <row r="946" spans="1:63" ht="17.25" customHeight="1" thickBot="1" x14ac:dyDescent="0.45">
      <c r="A946" s="16" t="s">
        <v>1023</v>
      </c>
      <c r="B946" s="4"/>
      <c r="C946" s="4"/>
      <c r="D946" s="4"/>
      <c r="E946" s="12"/>
      <c r="G946" s="147" t="s">
        <v>1023</v>
      </c>
      <c r="H946" s="159">
        <v>70.012</v>
      </c>
      <c r="I946" s="153">
        <v>70.319999999999993</v>
      </c>
      <c r="J946" s="153">
        <v>70.400000000000006</v>
      </c>
      <c r="K946" s="153">
        <v>70.28</v>
      </c>
      <c r="L946" s="153">
        <v>70.36</v>
      </c>
      <c r="M946" s="80">
        <f t="shared" si="28"/>
        <v>70.400000000000006</v>
      </c>
      <c r="N946" s="80">
        <f t="shared" si="29"/>
        <v>70.28</v>
      </c>
      <c r="O946" s="153">
        <v>21.12</v>
      </c>
      <c r="P946" s="153">
        <v>21.08</v>
      </c>
      <c r="Q946" s="153">
        <v>21.13</v>
      </c>
      <c r="R946" s="153">
        <v>21.12</v>
      </c>
      <c r="S946" s="4"/>
      <c r="U946" s="147" t="s">
        <v>1023</v>
      </c>
      <c r="V946" s="11"/>
      <c r="W946" s="4"/>
      <c r="X946" s="12"/>
      <c r="Y946" s="14"/>
      <c r="Z946" s="4"/>
      <c r="AA946" s="13"/>
      <c r="AB946" s="11"/>
      <c r="AC946" s="4"/>
      <c r="AD946" s="12"/>
      <c r="AE946" s="13"/>
      <c r="AF946" s="14">
        <v>5.0332999999999997</v>
      </c>
      <c r="AG946" s="133"/>
      <c r="AI946" s="96"/>
      <c r="AL946" s="64">
        <v>4.1711643500000006</v>
      </c>
      <c r="AM946" s="56">
        <v>14.499999999999959</v>
      </c>
      <c r="AN946" s="56">
        <v>16.420000000000101</v>
      </c>
      <c r="AO946" s="62">
        <v>22.63999999999999</v>
      </c>
      <c r="AQ946" s="64">
        <v>4.07941105</v>
      </c>
      <c r="AR946" s="56">
        <v>13.81999999999994</v>
      </c>
      <c r="AS946" s="56">
        <v>15.21999999999988</v>
      </c>
      <c r="AT946" s="62">
        <v>19.359999999999911</v>
      </c>
      <c r="AV946" s="64">
        <v>3.7251856833333332</v>
      </c>
      <c r="AW946" s="56">
        <v>13.419999999999989</v>
      </c>
      <c r="AX946" s="56">
        <v>14.820000000000009</v>
      </c>
      <c r="AY946" s="62">
        <v>19.579999999999931</v>
      </c>
      <c r="BA946" s="64">
        <v>3.1824114333333329</v>
      </c>
      <c r="BB946" s="56">
        <v>16.579999999999991</v>
      </c>
      <c r="BC946" s="56">
        <v>19.120000000000029</v>
      </c>
      <c r="BD946" s="62">
        <v>31.420000000000041</v>
      </c>
      <c r="BF946" s="64">
        <v>2.9673189166666658</v>
      </c>
      <c r="BG946" s="56">
        <v>19.840000000000039</v>
      </c>
      <c r="BH946" s="56">
        <v>26.560000000000009</v>
      </c>
      <c r="BI946" s="62">
        <v>53.680000000000042</v>
      </c>
      <c r="BJ946" s="70"/>
      <c r="BK946" s="51"/>
    </row>
    <row r="947" spans="1:63" ht="17.25" customHeight="1" thickBot="1" x14ac:dyDescent="0.45">
      <c r="A947" s="16" t="s">
        <v>1024</v>
      </c>
      <c r="B947" s="4"/>
      <c r="C947" s="4"/>
      <c r="D947" s="4"/>
      <c r="E947" s="12"/>
      <c r="G947" s="147" t="s">
        <v>1024</v>
      </c>
      <c r="H947" s="159">
        <v>70.090999999999994</v>
      </c>
      <c r="I947" s="153">
        <v>70.33</v>
      </c>
      <c r="J947" s="153">
        <v>70.319999999999993</v>
      </c>
      <c r="K947" s="153">
        <v>70.349999999999994</v>
      </c>
      <c r="L947" s="153">
        <v>70.36</v>
      </c>
      <c r="M947" s="80">
        <f t="shared" si="28"/>
        <v>70.36</v>
      </c>
      <c r="N947" s="80">
        <f t="shared" si="29"/>
        <v>70.319999999999993</v>
      </c>
      <c r="O947" s="153">
        <v>21.17</v>
      </c>
      <c r="P947" s="153">
        <v>21.14</v>
      </c>
      <c r="Q947" s="153">
        <v>21.16</v>
      </c>
      <c r="R947" s="153">
        <v>21.12</v>
      </c>
      <c r="S947" s="4"/>
      <c r="U947" s="147" t="s">
        <v>1024</v>
      </c>
      <c r="V947" s="11"/>
      <c r="W947" s="4"/>
      <c r="X947" s="12"/>
      <c r="Y947" s="14"/>
      <c r="Z947" s="4"/>
      <c r="AA947" s="13"/>
      <c r="AB947" s="11"/>
      <c r="AC947" s="4"/>
      <c r="AD947" s="12"/>
      <c r="AE947" s="13"/>
      <c r="AF947" s="14">
        <v>5.0372000000000003</v>
      </c>
      <c r="AG947" s="133"/>
      <c r="AI947" s="84"/>
      <c r="AL947" s="64">
        <v>4.1711106166666667</v>
      </c>
      <c r="AM947" s="56">
        <v>14.380000000000059</v>
      </c>
      <c r="AN947" s="56">
        <v>16.280000000000069</v>
      </c>
      <c r="AO947" s="62">
        <v>22.540000000000049</v>
      </c>
      <c r="AQ947" s="64">
        <v>4.0811275999999994</v>
      </c>
      <c r="AR947" s="56">
        <v>13.9800000000001</v>
      </c>
      <c r="AS947" s="56">
        <v>15.38000000000004</v>
      </c>
      <c r="AT947" s="62">
        <v>19.54000000000002</v>
      </c>
      <c r="AV947" s="64">
        <v>3.727499299999999</v>
      </c>
      <c r="AW947" s="56">
        <v>13.619999999999971</v>
      </c>
      <c r="AX947" s="56">
        <v>15.039999999999941</v>
      </c>
      <c r="AY947" s="62">
        <v>19.83999999999995</v>
      </c>
      <c r="BA947" s="64">
        <v>3.187383416666667</v>
      </c>
      <c r="BB947" s="56">
        <v>17.159999999999979</v>
      </c>
      <c r="BC947" s="56">
        <v>19.679999999999961</v>
      </c>
      <c r="BD947" s="62">
        <v>31.919999999999948</v>
      </c>
      <c r="BF947" s="64">
        <v>2.9695737000000002</v>
      </c>
      <c r="BG947" s="56">
        <v>20.239999999999991</v>
      </c>
      <c r="BH947" s="56">
        <v>27.079999999999949</v>
      </c>
      <c r="BI947" s="62">
        <v>54.059999999999953</v>
      </c>
      <c r="BJ947" s="69"/>
      <c r="BK947" s="51"/>
    </row>
    <row r="948" spans="1:63" ht="17.25" customHeight="1" thickBot="1" x14ac:dyDescent="0.45">
      <c r="A948" s="16" t="s">
        <v>1025</v>
      </c>
      <c r="B948" s="4"/>
      <c r="C948" s="4"/>
      <c r="D948" s="4"/>
      <c r="E948" s="12"/>
      <c r="G948" s="147" t="s">
        <v>1025</v>
      </c>
      <c r="H948" s="159">
        <v>70.052000000000007</v>
      </c>
      <c r="I948" s="153">
        <v>70.27</v>
      </c>
      <c r="J948" s="153">
        <v>70.290000000000006</v>
      </c>
      <c r="K948" s="153">
        <v>70.36</v>
      </c>
      <c r="L948" s="153">
        <v>70.36</v>
      </c>
      <c r="M948" s="80">
        <f t="shared" si="28"/>
        <v>70.36</v>
      </c>
      <c r="N948" s="80">
        <f t="shared" si="29"/>
        <v>70.27</v>
      </c>
      <c r="O948" s="153">
        <v>21.17</v>
      </c>
      <c r="P948" s="153">
        <v>21.18</v>
      </c>
      <c r="Q948" s="153">
        <v>21.12</v>
      </c>
      <c r="R948" s="153">
        <v>21.07</v>
      </c>
      <c r="S948" s="4"/>
      <c r="U948" s="147" t="s">
        <v>1025</v>
      </c>
      <c r="V948" s="11"/>
      <c r="W948" s="4"/>
      <c r="X948" s="12"/>
      <c r="Y948" s="14"/>
      <c r="Z948" s="4"/>
      <c r="AA948" s="13"/>
      <c r="AB948" s="11"/>
      <c r="AC948" s="4"/>
      <c r="AD948" s="12"/>
      <c r="AE948" s="13"/>
      <c r="AF948" s="14">
        <v>5.0209000000000001</v>
      </c>
      <c r="AG948" s="133"/>
      <c r="AI948" s="96"/>
      <c r="AL948" s="64">
        <v>4.1712473499999998</v>
      </c>
      <c r="AM948" s="56">
        <v>14.69999999999985</v>
      </c>
      <c r="AN948" s="56">
        <v>16.599999999999859</v>
      </c>
      <c r="AO948" s="62">
        <v>22.819999999999929</v>
      </c>
      <c r="AQ948" s="64">
        <v>4.0787725500000001</v>
      </c>
      <c r="AR948" s="56">
        <v>13.78000000000004</v>
      </c>
      <c r="AS948" s="56">
        <v>15.17999999999997</v>
      </c>
      <c r="AT948" s="62">
        <v>19.32</v>
      </c>
      <c r="AV948" s="64">
        <v>3.7248468333333329</v>
      </c>
      <c r="AW948" s="56">
        <v>13.35999999999995</v>
      </c>
      <c r="AX948" s="56">
        <v>14.75999999999997</v>
      </c>
      <c r="AY948" s="62">
        <v>19.519999999999978</v>
      </c>
      <c r="BA948" s="64">
        <v>3.184937150000001</v>
      </c>
      <c r="BB948" s="56">
        <v>16.5</v>
      </c>
      <c r="BC948" s="56">
        <v>18.96000000000004</v>
      </c>
      <c r="BD948" s="62">
        <v>31.02</v>
      </c>
      <c r="BF948" s="64">
        <v>2.9654102833333331</v>
      </c>
      <c r="BG948" s="56">
        <v>19.58000000000002</v>
      </c>
      <c r="BH948" s="56">
        <v>26.320000000000029</v>
      </c>
      <c r="BI948" s="62">
        <v>53.220000000000041</v>
      </c>
      <c r="BJ948" s="70"/>
      <c r="BK948" s="51"/>
    </row>
    <row r="949" spans="1:63" ht="17.25" customHeight="1" thickBot="1" x14ac:dyDescent="0.45">
      <c r="A949" s="16" t="s">
        <v>1026</v>
      </c>
      <c r="B949" s="4"/>
      <c r="C949" s="4"/>
      <c r="D949" s="4"/>
      <c r="E949" s="12"/>
      <c r="G949" s="147" t="s">
        <v>1026</v>
      </c>
      <c r="H949" s="159">
        <v>69.960999999999999</v>
      </c>
      <c r="I949" s="153">
        <v>70.400000000000006</v>
      </c>
      <c r="J949" s="153">
        <v>70.37</v>
      </c>
      <c r="K949" s="153">
        <v>70.39</v>
      </c>
      <c r="L949" s="153">
        <v>70.36</v>
      </c>
      <c r="M949" s="80">
        <f t="shared" si="28"/>
        <v>70.400000000000006</v>
      </c>
      <c r="N949" s="80">
        <f t="shared" si="29"/>
        <v>70.36</v>
      </c>
      <c r="O949" s="153">
        <v>21.2</v>
      </c>
      <c r="P949" s="153">
        <v>21.08</v>
      </c>
      <c r="Q949" s="153">
        <v>21.14</v>
      </c>
      <c r="R949" s="153">
        <v>21.06</v>
      </c>
      <c r="S949" s="4"/>
      <c r="U949" s="147" t="s">
        <v>1026</v>
      </c>
      <c r="V949" s="11"/>
      <c r="W949" s="4"/>
      <c r="X949" s="12"/>
      <c r="Y949" s="14"/>
      <c r="Z949" s="4"/>
      <c r="AA949" s="13"/>
      <c r="AB949" s="11"/>
      <c r="AC949" s="4"/>
      <c r="AD949" s="12"/>
      <c r="AE949" s="13"/>
      <c r="AF949" s="14">
        <v>5.0430999999999999</v>
      </c>
      <c r="AG949" s="133"/>
      <c r="AI949" s="96"/>
      <c r="AL949" s="64">
        <v>4.1709232666666667</v>
      </c>
      <c r="AM949" s="56">
        <v>14.94</v>
      </c>
      <c r="AN949" s="56">
        <v>16.899999999999871</v>
      </c>
      <c r="AO949" s="62">
        <v>23.159999999999851</v>
      </c>
      <c r="AQ949" s="64">
        <v>4.0804699333333332</v>
      </c>
      <c r="AR949" s="56">
        <v>14.279999999999941</v>
      </c>
      <c r="AS949" s="56">
        <v>15.71999999999996</v>
      </c>
      <c r="AT949" s="62">
        <v>19.93999999999998</v>
      </c>
      <c r="AV949" s="64">
        <v>3.7268676666666658</v>
      </c>
      <c r="AW949" s="56">
        <v>13.93999999999993</v>
      </c>
      <c r="AX949" s="56">
        <v>15.379999999999949</v>
      </c>
      <c r="AY949" s="62">
        <v>20.239999999999991</v>
      </c>
      <c r="BA949" s="64">
        <v>3.1834735666666671</v>
      </c>
      <c r="BB949" s="56">
        <v>17.600000000000019</v>
      </c>
      <c r="BC949" s="56">
        <v>20.220000000000041</v>
      </c>
      <c r="BD949" s="62">
        <v>32.659999999999997</v>
      </c>
      <c r="BF949" s="64">
        <v>2.9615477166666668</v>
      </c>
      <c r="BG949" s="56">
        <v>20.77999999999998</v>
      </c>
      <c r="BH949" s="56">
        <v>27.44</v>
      </c>
      <c r="BI949" s="62">
        <v>54.659999999999982</v>
      </c>
      <c r="BJ949" s="70"/>
      <c r="BK949" s="51"/>
    </row>
    <row r="950" spans="1:63" ht="17.25" customHeight="1" thickBot="1" x14ac:dyDescent="0.45">
      <c r="A950" s="16" t="s">
        <v>1027</v>
      </c>
      <c r="B950" s="4"/>
      <c r="C950" s="4"/>
      <c r="D950" s="4"/>
      <c r="E950" s="12"/>
      <c r="G950" s="147" t="s">
        <v>1027</v>
      </c>
      <c r="H950" s="159">
        <v>69.98</v>
      </c>
      <c r="I950" s="153">
        <v>70.31</v>
      </c>
      <c r="J950" s="153">
        <v>70.28</v>
      </c>
      <c r="K950" s="153">
        <v>70.37</v>
      </c>
      <c r="L950" s="153">
        <v>70.349999999999994</v>
      </c>
      <c r="M950" s="80">
        <f t="shared" si="28"/>
        <v>70.37</v>
      </c>
      <c r="N950" s="80">
        <f t="shared" si="29"/>
        <v>70.28</v>
      </c>
      <c r="O950" s="153">
        <v>21.12</v>
      </c>
      <c r="P950" s="153">
        <v>21.02</v>
      </c>
      <c r="Q950" s="153">
        <v>21.14</v>
      </c>
      <c r="R950" s="153">
        <v>21.12</v>
      </c>
      <c r="S950" s="4"/>
      <c r="U950" s="147" t="s">
        <v>1027</v>
      </c>
      <c r="V950" s="11"/>
      <c r="W950" s="4"/>
      <c r="X950" s="12"/>
      <c r="Y950" s="14"/>
      <c r="Z950" s="4"/>
      <c r="AA950" s="13"/>
      <c r="AB950" s="11"/>
      <c r="AC950" s="4"/>
      <c r="AD950" s="12"/>
      <c r="AE950" s="13"/>
      <c r="AF950" s="14">
        <v>5.0321999999999996</v>
      </c>
      <c r="AG950" s="133"/>
      <c r="AI950" s="84"/>
      <c r="AL950" s="64">
        <v>4.1713217499999997</v>
      </c>
      <c r="AM950" s="56">
        <v>14.57999999999995</v>
      </c>
      <c r="AN950" s="56">
        <v>16.519999999999872</v>
      </c>
      <c r="AO950" s="62">
        <v>22.799999999999979</v>
      </c>
      <c r="AQ950" s="64">
        <v>4.0817274499999989</v>
      </c>
      <c r="AR950" s="56">
        <v>14.25999999999998</v>
      </c>
      <c r="AS950" s="56">
        <v>15.7</v>
      </c>
      <c r="AT950" s="62">
        <v>19.880000000000031</v>
      </c>
      <c r="AV950" s="64">
        <v>3.728451316666666</v>
      </c>
      <c r="AW950" s="56">
        <v>13.940000000000021</v>
      </c>
      <c r="AX950" s="56">
        <v>15.33999999999995</v>
      </c>
      <c r="AY950" s="62">
        <v>20.17999999999995</v>
      </c>
      <c r="BA950" s="64">
        <v>3.1863951500000001</v>
      </c>
      <c r="BB950" s="56">
        <v>17.180000000000021</v>
      </c>
      <c r="BC950" s="56">
        <v>19.720000000000049</v>
      </c>
      <c r="BD950" s="62">
        <v>31.960000000000029</v>
      </c>
      <c r="BF950" s="64">
        <v>2.9590359166666662</v>
      </c>
      <c r="BG950" s="56">
        <v>20.39999999999997</v>
      </c>
      <c r="BH950" s="56">
        <v>27.219999999999981</v>
      </c>
      <c r="BI950" s="62">
        <v>54.919999999999987</v>
      </c>
      <c r="BJ950" s="69"/>
      <c r="BK950" s="51"/>
    </row>
    <row r="951" spans="1:63" ht="17.25" customHeight="1" thickBot="1" x14ac:dyDescent="0.45">
      <c r="A951" s="16" t="s">
        <v>1028</v>
      </c>
      <c r="B951" s="4"/>
      <c r="C951" s="4"/>
      <c r="D951" s="4"/>
      <c r="E951" s="12"/>
      <c r="G951" s="147" t="s">
        <v>1028</v>
      </c>
      <c r="H951" s="159">
        <v>70.007999999999996</v>
      </c>
      <c r="I951" s="153">
        <v>70.28</v>
      </c>
      <c r="J951" s="153">
        <v>70.319999999999993</v>
      </c>
      <c r="K951" s="153">
        <v>70.39</v>
      </c>
      <c r="L951" s="153">
        <v>70.34</v>
      </c>
      <c r="M951" s="80">
        <f t="shared" si="28"/>
        <v>70.39</v>
      </c>
      <c r="N951" s="80">
        <f t="shared" si="29"/>
        <v>70.28</v>
      </c>
      <c r="O951" s="153">
        <v>21.2</v>
      </c>
      <c r="P951" s="153">
        <v>20.96</v>
      </c>
      <c r="Q951" s="153">
        <v>21.11</v>
      </c>
      <c r="R951" s="153">
        <v>21.05</v>
      </c>
      <c r="S951" s="4"/>
      <c r="U951" s="147" t="s">
        <v>1028</v>
      </c>
      <c r="V951" s="11"/>
      <c r="W951" s="4"/>
      <c r="X951" s="12"/>
      <c r="Y951" s="14"/>
      <c r="Z951" s="4"/>
      <c r="AA951" s="13"/>
      <c r="AB951" s="11"/>
      <c r="AC951" s="4"/>
      <c r="AD951" s="12"/>
      <c r="AE951" s="13"/>
      <c r="AF951" s="14">
        <v>5.0334000000000003</v>
      </c>
      <c r="AG951" s="133"/>
      <c r="AI951" s="96"/>
      <c r="AL951" s="64">
        <v>4.1708162499999997</v>
      </c>
      <c r="AM951" s="56">
        <v>14.920000000000041</v>
      </c>
      <c r="AN951" s="56">
        <v>16.85999999999996</v>
      </c>
      <c r="AO951" s="62">
        <v>23.02</v>
      </c>
      <c r="AQ951" s="64">
        <v>4.0798995166666678</v>
      </c>
      <c r="AR951" s="56">
        <v>14.440000000000101</v>
      </c>
      <c r="AS951" s="56">
        <v>15.859999999999991</v>
      </c>
      <c r="AT951" s="62">
        <v>20.100000000000051</v>
      </c>
      <c r="AV951" s="64">
        <v>3.7252933000000001</v>
      </c>
      <c r="AW951" s="56">
        <v>13.78000000000004</v>
      </c>
      <c r="AX951" s="56">
        <v>15.17999999999997</v>
      </c>
      <c r="AY951" s="62">
        <v>20.000000000000021</v>
      </c>
      <c r="BA951" s="64">
        <v>3.177705883333334</v>
      </c>
      <c r="BB951" s="56">
        <v>17.11999999999998</v>
      </c>
      <c r="BC951" s="56">
        <v>19.439999999999991</v>
      </c>
      <c r="BD951" s="62">
        <v>31.9</v>
      </c>
      <c r="BF951" s="64">
        <v>2.960369266666667</v>
      </c>
      <c r="BG951" s="56">
        <v>19.960000000000019</v>
      </c>
      <c r="BH951" s="56">
        <v>27.080000000000041</v>
      </c>
      <c r="BI951" s="62">
        <v>54.900000000000041</v>
      </c>
      <c r="BJ951" s="70"/>
      <c r="BK951" s="51"/>
    </row>
    <row r="952" spans="1:63" ht="17.25" customHeight="1" thickBot="1" x14ac:dyDescent="0.45">
      <c r="A952" s="16" t="s">
        <v>1029</v>
      </c>
      <c r="B952" s="4"/>
      <c r="C952" s="4"/>
      <c r="D952" s="4"/>
      <c r="E952" s="12"/>
      <c r="G952" s="147" t="s">
        <v>1029</v>
      </c>
      <c r="H952" s="159">
        <v>70.058999999999997</v>
      </c>
      <c r="I952" s="153">
        <v>70.33</v>
      </c>
      <c r="J952" s="153">
        <v>70.33</v>
      </c>
      <c r="K952" s="153">
        <v>70.3</v>
      </c>
      <c r="L952" s="153">
        <v>70.319999999999993</v>
      </c>
      <c r="M952" s="80">
        <f t="shared" si="28"/>
        <v>70.33</v>
      </c>
      <c r="N952" s="80">
        <f t="shared" si="29"/>
        <v>70.3</v>
      </c>
      <c r="O952" s="153">
        <v>21.2</v>
      </c>
      <c r="P952" s="153">
        <v>21.18</v>
      </c>
      <c r="Q952" s="153">
        <v>21.13</v>
      </c>
      <c r="R952" s="153">
        <v>21.07</v>
      </c>
      <c r="S952" s="4"/>
      <c r="U952" s="147" t="s">
        <v>1029</v>
      </c>
      <c r="V952" s="11"/>
      <c r="W952" s="4"/>
      <c r="X952" s="12"/>
      <c r="Y952" s="14"/>
      <c r="Z952" s="4"/>
      <c r="AA952" s="13"/>
      <c r="AB952" s="11"/>
      <c r="AC952" s="4"/>
      <c r="AD952" s="12"/>
      <c r="AE952" s="13"/>
      <c r="AF952" s="14">
        <v>5.0456000000000003</v>
      </c>
      <c r="AG952" s="133"/>
      <c r="AI952" s="96"/>
      <c r="AL952" s="64">
        <v>4.1707465666666668</v>
      </c>
      <c r="AM952" s="56">
        <v>14.219999999999899</v>
      </c>
      <c r="AN952" s="56">
        <v>16.16</v>
      </c>
      <c r="AO952" s="62">
        <v>22.320000000000029</v>
      </c>
      <c r="AQ952" s="64">
        <v>4.0826772500000006</v>
      </c>
      <c r="AR952" s="56">
        <v>13.899999999999929</v>
      </c>
      <c r="AS952" s="56">
        <v>15.32</v>
      </c>
      <c r="AT952" s="62">
        <v>19.47999999999999</v>
      </c>
      <c r="AV952" s="64">
        <v>3.7287542166666681</v>
      </c>
      <c r="AW952" s="56">
        <v>13.520000000000019</v>
      </c>
      <c r="AX952" s="56">
        <v>14.9</v>
      </c>
      <c r="AY952" s="62">
        <v>19.70000000000001</v>
      </c>
      <c r="BA952" s="64">
        <v>3.1824891666666661</v>
      </c>
      <c r="BB952" s="56">
        <v>16.819999999999968</v>
      </c>
      <c r="BC952" s="56">
        <v>19.379999999999949</v>
      </c>
      <c r="BD952" s="62">
        <v>31.75999999999997</v>
      </c>
      <c r="BF952" s="64">
        <v>2.961302166666667</v>
      </c>
      <c r="BG952" s="56">
        <v>19.960000000000019</v>
      </c>
      <c r="BH952" s="56">
        <v>26.98</v>
      </c>
      <c r="BI952" s="62">
        <v>54.82000000000005</v>
      </c>
      <c r="BJ952" s="70"/>
      <c r="BK952" s="51"/>
    </row>
    <row r="953" spans="1:63" ht="17.25" customHeight="1" thickBot="1" x14ac:dyDescent="0.45">
      <c r="A953" s="16" t="s">
        <v>1030</v>
      </c>
      <c r="B953" s="4"/>
      <c r="C953" s="4"/>
      <c r="D953" s="4"/>
      <c r="E953" s="12"/>
      <c r="G953" s="147" t="s">
        <v>1030</v>
      </c>
      <c r="H953" s="159">
        <v>69.941999999999993</v>
      </c>
      <c r="I953" s="153">
        <v>70.319999999999993</v>
      </c>
      <c r="J953" s="153">
        <v>70.28</v>
      </c>
      <c r="K953" s="153">
        <v>70.37</v>
      </c>
      <c r="L953" s="153">
        <v>70.319999999999993</v>
      </c>
      <c r="M953" s="80">
        <f t="shared" si="28"/>
        <v>70.37</v>
      </c>
      <c r="N953" s="80">
        <f t="shared" si="29"/>
        <v>70.28</v>
      </c>
      <c r="O953" s="153">
        <v>21.19</v>
      </c>
      <c r="P953" s="153">
        <v>21.15</v>
      </c>
      <c r="Q953" s="153">
        <v>21.14</v>
      </c>
      <c r="R953" s="153">
        <v>21.09</v>
      </c>
      <c r="S953" s="4"/>
      <c r="U953" s="147" t="s">
        <v>1030</v>
      </c>
      <c r="V953" s="11"/>
      <c r="W953" s="4"/>
      <c r="X953" s="12"/>
      <c r="Y953" s="14"/>
      <c r="Z953" s="4"/>
      <c r="AA953" s="13"/>
      <c r="AB953" s="11"/>
      <c r="AC953" s="4"/>
      <c r="AD953" s="12"/>
      <c r="AE953" s="13"/>
      <c r="AF953" s="14">
        <v>5.0232999999999999</v>
      </c>
      <c r="AG953" s="133"/>
      <c r="AI953" s="84"/>
      <c r="AL953" s="64">
        <v>4.1702465000000002</v>
      </c>
      <c r="AM953" s="56">
        <v>14.64000000000016</v>
      </c>
      <c r="AN953" s="56">
        <v>16.600000000000041</v>
      </c>
      <c r="AO953" s="62">
        <v>22.920000000000051</v>
      </c>
      <c r="AQ953" s="64">
        <v>4.0828490000000004</v>
      </c>
      <c r="AR953" s="56">
        <v>14.54000000000004</v>
      </c>
      <c r="AS953" s="56">
        <v>16.000000000000011</v>
      </c>
      <c r="AT953" s="62">
        <v>20.24000000000008</v>
      </c>
      <c r="AV953" s="64">
        <v>3.7290249666666671</v>
      </c>
      <c r="AW953" s="56">
        <v>14.15999999999995</v>
      </c>
      <c r="AX953" s="56">
        <v>15.660000000000011</v>
      </c>
      <c r="AY953" s="62">
        <v>20.61999999999999</v>
      </c>
      <c r="BA953" s="64">
        <v>3.184923266666666</v>
      </c>
      <c r="BB953" s="56">
        <v>17.120000000000068</v>
      </c>
      <c r="BC953" s="56">
        <v>19.70000000000001</v>
      </c>
      <c r="BD953" s="62">
        <v>32.200000000000003</v>
      </c>
      <c r="BF953" s="64">
        <v>2.962384966666666</v>
      </c>
      <c r="BG953" s="56">
        <v>19.95999999999993</v>
      </c>
      <c r="BH953" s="56">
        <v>26.07999999999997</v>
      </c>
      <c r="BI953" s="62">
        <v>52.519999999999989</v>
      </c>
      <c r="BJ953" s="69"/>
      <c r="BK953" s="51"/>
    </row>
    <row r="954" spans="1:63" ht="17.25" customHeight="1" thickBot="1" x14ac:dyDescent="0.45">
      <c r="A954" s="16" t="s">
        <v>1031</v>
      </c>
      <c r="B954" s="4"/>
      <c r="C954" s="4"/>
      <c r="D954" s="4"/>
      <c r="E954" s="12"/>
      <c r="G954" s="147" t="s">
        <v>1031</v>
      </c>
      <c r="H954" s="159">
        <v>70.058999999999997</v>
      </c>
      <c r="I954" s="153">
        <v>70.38</v>
      </c>
      <c r="J954" s="153">
        <v>70.38</v>
      </c>
      <c r="K954" s="153">
        <v>70.3</v>
      </c>
      <c r="L954" s="153">
        <v>70.36</v>
      </c>
      <c r="M954" s="80">
        <f t="shared" si="28"/>
        <v>70.38</v>
      </c>
      <c r="N954" s="80">
        <f t="shared" si="29"/>
        <v>70.3</v>
      </c>
      <c r="O954" s="153">
        <v>21.16</v>
      </c>
      <c r="P954" s="153">
        <v>21.08</v>
      </c>
      <c r="Q954" s="153">
        <v>21.11</v>
      </c>
      <c r="R954" s="153">
        <v>21.07</v>
      </c>
      <c r="S954" s="4"/>
      <c r="U954" s="147" t="s">
        <v>1031</v>
      </c>
      <c r="V954" s="11"/>
      <c r="W954" s="4"/>
      <c r="X954" s="12"/>
      <c r="Y954" s="14"/>
      <c r="Z954" s="4"/>
      <c r="AA954" s="13"/>
      <c r="AB954" s="11"/>
      <c r="AC954" s="4"/>
      <c r="AD954" s="12"/>
      <c r="AE954" s="13"/>
      <c r="AF954" s="14">
        <v>5.0369999999999999</v>
      </c>
      <c r="AG954" s="133"/>
      <c r="AI954" s="96"/>
      <c r="AL954" s="64">
        <v>4.1697747666666656</v>
      </c>
      <c r="AM954" s="56">
        <v>16.000000000000011</v>
      </c>
      <c r="AN954" s="56">
        <v>18.060000000000009</v>
      </c>
      <c r="AO954" s="62">
        <v>24.519999999999879</v>
      </c>
      <c r="AQ954" s="64">
        <v>4.0817833833333337</v>
      </c>
      <c r="AR954" s="56">
        <v>15.479999999999981</v>
      </c>
      <c r="AS954" s="56">
        <v>17.000000000000082</v>
      </c>
      <c r="AT954" s="62">
        <v>21.400000000000041</v>
      </c>
      <c r="AV954" s="64">
        <v>3.7273320666666669</v>
      </c>
      <c r="AW954" s="56">
        <v>14.99999999999995</v>
      </c>
      <c r="AX954" s="56">
        <v>16.51999999999996</v>
      </c>
      <c r="AY954" s="62">
        <v>21.619999999999969</v>
      </c>
      <c r="BA954" s="64">
        <v>3.1815246333333329</v>
      </c>
      <c r="BB954" s="56">
        <v>18.100000000000001</v>
      </c>
      <c r="BC954" s="56">
        <v>20.800000000000018</v>
      </c>
      <c r="BD954" s="62">
        <v>33.659999999999982</v>
      </c>
      <c r="BF954" s="64">
        <v>2.9661857500000002</v>
      </c>
      <c r="BG954" s="56">
        <v>21.199999999999971</v>
      </c>
      <c r="BH954" s="56">
        <v>27.59999999999998</v>
      </c>
      <c r="BI954" s="62">
        <v>54.479999999999947</v>
      </c>
      <c r="BJ954" s="70"/>
      <c r="BK954" s="51"/>
    </row>
    <row r="955" spans="1:63" ht="17.25" customHeight="1" thickBot="1" x14ac:dyDescent="0.45">
      <c r="A955" s="16" t="s">
        <v>1032</v>
      </c>
      <c r="B955" s="4"/>
      <c r="C955" s="4"/>
      <c r="D955" s="4"/>
      <c r="E955" s="12"/>
      <c r="G955" s="147" t="s">
        <v>1032</v>
      </c>
      <c r="H955" s="159">
        <v>70.066999999999993</v>
      </c>
      <c r="I955" s="153">
        <v>70.33</v>
      </c>
      <c r="J955" s="153">
        <v>70.38</v>
      </c>
      <c r="K955" s="153">
        <v>70.3</v>
      </c>
      <c r="L955" s="153">
        <v>70.36</v>
      </c>
      <c r="M955" s="80">
        <f t="shared" si="28"/>
        <v>70.38</v>
      </c>
      <c r="N955" s="80">
        <f t="shared" si="29"/>
        <v>70.3</v>
      </c>
      <c r="O955" s="153">
        <v>21.14</v>
      </c>
      <c r="P955" s="153">
        <v>21.08</v>
      </c>
      <c r="Q955" s="153">
        <v>21.15</v>
      </c>
      <c r="R955" s="153">
        <v>21.08</v>
      </c>
      <c r="S955" s="4"/>
      <c r="U955" s="147" t="s">
        <v>1032</v>
      </c>
      <c r="V955" s="11"/>
      <c r="W955" s="4"/>
      <c r="X955" s="12"/>
      <c r="Y955" s="14"/>
      <c r="Z955" s="4"/>
      <c r="AA955" s="13"/>
      <c r="AB955" s="11"/>
      <c r="AC955" s="4"/>
      <c r="AD955" s="12"/>
      <c r="AE955" s="13"/>
      <c r="AF955" s="14">
        <v>5.0240999999999998</v>
      </c>
      <c r="AG955" s="133"/>
      <c r="AI955" s="84"/>
      <c r="AL955" s="64">
        <v>4.1708916</v>
      </c>
      <c r="AM955" s="56">
        <v>14.65999999999994</v>
      </c>
      <c r="AN955" s="56">
        <v>16.61999999999999</v>
      </c>
      <c r="AO955" s="62">
        <v>22.839999999999879</v>
      </c>
      <c r="AQ955" s="64">
        <v>4.0815895166666678</v>
      </c>
      <c r="AR955" s="56">
        <v>14.219999999999899</v>
      </c>
      <c r="AS955" s="56">
        <v>15.65999999999992</v>
      </c>
      <c r="AT955" s="62">
        <v>19.879999999999939</v>
      </c>
      <c r="AV955" s="64">
        <v>3.7279551333333329</v>
      </c>
      <c r="AW955" s="56">
        <v>13.90000000000002</v>
      </c>
      <c r="AX955" s="56">
        <v>15.32</v>
      </c>
      <c r="AY955" s="62">
        <v>20.16</v>
      </c>
      <c r="BA955" s="64">
        <v>3.185499983333334</v>
      </c>
      <c r="BB955" s="56">
        <v>17.319999999999961</v>
      </c>
      <c r="BC955" s="56">
        <v>19.899999999999981</v>
      </c>
      <c r="BD955" s="62">
        <v>32.259999999999962</v>
      </c>
      <c r="BF955" s="64">
        <v>2.9687980999999999</v>
      </c>
      <c r="BG955" s="56">
        <v>20.359999999999982</v>
      </c>
      <c r="BH955" s="56">
        <v>27.02</v>
      </c>
      <c r="BI955" s="62">
        <v>53.939999999999969</v>
      </c>
      <c r="BJ955" s="69"/>
      <c r="BK955" s="51"/>
    </row>
    <row r="956" spans="1:63" ht="17.25" customHeight="1" thickBot="1" x14ac:dyDescent="0.45">
      <c r="A956" s="16" t="s">
        <v>1033</v>
      </c>
      <c r="B956" s="4"/>
      <c r="C956" s="4"/>
      <c r="D956" s="4"/>
      <c r="E956" s="12"/>
      <c r="G956" s="147" t="s">
        <v>1033</v>
      </c>
      <c r="H956" s="159">
        <v>70.117000000000004</v>
      </c>
      <c r="I956" s="153">
        <v>70.349999999999994</v>
      </c>
      <c r="J956" s="153">
        <v>70.31</v>
      </c>
      <c r="K956" s="153">
        <v>70.290000000000006</v>
      </c>
      <c r="L956" s="153">
        <v>70.349999999999994</v>
      </c>
      <c r="M956" s="80">
        <f t="shared" si="28"/>
        <v>70.349999999999994</v>
      </c>
      <c r="N956" s="80">
        <f t="shared" si="29"/>
        <v>70.290000000000006</v>
      </c>
      <c r="O956" s="153">
        <v>21.12</v>
      </c>
      <c r="P956" s="153">
        <v>21.09</v>
      </c>
      <c r="Q956" s="153">
        <v>21.15</v>
      </c>
      <c r="R956" s="153">
        <v>21.11</v>
      </c>
      <c r="S956" s="4"/>
      <c r="U956" s="147" t="s">
        <v>1033</v>
      </c>
      <c r="V956" s="11"/>
      <c r="W956" s="4"/>
      <c r="X956" s="12"/>
      <c r="Y956" s="14"/>
      <c r="Z956" s="4"/>
      <c r="AA956" s="13"/>
      <c r="AB956" s="11"/>
      <c r="AC956" s="4"/>
      <c r="AD956" s="12"/>
      <c r="AE956" s="13"/>
      <c r="AF956" s="14">
        <v>5.0156999999999998</v>
      </c>
      <c r="AG956" s="133"/>
      <c r="AI956" s="96"/>
      <c r="AL956" s="64">
        <v>4.1706234999999996</v>
      </c>
      <c r="AM956" s="56">
        <v>14.160000000000039</v>
      </c>
      <c r="AN956" s="56">
        <v>16.10000000000014</v>
      </c>
      <c r="AO956" s="62">
        <v>22.339999999999979</v>
      </c>
      <c r="AQ956" s="64">
        <v>4.082544716666666</v>
      </c>
      <c r="AR956" s="56">
        <v>14.02000000000001</v>
      </c>
      <c r="AS956" s="56">
        <v>15.420000000000121</v>
      </c>
      <c r="AT956" s="62">
        <v>19.620000000000019</v>
      </c>
      <c r="AV956" s="64">
        <v>3.728643850000001</v>
      </c>
      <c r="AW956" s="56">
        <v>13.640000000000009</v>
      </c>
      <c r="AX956" s="56">
        <v>15.039999999999941</v>
      </c>
      <c r="AY956" s="62">
        <v>19.859999999999989</v>
      </c>
      <c r="BA956" s="64">
        <v>3.1887924833333332</v>
      </c>
      <c r="BB956" s="56">
        <v>17.099999999999941</v>
      </c>
      <c r="BC956" s="56">
        <v>19.61999999999993</v>
      </c>
      <c r="BD956" s="62">
        <v>31.86</v>
      </c>
      <c r="BF956" s="64">
        <v>2.9747313333333332</v>
      </c>
      <c r="BG956" s="56">
        <v>20.12</v>
      </c>
      <c r="BH956" s="56">
        <v>26.719999999999992</v>
      </c>
      <c r="BI956" s="62">
        <v>53.279999999999987</v>
      </c>
      <c r="BJ956" s="70"/>
      <c r="BK956" s="51"/>
    </row>
    <row r="957" spans="1:63" ht="17.25" customHeight="1" thickBot="1" x14ac:dyDescent="0.45">
      <c r="A957" s="16" t="s">
        <v>1034</v>
      </c>
      <c r="B957" s="4"/>
      <c r="C957" s="4"/>
      <c r="D957" s="4"/>
      <c r="E957" s="12"/>
      <c r="G957" s="147" t="s">
        <v>1034</v>
      </c>
      <c r="H957" s="159">
        <v>70.075999999999993</v>
      </c>
      <c r="I957" s="153">
        <v>70.37</v>
      </c>
      <c r="J957" s="153">
        <v>70.31</v>
      </c>
      <c r="K957" s="153">
        <v>70.349999999999994</v>
      </c>
      <c r="L957" s="153">
        <v>70.319999999999993</v>
      </c>
      <c r="M957" s="80">
        <f t="shared" si="28"/>
        <v>70.37</v>
      </c>
      <c r="N957" s="80">
        <f t="shared" si="29"/>
        <v>70.31</v>
      </c>
      <c r="O957" s="153">
        <v>21.18</v>
      </c>
      <c r="P957" s="153">
        <v>21.03</v>
      </c>
      <c r="Q957" s="153">
        <v>21.14</v>
      </c>
      <c r="R957" s="153">
        <v>21.02</v>
      </c>
      <c r="S957" s="4"/>
      <c r="U957" s="147" t="s">
        <v>1034</v>
      </c>
      <c r="V957" s="11"/>
      <c r="W957" s="4"/>
      <c r="X957" s="12"/>
      <c r="Y957" s="14"/>
      <c r="Z957" s="4"/>
      <c r="AA957" s="13"/>
      <c r="AB957" s="11"/>
      <c r="AC957" s="4"/>
      <c r="AD957" s="12"/>
      <c r="AE957" s="13"/>
      <c r="AF957" s="14">
        <v>5.0236999999999998</v>
      </c>
      <c r="AG957" s="133"/>
      <c r="AI957" s="84"/>
      <c r="AL957" s="64">
        <v>4.1709004666666667</v>
      </c>
      <c r="AM957" s="56">
        <v>14.63999999999999</v>
      </c>
      <c r="AN957" s="56">
        <v>16.559999999999949</v>
      </c>
      <c r="AO957" s="62">
        <v>22.819999999999929</v>
      </c>
      <c r="AQ957" s="64">
        <v>4.0805467499999999</v>
      </c>
      <c r="AR957" s="56">
        <v>14.09999999999982</v>
      </c>
      <c r="AS957" s="56">
        <v>15.49999999999994</v>
      </c>
      <c r="AT957" s="62">
        <v>19.699999999999921</v>
      </c>
      <c r="AV957" s="64">
        <v>3.7267134166666671</v>
      </c>
      <c r="AW957" s="56">
        <v>13.68</v>
      </c>
      <c r="AX957" s="56">
        <v>15.09999999999998</v>
      </c>
      <c r="AY957" s="62">
        <v>19.919999999999941</v>
      </c>
      <c r="BA957" s="64">
        <v>3.1871805499999999</v>
      </c>
      <c r="BB957" s="56">
        <v>17.020000000000039</v>
      </c>
      <c r="BC957" s="56">
        <v>19.500000000000028</v>
      </c>
      <c r="BD957" s="62">
        <v>31.660000000000021</v>
      </c>
      <c r="BF957" s="64">
        <v>2.9721515666666671</v>
      </c>
      <c r="BG957" s="56">
        <v>19.980000000000061</v>
      </c>
      <c r="BH957" s="56">
        <v>26.580000000000052</v>
      </c>
      <c r="BI957" s="62">
        <v>52.979999999999983</v>
      </c>
      <c r="BJ957" s="69"/>
      <c r="BK957" s="51"/>
    </row>
    <row r="958" spans="1:63" ht="17.25" customHeight="1" thickBot="1" x14ac:dyDescent="0.45">
      <c r="A958" s="16" t="s">
        <v>1035</v>
      </c>
      <c r="B958" s="4"/>
      <c r="C958" s="4"/>
      <c r="D958" s="4"/>
      <c r="E958" s="12"/>
      <c r="G958" s="147" t="s">
        <v>1035</v>
      </c>
      <c r="H958" s="159">
        <v>70.161000000000001</v>
      </c>
      <c r="I958" s="153">
        <v>70.36</v>
      </c>
      <c r="J958" s="153">
        <v>70.3</v>
      </c>
      <c r="K958" s="153">
        <v>70.39</v>
      </c>
      <c r="L958" s="153">
        <v>70.31</v>
      </c>
      <c r="M958" s="80">
        <f t="shared" si="28"/>
        <v>70.39</v>
      </c>
      <c r="N958" s="80">
        <f t="shared" si="29"/>
        <v>70.3</v>
      </c>
      <c r="O958" s="153">
        <v>21.12</v>
      </c>
      <c r="P958" s="153">
        <v>20.99</v>
      </c>
      <c r="Q958" s="153">
        <v>21.13</v>
      </c>
      <c r="R958" s="153">
        <v>21.05</v>
      </c>
      <c r="S958" s="4"/>
      <c r="U958" s="147" t="s">
        <v>1035</v>
      </c>
      <c r="V958" s="11"/>
      <c r="W958" s="4"/>
      <c r="X958" s="12"/>
      <c r="Y958" s="14"/>
      <c r="Z958" s="4"/>
      <c r="AA958" s="13"/>
      <c r="AB958" s="11"/>
      <c r="AC958" s="4"/>
      <c r="AD958" s="12"/>
      <c r="AE958" s="13"/>
      <c r="AF958" s="14">
        <v>5.0187999999999997</v>
      </c>
      <c r="AG958" s="133"/>
      <c r="AI958" s="84"/>
      <c r="AL958" s="64">
        <v>4.1704686166666667</v>
      </c>
      <c r="AM958" s="56">
        <v>14.43999999999992</v>
      </c>
      <c r="AN958" s="56">
        <v>16.39999999999997</v>
      </c>
      <c r="AO958" s="62">
        <v>22.65999999999995</v>
      </c>
      <c r="AQ958" s="64">
        <v>4.0805253666666674</v>
      </c>
      <c r="AR958" s="56">
        <v>14.019999999999831</v>
      </c>
      <c r="AS958" s="56">
        <v>15.4399999999999</v>
      </c>
      <c r="AT958" s="62">
        <v>19.659999999999918</v>
      </c>
      <c r="AV958" s="64">
        <v>3.7265176499999999</v>
      </c>
      <c r="AW958" s="56">
        <v>13.659999999999959</v>
      </c>
      <c r="AX958" s="56">
        <v>15.039999999999941</v>
      </c>
      <c r="AY958" s="62">
        <v>19.859999999999989</v>
      </c>
      <c r="BA958" s="64">
        <v>3.185545166666667</v>
      </c>
      <c r="BB958" s="56">
        <v>17.01999999999995</v>
      </c>
      <c r="BC958" s="56">
        <v>19.519999999999978</v>
      </c>
      <c r="BD958" s="62">
        <v>31.740000000000009</v>
      </c>
      <c r="BF958" s="64">
        <v>2.9716642166666669</v>
      </c>
      <c r="BG958" s="56">
        <v>19.93999999999998</v>
      </c>
      <c r="BH958" s="56">
        <v>26.560000000000009</v>
      </c>
      <c r="BI958" s="62">
        <v>53.059999999999967</v>
      </c>
      <c r="BJ958" s="69"/>
      <c r="BK958" s="51"/>
    </row>
    <row r="959" spans="1:63" ht="17.25" customHeight="1" thickBot="1" x14ac:dyDescent="0.45">
      <c r="A959" s="16" t="s">
        <v>1036</v>
      </c>
      <c r="B959" s="4"/>
      <c r="C959" s="4"/>
      <c r="D959" s="4"/>
      <c r="E959" s="12"/>
      <c r="G959" s="147" t="s">
        <v>1036</v>
      </c>
      <c r="H959" s="159">
        <v>70.126000000000005</v>
      </c>
      <c r="I959" s="153">
        <v>70.319999999999993</v>
      </c>
      <c r="J959" s="153">
        <v>70.28</v>
      </c>
      <c r="K959" s="153">
        <v>70.28</v>
      </c>
      <c r="L959" s="153">
        <v>70.34</v>
      </c>
      <c r="M959" s="80">
        <f t="shared" si="28"/>
        <v>70.34</v>
      </c>
      <c r="N959" s="80">
        <f t="shared" si="29"/>
        <v>70.28</v>
      </c>
      <c r="O959" s="153">
        <v>21.18</v>
      </c>
      <c r="P959" s="153">
        <v>21.04</v>
      </c>
      <c r="Q959" s="153">
        <v>21.09</v>
      </c>
      <c r="R959" s="153">
        <v>21.08</v>
      </c>
      <c r="S959" s="4"/>
      <c r="U959" s="147" t="s">
        <v>1036</v>
      </c>
      <c r="V959" s="11"/>
      <c r="W959" s="4"/>
      <c r="X959" s="12"/>
      <c r="Y959" s="14"/>
      <c r="Z959" s="4"/>
      <c r="AA959" s="13"/>
      <c r="AB959" s="11"/>
      <c r="AC959" s="4"/>
      <c r="AD959" s="12"/>
      <c r="AE959" s="13"/>
      <c r="AF959" s="14">
        <v>5.0412999999999997</v>
      </c>
      <c r="AG959" s="133"/>
      <c r="AI959" s="84"/>
      <c r="AL959" s="64">
        <v>4.1712798166666669</v>
      </c>
      <c r="AM959" s="56">
        <v>14.43999999999992</v>
      </c>
      <c r="AN959" s="56">
        <v>16.359999999999889</v>
      </c>
      <c r="AO959" s="62">
        <v>22.579999999999959</v>
      </c>
      <c r="AQ959" s="64">
        <v>4.081134033333333</v>
      </c>
      <c r="AR959" s="56">
        <v>13.959999999999971</v>
      </c>
      <c r="AS959" s="56">
        <v>15.359999999999911</v>
      </c>
      <c r="AT959" s="62">
        <v>19.559999999999981</v>
      </c>
      <c r="AV959" s="64">
        <v>3.7281304166666658</v>
      </c>
      <c r="AW959" s="56">
        <v>13.480000000000031</v>
      </c>
      <c r="AX959" s="56">
        <v>14.880000000000051</v>
      </c>
      <c r="AY959" s="62">
        <v>19.660000000000011</v>
      </c>
      <c r="BA959" s="64">
        <v>3.187225783333334</v>
      </c>
      <c r="BB959" s="56">
        <v>16.560000000000041</v>
      </c>
      <c r="BC959" s="56">
        <v>19.040000000000031</v>
      </c>
      <c r="BD959" s="62">
        <v>31.180000000000071</v>
      </c>
      <c r="BF959" s="64">
        <v>2.9668582666666659</v>
      </c>
      <c r="BG959" s="56">
        <v>19.620000000000019</v>
      </c>
      <c r="BH959" s="56">
        <v>26.200000000000049</v>
      </c>
      <c r="BI959" s="62">
        <v>53.120000000000012</v>
      </c>
      <c r="BJ959" s="69"/>
      <c r="BK959" s="51"/>
    </row>
    <row r="960" spans="1:63" ht="17.25" customHeight="1" thickBot="1" x14ac:dyDescent="0.45">
      <c r="A960" s="16" t="s">
        <v>1037</v>
      </c>
      <c r="B960" s="4"/>
      <c r="C960" s="4"/>
      <c r="D960" s="4"/>
      <c r="E960" s="12"/>
      <c r="G960" s="147" t="s">
        <v>1037</v>
      </c>
      <c r="H960" s="159">
        <v>70.028000000000006</v>
      </c>
      <c r="I960" s="153">
        <v>70.3</v>
      </c>
      <c r="J960" s="153">
        <v>70.38</v>
      </c>
      <c r="K960" s="153">
        <v>70.27</v>
      </c>
      <c r="L960" s="153">
        <v>70.319999999999993</v>
      </c>
      <c r="M960" s="80">
        <f t="shared" si="28"/>
        <v>70.38</v>
      </c>
      <c r="N960" s="80">
        <f t="shared" si="29"/>
        <v>70.27</v>
      </c>
      <c r="O960" s="153">
        <v>21.08</v>
      </c>
      <c r="P960" s="153">
        <v>21.1</v>
      </c>
      <c r="Q960" s="153">
        <v>21.1</v>
      </c>
      <c r="R960" s="153">
        <v>21.08</v>
      </c>
      <c r="S960" s="4"/>
      <c r="U960" s="147" t="s">
        <v>1037</v>
      </c>
      <c r="V960" s="11"/>
      <c r="W960" s="4"/>
      <c r="X960" s="12"/>
      <c r="Y960" s="14"/>
      <c r="Z960" s="4"/>
      <c r="AA960" s="13"/>
      <c r="AB960" s="11"/>
      <c r="AC960" s="4"/>
      <c r="AD960" s="12"/>
      <c r="AE960" s="13"/>
      <c r="AF960" s="14">
        <v>5.0175999999999998</v>
      </c>
      <c r="AG960" s="133"/>
      <c r="AI960" s="84"/>
      <c r="AL960" s="64">
        <v>4.1707839333333334</v>
      </c>
      <c r="AM960" s="56">
        <v>14.41999999999997</v>
      </c>
      <c r="AN960" s="56">
        <v>16.36000000000006</v>
      </c>
      <c r="AO960" s="62">
        <v>22.599999999999909</v>
      </c>
      <c r="AQ960" s="64">
        <v>4.0817143499999986</v>
      </c>
      <c r="AR960" s="56">
        <v>14.03999999999996</v>
      </c>
      <c r="AS960" s="56">
        <v>15.45999999999985</v>
      </c>
      <c r="AT960" s="62">
        <v>19.659999999999918</v>
      </c>
      <c r="AV960" s="64">
        <v>3.72827975</v>
      </c>
      <c r="AW960" s="56">
        <v>13.619999999999971</v>
      </c>
      <c r="AX960" s="56">
        <v>14.99999999999995</v>
      </c>
      <c r="AY960" s="62">
        <v>19.81999999999999</v>
      </c>
      <c r="BA960" s="64">
        <v>3.1866918833333329</v>
      </c>
      <c r="BB960" s="56">
        <v>16.88000000000001</v>
      </c>
      <c r="BC960" s="56">
        <v>19.379999999999949</v>
      </c>
      <c r="BD960" s="62">
        <v>31.619999999999941</v>
      </c>
      <c r="BF960" s="64">
        <v>2.9683947333333331</v>
      </c>
      <c r="BG960" s="56">
        <v>19.83999999999995</v>
      </c>
      <c r="BH960" s="56">
        <v>26.43999999999993</v>
      </c>
      <c r="BI960" s="62">
        <v>53.239999999999988</v>
      </c>
      <c r="BJ960" s="69"/>
      <c r="BK960" s="51"/>
    </row>
    <row r="961" spans="1:63" ht="17.25" customHeight="1" thickBot="1" x14ac:dyDescent="0.45">
      <c r="A961" s="16" t="s">
        <v>1038</v>
      </c>
      <c r="B961" s="4"/>
      <c r="C961" s="4"/>
      <c r="D961" s="4"/>
      <c r="E961" s="12"/>
      <c r="G961" s="147" t="s">
        <v>1038</v>
      </c>
      <c r="H961" s="159">
        <v>69.91</v>
      </c>
      <c r="I961" s="153">
        <v>70.31</v>
      </c>
      <c r="J961" s="153">
        <v>70.27</v>
      </c>
      <c r="K961" s="153">
        <v>70.290000000000006</v>
      </c>
      <c r="L961" s="153">
        <v>70.319999999999993</v>
      </c>
      <c r="M961" s="80">
        <f t="shared" si="28"/>
        <v>70.319999999999993</v>
      </c>
      <c r="N961" s="80">
        <f t="shared" si="29"/>
        <v>70.27</v>
      </c>
      <c r="O961" s="153">
        <v>21.2</v>
      </c>
      <c r="P961" s="153">
        <v>21.13</v>
      </c>
      <c r="Q961" s="153">
        <v>21.14</v>
      </c>
      <c r="R961" s="153">
        <v>21.13</v>
      </c>
      <c r="S961" s="4"/>
      <c r="U961" s="147" t="s">
        <v>1038</v>
      </c>
      <c r="V961" s="11"/>
      <c r="W961" s="4"/>
      <c r="X961" s="12"/>
      <c r="Y961" s="14"/>
      <c r="Z961" s="4"/>
      <c r="AA961" s="13"/>
      <c r="AB961" s="11"/>
      <c r="AC961" s="4"/>
      <c r="AD961" s="12"/>
      <c r="AE961" s="13"/>
      <c r="AF961" s="14">
        <v>5.0288000000000004</v>
      </c>
      <c r="AG961" s="133"/>
      <c r="AI961" s="96"/>
      <c r="AL961" s="64">
        <v>4.1704930666666664</v>
      </c>
      <c r="AM961" s="56">
        <v>14.499999999999959</v>
      </c>
      <c r="AN961" s="56">
        <v>16.41999999999992</v>
      </c>
      <c r="AO961" s="62">
        <v>22.599999999999909</v>
      </c>
      <c r="AQ961" s="64">
        <v>4.0815068499999994</v>
      </c>
      <c r="AR961" s="56">
        <v>14.03999999999996</v>
      </c>
      <c r="AS961" s="56">
        <v>15.440000000000079</v>
      </c>
      <c r="AT961" s="62">
        <v>19.600000000000058</v>
      </c>
      <c r="AV961" s="64">
        <v>3.7275491999999999</v>
      </c>
      <c r="AW961" s="56">
        <v>13.559999999999929</v>
      </c>
      <c r="AX961" s="56">
        <v>14.94</v>
      </c>
      <c r="AY961" s="62">
        <v>19.739999999999998</v>
      </c>
      <c r="BA961" s="64">
        <v>3.1792856</v>
      </c>
      <c r="BB961" s="56">
        <v>17.020000000000039</v>
      </c>
      <c r="BC961" s="56">
        <v>19.600000000000058</v>
      </c>
      <c r="BD961" s="62">
        <v>32.200000000000003</v>
      </c>
      <c r="BF961" s="64">
        <v>2.9688077000000002</v>
      </c>
      <c r="BG961" s="56">
        <v>19.919999999999941</v>
      </c>
      <c r="BH961" s="56">
        <v>26.75999999999998</v>
      </c>
      <c r="BI961" s="62">
        <v>53.979999999999961</v>
      </c>
      <c r="BJ961" s="70"/>
      <c r="BK961" s="51"/>
    </row>
    <row r="962" spans="1:63" ht="17.25" customHeight="1" thickBot="1" x14ac:dyDescent="0.45">
      <c r="A962" s="16" t="s">
        <v>1039</v>
      </c>
      <c r="B962" s="4"/>
      <c r="C962" s="4"/>
      <c r="D962" s="4"/>
      <c r="E962" s="12"/>
      <c r="G962" s="147" t="s">
        <v>1039</v>
      </c>
      <c r="H962" s="159">
        <v>70.036000000000001</v>
      </c>
      <c r="I962" s="153">
        <v>70.33</v>
      </c>
      <c r="J962" s="153">
        <v>70.319999999999993</v>
      </c>
      <c r="K962" s="153">
        <v>70.34</v>
      </c>
      <c r="L962" s="153">
        <v>70.349999999999994</v>
      </c>
      <c r="M962" s="80">
        <f t="shared" si="28"/>
        <v>70.349999999999994</v>
      </c>
      <c r="N962" s="80">
        <f t="shared" si="29"/>
        <v>70.319999999999993</v>
      </c>
      <c r="O962" s="153">
        <v>21.15</v>
      </c>
      <c r="P962" s="153">
        <v>21.15</v>
      </c>
      <c r="Q962" s="153">
        <v>21.17</v>
      </c>
      <c r="R962" s="153">
        <v>21.03</v>
      </c>
      <c r="S962" s="4"/>
      <c r="U962" s="147" t="s">
        <v>1039</v>
      </c>
      <c r="V962" s="11"/>
      <c r="W962" s="4"/>
      <c r="X962" s="12"/>
      <c r="Y962" s="14"/>
      <c r="Z962" s="4"/>
      <c r="AA962" s="13"/>
      <c r="AB962" s="11"/>
      <c r="AC962" s="4"/>
      <c r="AD962" s="12"/>
      <c r="AE962" s="13"/>
      <c r="AF962" s="14">
        <v>5.0525000000000002</v>
      </c>
      <c r="AG962" s="133"/>
      <c r="AI962" s="96"/>
      <c r="AL962" s="64">
        <v>4.1706081833333339</v>
      </c>
      <c r="AM962" s="56">
        <v>14.74000000000011</v>
      </c>
      <c r="AN962" s="56">
        <v>16.640000000000121</v>
      </c>
      <c r="AO962" s="62">
        <v>22.86000000000001</v>
      </c>
      <c r="AQ962" s="64">
        <v>4.0811655666666669</v>
      </c>
      <c r="AR962" s="56">
        <v>14.24000000000003</v>
      </c>
      <c r="AS962" s="56">
        <v>15.63999999999997</v>
      </c>
      <c r="AT962" s="62">
        <v>19.859999999999989</v>
      </c>
      <c r="AV962" s="64">
        <v>3.7261629666666671</v>
      </c>
      <c r="AW962" s="56">
        <v>13.86000000000003</v>
      </c>
      <c r="AX962" s="56">
        <v>15.259999999999961</v>
      </c>
      <c r="AY962" s="62">
        <v>20.12</v>
      </c>
      <c r="BA962" s="64">
        <v>3.1802052500000002</v>
      </c>
      <c r="BB962" s="56">
        <v>17.539999999999981</v>
      </c>
      <c r="BC962" s="56">
        <v>20.16</v>
      </c>
      <c r="BD962" s="62">
        <v>32.67999999999995</v>
      </c>
      <c r="BF962" s="64">
        <v>2.9683345166666659</v>
      </c>
      <c r="BG962" s="56">
        <v>20.420000000000019</v>
      </c>
      <c r="BH962" s="56">
        <v>27.539999999999939</v>
      </c>
      <c r="BI962" s="62">
        <v>54.85999999999995</v>
      </c>
      <c r="BJ962" s="70"/>
      <c r="BK962" s="51"/>
    </row>
    <row r="963" spans="1:63" ht="17.25" customHeight="1" thickBot="1" x14ac:dyDescent="0.45">
      <c r="A963" s="16" t="s">
        <v>1040</v>
      </c>
      <c r="B963" s="4"/>
      <c r="C963" s="4"/>
      <c r="D963" s="4"/>
      <c r="E963" s="12"/>
      <c r="G963" s="147" t="s">
        <v>1040</v>
      </c>
      <c r="H963" s="159">
        <v>70.111999999999995</v>
      </c>
      <c r="I963" s="153">
        <v>70.27</v>
      </c>
      <c r="J963" s="153">
        <v>70.33</v>
      </c>
      <c r="K963" s="153">
        <v>70.400000000000006</v>
      </c>
      <c r="L963" s="153">
        <v>70.34</v>
      </c>
      <c r="M963" s="80">
        <f t="shared" si="28"/>
        <v>70.400000000000006</v>
      </c>
      <c r="N963" s="80">
        <f t="shared" si="29"/>
        <v>70.27</v>
      </c>
      <c r="O963" s="153">
        <v>21.17</v>
      </c>
      <c r="P963" s="153">
        <v>21.11</v>
      </c>
      <c r="Q963" s="153">
        <v>21.14</v>
      </c>
      <c r="R963" s="153">
        <v>21.08</v>
      </c>
      <c r="S963" s="4"/>
      <c r="U963" s="147" t="s">
        <v>1040</v>
      </c>
      <c r="V963" s="11"/>
      <c r="W963" s="4"/>
      <c r="X963" s="12"/>
      <c r="Y963" s="14"/>
      <c r="Z963" s="4"/>
      <c r="AA963" s="13"/>
      <c r="AB963" s="11"/>
      <c r="AC963" s="4"/>
      <c r="AD963" s="12"/>
      <c r="AE963" s="13"/>
      <c r="AF963" s="14">
        <v>5.0251999999999999</v>
      </c>
      <c r="AG963" s="133"/>
      <c r="AI963" s="96"/>
      <c r="AL963" s="64">
        <v>4.170240483333334</v>
      </c>
      <c r="AM963" s="56">
        <v>14.720000000000161</v>
      </c>
      <c r="AN963" s="56">
        <v>16.600000000000041</v>
      </c>
      <c r="AO963" s="62">
        <v>22.84000000000006</v>
      </c>
      <c r="AQ963" s="64">
        <v>4.0803508333333331</v>
      </c>
      <c r="AR963" s="56">
        <v>14.059999999999921</v>
      </c>
      <c r="AS963" s="56">
        <v>15.460000000000029</v>
      </c>
      <c r="AT963" s="62">
        <v>19.660000000000011</v>
      </c>
      <c r="AV963" s="64">
        <v>3.7266536000000001</v>
      </c>
      <c r="AW963" s="56">
        <v>13.620000000000051</v>
      </c>
      <c r="AX963" s="56">
        <v>15.040000000000029</v>
      </c>
      <c r="AY963" s="62">
        <v>19.859999999999989</v>
      </c>
      <c r="BA963" s="64">
        <v>3.184067333333334</v>
      </c>
      <c r="BB963" s="56">
        <v>17.10000000000003</v>
      </c>
      <c r="BC963" s="56">
        <v>19.640000000000061</v>
      </c>
      <c r="BD963" s="62">
        <v>32.019999999999982</v>
      </c>
      <c r="BF963" s="64">
        <v>2.9701955166666671</v>
      </c>
      <c r="BG963" s="56">
        <v>20.060000000000059</v>
      </c>
      <c r="BH963" s="56">
        <v>26.880000000000059</v>
      </c>
      <c r="BI963" s="62">
        <v>53.77999999999998</v>
      </c>
      <c r="BJ963" s="70"/>
      <c r="BK963" s="51"/>
    </row>
    <row r="964" spans="1:63" ht="17.25" customHeight="1" thickBot="1" x14ac:dyDescent="0.45">
      <c r="A964" s="16" t="s">
        <v>1041</v>
      </c>
      <c r="B964" s="4"/>
      <c r="C964" s="4"/>
      <c r="D964" s="4"/>
      <c r="E964" s="12"/>
      <c r="G964" s="147" t="s">
        <v>1041</v>
      </c>
      <c r="H964" s="159">
        <v>70.117999999999995</v>
      </c>
      <c r="I964" s="153">
        <v>70.36</v>
      </c>
      <c r="J964" s="153">
        <v>70.31</v>
      </c>
      <c r="K964" s="153">
        <v>70.37</v>
      </c>
      <c r="L964" s="153">
        <v>70.37</v>
      </c>
      <c r="M964" s="80">
        <f t="shared" si="28"/>
        <v>70.37</v>
      </c>
      <c r="N964" s="80">
        <f t="shared" si="29"/>
        <v>70.31</v>
      </c>
      <c r="O964" s="153">
        <v>21.19</v>
      </c>
      <c r="P964" s="153">
        <v>21.09</v>
      </c>
      <c r="Q964" s="153">
        <v>21.16</v>
      </c>
      <c r="R964" s="153">
        <v>21.05</v>
      </c>
      <c r="S964" s="4"/>
      <c r="U964" s="147" t="s">
        <v>1041</v>
      </c>
      <c r="V964" s="11"/>
      <c r="W964" s="4"/>
      <c r="X964" s="12"/>
      <c r="Y964" s="14"/>
      <c r="Z964" s="4"/>
      <c r="AA964" s="13"/>
      <c r="AB964" s="11"/>
      <c r="AC964" s="4"/>
      <c r="AD964" s="12"/>
      <c r="AE964" s="13"/>
      <c r="AF964" s="14">
        <v>5.0381999999999998</v>
      </c>
      <c r="AG964" s="133"/>
      <c r="AI964" s="96"/>
      <c r="AL964" s="64">
        <v>4.170009816666667</v>
      </c>
      <c r="AM964" s="56">
        <v>14.98000000000008</v>
      </c>
      <c r="AN964" s="56">
        <v>16.939999999999959</v>
      </c>
      <c r="AO964" s="62">
        <v>23.24000000000002</v>
      </c>
      <c r="AQ964" s="64">
        <v>4.0824986999999986</v>
      </c>
      <c r="AR964" s="56">
        <v>14.519999999999911</v>
      </c>
      <c r="AS964" s="56">
        <v>15.95999999999993</v>
      </c>
      <c r="AT964" s="62">
        <v>20.239999999999899</v>
      </c>
      <c r="AV964" s="64">
        <v>3.7281618333333331</v>
      </c>
      <c r="AW964" s="56">
        <v>13.980000000000009</v>
      </c>
      <c r="AX964" s="56">
        <v>15.439999999999991</v>
      </c>
      <c r="AY964" s="62">
        <v>20.359999999999982</v>
      </c>
      <c r="BA964" s="64">
        <v>3.1827331166666659</v>
      </c>
      <c r="BB964" s="56">
        <v>17.099999999999941</v>
      </c>
      <c r="BC964" s="56">
        <v>19.71999999999996</v>
      </c>
      <c r="BD964" s="62">
        <v>32.299999999999947</v>
      </c>
      <c r="BF964" s="64">
        <v>2.9666654333333331</v>
      </c>
      <c r="BG964" s="56">
        <v>19.739999999999998</v>
      </c>
      <c r="BH964" s="56">
        <v>25.95999999999998</v>
      </c>
      <c r="BI964" s="62">
        <v>52.079999999999949</v>
      </c>
      <c r="BJ964" s="70"/>
      <c r="BK964" s="51"/>
    </row>
    <row r="965" spans="1:63" ht="17.25" customHeight="1" thickBot="1" x14ac:dyDescent="0.45">
      <c r="A965" s="16" t="s">
        <v>1042</v>
      </c>
      <c r="B965" s="4"/>
      <c r="C965" s="4"/>
      <c r="D965" s="4"/>
      <c r="E965" s="12"/>
      <c r="G965" s="147" t="s">
        <v>1042</v>
      </c>
      <c r="H965" s="159">
        <v>69.981999999999999</v>
      </c>
      <c r="I965" s="153">
        <v>70.34</v>
      </c>
      <c r="J965" s="153">
        <v>70.400000000000006</v>
      </c>
      <c r="K965" s="153">
        <v>70.290000000000006</v>
      </c>
      <c r="L965" s="153">
        <v>70.27</v>
      </c>
      <c r="M965" s="80">
        <f t="shared" si="28"/>
        <v>70.400000000000006</v>
      </c>
      <c r="N965" s="80">
        <f t="shared" si="29"/>
        <v>70.27</v>
      </c>
      <c r="O965" s="153">
        <v>21.14</v>
      </c>
      <c r="P965" s="153">
        <v>21.06</v>
      </c>
      <c r="Q965" s="153">
        <v>21.14</v>
      </c>
      <c r="R965" s="153">
        <v>21.03</v>
      </c>
      <c r="S965" s="4"/>
      <c r="U965" s="147" t="s">
        <v>1042</v>
      </c>
      <c r="V965" s="11"/>
      <c r="W965" s="4"/>
      <c r="X965" s="12"/>
      <c r="Y965" s="14"/>
      <c r="Z965" s="4"/>
      <c r="AA965" s="13"/>
      <c r="AB965" s="11"/>
      <c r="AC965" s="4"/>
      <c r="AD965" s="12"/>
      <c r="AE965" s="13"/>
      <c r="AF965" s="14">
        <v>5.0110000000000001</v>
      </c>
      <c r="AG965" s="133"/>
      <c r="AI965" s="96"/>
      <c r="AL965" s="64">
        <v>4.1709993666666669</v>
      </c>
      <c r="AM965" s="56">
        <v>14.660000000000119</v>
      </c>
      <c r="AN965" s="56">
        <v>16.58000000000008</v>
      </c>
      <c r="AO965" s="62">
        <v>22.84000000000006</v>
      </c>
      <c r="AQ965" s="64">
        <v>4.0817285166666659</v>
      </c>
      <c r="AR965" s="56">
        <v>14.24000000000003</v>
      </c>
      <c r="AS965" s="56">
        <v>15.6600000000001</v>
      </c>
      <c r="AT965" s="62">
        <v>19.880000000000031</v>
      </c>
      <c r="AV965" s="64">
        <v>3.7287089999999998</v>
      </c>
      <c r="AW965" s="56">
        <v>13.79999999999999</v>
      </c>
      <c r="AX965" s="56">
        <v>15.20000000000001</v>
      </c>
      <c r="AY965" s="62">
        <v>20.04000000000001</v>
      </c>
      <c r="BA965" s="64">
        <v>3.187967200000001</v>
      </c>
      <c r="BB965" s="56">
        <v>17.3</v>
      </c>
      <c r="BC965" s="56">
        <v>19.859999999999989</v>
      </c>
      <c r="BD965" s="62">
        <v>32.179999999999957</v>
      </c>
      <c r="BF965" s="64">
        <v>2.9725780500000001</v>
      </c>
      <c r="BG965" s="56">
        <v>20.220000000000041</v>
      </c>
      <c r="BH965" s="56">
        <v>26.820000000000022</v>
      </c>
      <c r="BI965" s="62">
        <v>53.479999999999983</v>
      </c>
      <c r="BJ965" s="70"/>
      <c r="BK965" s="51"/>
    </row>
    <row r="966" spans="1:63" ht="17.25" customHeight="1" thickBot="1" x14ac:dyDescent="0.45">
      <c r="A966" s="16" t="s">
        <v>1043</v>
      </c>
      <c r="B966" s="4"/>
      <c r="C966" s="4"/>
      <c r="D966" s="4"/>
      <c r="E966" s="12"/>
      <c r="G966" s="147" t="s">
        <v>1043</v>
      </c>
      <c r="H966" s="159">
        <v>70.066999999999993</v>
      </c>
      <c r="I966" s="153">
        <v>70.37</v>
      </c>
      <c r="J966" s="153">
        <v>70.37</v>
      </c>
      <c r="K966" s="153">
        <v>70.290000000000006</v>
      </c>
      <c r="L966" s="153">
        <v>70.3</v>
      </c>
      <c r="M966" s="80">
        <f t="shared" ref="M966:M1029" si="30">MAX(I966:L966)</f>
        <v>70.37</v>
      </c>
      <c r="N966" s="80">
        <f t="shared" ref="N966:N1029" si="31">MIN(I966:L966)</f>
        <v>70.290000000000006</v>
      </c>
      <c r="O966" s="153">
        <v>21.2</v>
      </c>
      <c r="P966" s="153">
        <v>21.11</v>
      </c>
      <c r="Q966" s="153">
        <v>21.12</v>
      </c>
      <c r="R966" s="153">
        <v>21.11</v>
      </c>
      <c r="S966" s="4"/>
      <c r="U966" s="147" t="s">
        <v>1043</v>
      </c>
      <c r="V966" s="11"/>
      <c r="W966" s="4"/>
      <c r="X966" s="12"/>
      <c r="Y966" s="14"/>
      <c r="Z966" s="4"/>
      <c r="AA966" s="13"/>
      <c r="AB966" s="11"/>
      <c r="AC966" s="4"/>
      <c r="AD966" s="12"/>
      <c r="AE966" s="13"/>
      <c r="AF966" s="14">
        <v>5.0221999999999998</v>
      </c>
      <c r="AG966" s="133"/>
      <c r="AI966" s="96"/>
      <c r="AL966" s="64">
        <v>4.1707620833333339</v>
      </c>
      <c r="AM966" s="56">
        <v>14.57999999999995</v>
      </c>
      <c r="AN966" s="56">
        <v>16.520000000000049</v>
      </c>
      <c r="AO966" s="62">
        <v>22.780000000000019</v>
      </c>
      <c r="AQ966" s="64">
        <v>4.082028433333333</v>
      </c>
      <c r="AR966" s="56">
        <v>14.15999999999986</v>
      </c>
      <c r="AS966" s="56">
        <v>15.579999999999931</v>
      </c>
      <c r="AT966" s="62">
        <v>19.83999999999995</v>
      </c>
      <c r="AV966" s="64">
        <v>3.7273870333333341</v>
      </c>
      <c r="AW966" s="56">
        <v>13.79999999999999</v>
      </c>
      <c r="AX966" s="56">
        <v>15.21999999999997</v>
      </c>
      <c r="AY966" s="62">
        <v>20.080000000000009</v>
      </c>
      <c r="BA966" s="64">
        <v>3.1837128333333342</v>
      </c>
      <c r="BB966" s="56">
        <v>17.360000000000039</v>
      </c>
      <c r="BC966" s="56">
        <v>19.92000000000003</v>
      </c>
      <c r="BD966" s="62">
        <v>32.420000000000023</v>
      </c>
      <c r="BF966" s="64">
        <v>2.9749961333333328</v>
      </c>
      <c r="BG966" s="56">
        <v>20.14000000000005</v>
      </c>
      <c r="BH966" s="56">
        <v>26.879999999999971</v>
      </c>
      <c r="BI966" s="62">
        <v>53.380000000000017</v>
      </c>
      <c r="BJ966" s="70"/>
      <c r="BK966" s="51"/>
    </row>
    <row r="967" spans="1:63" ht="17.25" customHeight="1" thickBot="1" x14ac:dyDescent="0.45">
      <c r="A967" s="16" t="s">
        <v>1044</v>
      </c>
      <c r="B967" s="4"/>
      <c r="C967" s="4"/>
      <c r="D967" s="4"/>
      <c r="E967" s="12"/>
      <c r="G967" s="147" t="s">
        <v>1044</v>
      </c>
      <c r="H967" s="159">
        <v>70.02</v>
      </c>
      <c r="I967" s="153">
        <v>70.27</v>
      </c>
      <c r="J967" s="153">
        <v>70.31</v>
      </c>
      <c r="K967" s="153">
        <v>70.37</v>
      </c>
      <c r="L967" s="153">
        <v>70.34</v>
      </c>
      <c r="M967" s="80">
        <f t="shared" si="30"/>
        <v>70.37</v>
      </c>
      <c r="N967" s="80">
        <f t="shared" si="31"/>
        <v>70.27</v>
      </c>
      <c r="O967" s="153">
        <v>21.19</v>
      </c>
      <c r="P967" s="153">
        <v>21.11</v>
      </c>
      <c r="Q967" s="153">
        <v>21.11</v>
      </c>
      <c r="R967" s="153">
        <v>21.1</v>
      </c>
      <c r="S967" s="4"/>
      <c r="U967" s="147" t="s">
        <v>1044</v>
      </c>
      <c r="V967" s="11"/>
      <c r="W967" s="4"/>
      <c r="X967" s="12"/>
      <c r="Y967" s="14"/>
      <c r="Z967" s="4"/>
      <c r="AA967" s="13"/>
      <c r="AB967" s="11"/>
      <c r="AC967" s="4"/>
      <c r="AD967" s="12"/>
      <c r="AE967" s="13"/>
      <c r="AF967" s="14">
        <v>5.0185000000000004</v>
      </c>
      <c r="AG967" s="133"/>
      <c r="AI967" s="96"/>
      <c r="AL967" s="64">
        <v>4.1719497833333339</v>
      </c>
      <c r="AM967" s="56">
        <v>14.279999999999941</v>
      </c>
      <c r="AN967" s="56">
        <v>16.200000000000081</v>
      </c>
      <c r="AO967" s="62">
        <v>22.40000000000002</v>
      </c>
      <c r="AQ967" s="64">
        <v>4.0812400499999999</v>
      </c>
      <c r="AR967" s="56">
        <v>13.86000000000003</v>
      </c>
      <c r="AS967" s="56">
        <v>15.259999999999961</v>
      </c>
      <c r="AT967" s="62">
        <v>19.379999999999949</v>
      </c>
      <c r="AV967" s="64">
        <v>3.7275435166666671</v>
      </c>
      <c r="AW967" s="56">
        <v>13.47999999999994</v>
      </c>
      <c r="AX967" s="56">
        <v>14.87999999999996</v>
      </c>
      <c r="AY967" s="62">
        <v>19.61999999999993</v>
      </c>
      <c r="BA967" s="64">
        <v>3.1860774666666671</v>
      </c>
      <c r="BB967" s="56">
        <v>16.16</v>
      </c>
      <c r="BC967" s="56">
        <v>18.599999999999991</v>
      </c>
      <c r="BD967" s="62">
        <v>30.52000000000001</v>
      </c>
      <c r="BF967" s="64">
        <v>2.9436137000000002</v>
      </c>
      <c r="BG967" s="56">
        <v>19.56000000000007</v>
      </c>
      <c r="BH967" s="56">
        <v>26.29999999999999</v>
      </c>
      <c r="BI967" s="62">
        <v>54.060000000000038</v>
      </c>
      <c r="BJ967" s="70"/>
      <c r="BK967" s="51"/>
    </row>
    <row r="968" spans="1:63" ht="17.25" customHeight="1" thickBot="1" x14ac:dyDescent="0.45">
      <c r="A968" s="16" t="s">
        <v>1045</v>
      </c>
      <c r="B968" s="4"/>
      <c r="C968" s="4"/>
      <c r="D968" s="4"/>
      <c r="E968" s="12"/>
      <c r="G968" s="147" t="s">
        <v>1045</v>
      </c>
      <c r="H968" s="159">
        <v>70.087000000000003</v>
      </c>
      <c r="I968" s="153">
        <v>70.319999999999993</v>
      </c>
      <c r="J968" s="153">
        <v>70.319999999999993</v>
      </c>
      <c r="K968" s="153">
        <v>70.27</v>
      </c>
      <c r="L968" s="153">
        <v>70.31</v>
      </c>
      <c r="M968" s="80">
        <f t="shared" si="30"/>
        <v>70.319999999999993</v>
      </c>
      <c r="N968" s="80">
        <f t="shared" si="31"/>
        <v>70.27</v>
      </c>
      <c r="O968" s="153">
        <v>21.17</v>
      </c>
      <c r="P968" s="153">
        <v>21.13</v>
      </c>
      <c r="Q968" s="153">
        <v>21.15</v>
      </c>
      <c r="R968" s="153">
        <v>21.07</v>
      </c>
      <c r="S968" s="4"/>
      <c r="U968" s="147" t="s">
        <v>1045</v>
      </c>
      <c r="V968" s="11"/>
      <c r="W968" s="4"/>
      <c r="X968" s="12"/>
      <c r="Y968" s="14"/>
      <c r="Z968" s="4"/>
      <c r="AA968" s="13"/>
      <c r="AB968" s="11"/>
      <c r="AC968" s="4"/>
      <c r="AD968" s="12"/>
      <c r="AE968" s="13"/>
      <c r="AF968" s="14">
        <v>5.0263999999999998</v>
      </c>
      <c r="AG968" s="133"/>
      <c r="AI968" s="96"/>
      <c r="AL968" s="64">
        <v>4.1720844833333333</v>
      </c>
      <c r="AM968" s="56">
        <v>14.059999999999921</v>
      </c>
      <c r="AN968" s="56">
        <v>15.95999999999993</v>
      </c>
      <c r="AO968" s="62">
        <v>22.119999999999958</v>
      </c>
      <c r="AQ968" s="64">
        <v>4.0808167833333329</v>
      </c>
      <c r="AR968" s="56">
        <v>13.59999999999992</v>
      </c>
      <c r="AS968" s="56">
        <v>14.979999999999899</v>
      </c>
      <c r="AT968" s="62">
        <v>19.059999999999992</v>
      </c>
      <c r="AV968" s="64">
        <v>3.7271841666666661</v>
      </c>
      <c r="AW968" s="56">
        <v>13.15999999999997</v>
      </c>
      <c r="AX968" s="56">
        <v>14.539999999999949</v>
      </c>
      <c r="AY968" s="62">
        <v>19.240000000000009</v>
      </c>
      <c r="BA968" s="64">
        <v>3.1877203166666672</v>
      </c>
      <c r="BB968" s="56">
        <v>15.72000000000005</v>
      </c>
      <c r="BC968" s="56">
        <v>18.100000000000001</v>
      </c>
      <c r="BD968" s="62">
        <v>29.82000000000005</v>
      </c>
      <c r="BF968" s="64">
        <v>2.941750133333334</v>
      </c>
      <c r="BG968" s="56">
        <v>19.200000000000021</v>
      </c>
      <c r="BH968" s="56">
        <v>25.760000000000009</v>
      </c>
      <c r="BI968" s="62">
        <v>53.420000000000023</v>
      </c>
      <c r="BJ968" s="70"/>
      <c r="BK968" s="51"/>
    </row>
    <row r="969" spans="1:63" ht="17.25" customHeight="1" thickBot="1" x14ac:dyDescent="0.45">
      <c r="A969" s="16" t="s">
        <v>1046</v>
      </c>
      <c r="B969" s="4"/>
      <c r="C969" s="4"/>
      <c r="D969" s="4"/>
      <c r="E969" s="12"/>
      <c r="G969" s="147" t="s">
        <v>1046</v>
      </c>
      <c r="H969" s="159">
        <v>70.037999999999997</v>
      </c>
      <c r="I969" s="153">
        <v>70.349999999999994</v>
      </c>
      <c r="J969" s="153">
        <v>70.400000000000006</v>
      </c>
      <c r="K969" s="153">
        <v>70.38</v>
      </c>
      <c r="L969" s="153">
        <v>70.27</v>
      </c>
      <c r="M969" s="80">
        <f t="shared" si="30"/>
        <v>70.400000000000006</v>
      </c>
      <c r="N969" s="80">
        <f t="shared" si="31"/>
        <v>70.27</v>
      </c>
      <c r="O969" s="153">
        <v>21.2</v>
      </c>
      <c r="P969" s="153">
        <v>21.17</v>
      </c>
      <c r="Q969" s="153">
        <v>21.15</v>
      </c>
      <c r="R969" s="153">
        <v>21.12</v>
      </c>
      <c r="S969" s="4"/>
      <c r="U969" s="147" t="s">
        <v>1046</v>
      </c>
      <c r="V969" s="11"/>
      <c r="W969" s="4"/>
      <c r="X969" s="12"/>
      <c r="Y969" s="14"/>
      <c r="Z969" s="4"/>
      <c r="AA969" s="13"/>
      <c r="AB969" s="11"/>
      <c r="AC969" s="4"/>
      <c r="AD969" s="12"/>
      <c r="AE969" s="13"/>
      <c r="AF969" s="14">
        <v>5.0369000000000002</v>
      </c>
      <c r="AG969" s="133"/>
      <c r="AI969" s="84"/>
      <c r="AL969" s="64">
        <v>4.171831983333333</v>
      </c>
      <c r="AM969" s="56">
        <v>14.680000000000071</v>
      </c>
      <c r="AN969" s="56">
        <v>16.600000000000041</v>
      </c>
      <c r="AO969" s="62">
        <v>22.719999999999981</v>
      </c>
      <c r="AQ969" s="64">
        <v>4.0810689500000006</v>
      </c>
      <c r="AR969" s="56">
        <v>14.02000000000001</v>
      </c>
      <c r="AS969" s="56">
        <v>15.420000000000121</v>
      </c>
      <c r="AT969" s="62">
        <v>19.56000000000007</v>
      </c>
      <c r="AV969" s="64">
        <v>3.727648616666666</v>
      </c>
      <c r="AW969" s="56">
        <v>13.57999999999997</v>
      </c>
      <c r="AX969" s="56">
        <v>15.000000000000041</v>
      </c>
      <c r="AY969" s="62">
        <v>19.78</v>
      </c>
      <c r="BA969" s="64">
        <v>3.1815849833333329</v>
      </c>
      <c r="BB969" s="56">
        <v>16.26000000000003</v>
      </c>
      <c r="BC969" s="56">
        <v>18.74000000000002</v>
      </c>
      <c r="BD969" s="62">
        <v>30.820000000000029</v>
      </c>
      <c r="BF969" s="64">
        <v>2.937620383333333</v>
      </c>
      <c r="BG969" s="56">
        <v>19.80000000000004</v>
      </c>
      <c r="BH969" s="56">
        <v>26.52000000000001</v>
      </c>
      <c r="BI969" s="62">
        <v>54.82000000000005</v>
      </c>
      <c r="BJ969" s="69"/>
      <c r="BK969" s="51"/>
    </row>
    <row r="970" spans="1:63" ht="17.25" customHeight="1" thickBot="1" x14ac:dyDescent="0.45">
      <c r="A970" s="16" t="s">
        <v>1047</v>
      </c>
      <c r="B970" s="4"/>
      <c r="C970" s="4"/>
      <c r="D970" s="4"/>
      <c r="E970" s="12"/>
      <c r="G970" s="147" t="s">
        <v>1047</v>
      </c>
      <c r="H970" s="159">
        <v>69.959000000000003</v>
      </c>
      <c r="I970" s="153">
        <v>70.39</v>
      </c>
      <c r="J970" s="153">
        <v>70.37</v>
      </c>
      <c r="K970" s="153">
        <v>70.37</v>
      </c>
      <c r="L970" s="153">
        <v>70.33</v>
      </c>
      <c r="M970" s="80">
        <f t="shared" si="30"/>
        <v>70.39</v>
      </c>
      <c r="N970" s="80">
        <f t="shared" si="31"/>
        <v>70.33</v>
      </c>
      <c r="O970" s="153">
        <v>21.2</v>
      </c>
      <c r="P970" s="153">
        <v>21.12</v>
      </c>
      <c r="Q970" s="153">
        <v>21.13</v>
      </c>
      <c r="R970" s="153">
        <v>21.09</v>
      </c>
      <c r="S970" s="4"/>
      <c r="U970" s="147" t="s">
        <v>1047</v>
      </c>
      <c r="V970" s="11"/>
      <c r="W970" s="4"/>
      <c r="X970" s="12"/>
      <c r="Y970" s="14"/>
      <c r="Z970" s="4"/>
      <c r="AA970" s="13"/>
      <c r="AB970" s="11"/>
      <c r="AC970" s="4"/>
      <c r="AD970" s="12"/>
      <c r="AE970" s="13"/>
      <c r="AF970" s="14">
        <v>5.0457000000000001</v>
      </c>
      <c r="AG970" s="133"/>
      <c r="AI970" s="84"/>
      <c r="AL970" s="64">
        <v>4.1723705499999992</v>
      </c>
      <c r="AM970" s="56">
        <v>14.19999999999995</v>
      </c>
      <c r="AN970" s="56">
        <v>16.119999999999909</v>
      </c>
      <c r="AO970" s="62">
        <v>22.240000000000041</v>
      </c>
      <c r="AQ970" s="64">
        <v>4.0812926999999997</v>
      </c>
      <c r="AR970" s="56">
        <v>13.66000000000014</v>
      </c>
      <c r="AS970" s="56">
        <v>15.06000000000007</v>
      </c>
      <c r="AT970" s="62">
        <v>19.140000000000072</v>
      </c>
      <c r="AV970" s="64">
        <v>3.728220933333334</v>
      </c>
      <c r="AW970" s="56">
        <v>13.199999999999971</v>
      </c>
      <c r="AX970" s="56">
        <v>14.599999999999991</v>
      </c>
      <c r="AY970" s="62">
        <v>19.280000000000008</v>
      </c>
      <c r="BA970" s="64">
        <v>3.186810616666667</v>
      </c>
      <c r="BB970" s="56">
        <v>15.599999999999969</v>
      </c>
      <c r="BC970" s="56">
        <v>17.980000000000022</v>
      </c>
      <c r="BD970" s="62">
        <v>29.760000000000009</v>
      </c>
      <c r="BF970" s="64">
        <v>2.9404788000000002</v>
      </c>
      <c r="BG970" s="56">
        <v>19.000000000000039</v>
      </c>
      <c r="BH970" s="56">
        <v>25.579999999999981</v>
      </c>
      <c r="BI970" s="62">
        <v>53.399999999999977</v>
      </c>
      <c r="BJ970" s="69"/>
      <c r="BK970" s="51"/>
    </row>
    <row r="971" spans="1:63" ht="17.25" customHeight="1" thickBot="1" x14ac:dyDescent="0.45">
      <c r="A971" s="16" t="s">
        <v>1048</v>
      </c>
      <c r="B971" s="4"/>
      <c r="C971" s="4"/>
      <c r="D971" s="4"/>
      <c r="E971" s="12"/>
      <c r="G971" s="147" t="s">
        <v>1048</v>
      </c>
      <c r="H971" s="159">
        <v>70.040999999999997</v>
      </c>
      <c r="I971" s="153">
        <v>70.319999999999993</v>
      </c>
      <c r="J971" s="153">
        <v>70.31</v>
      </c>
      <c r="K971" s="153">
        <v>70.28</v>
      </c>
      <c r="L971" s="153">
        <v>70.3</v>
      </c>
      <c r="M971" s="80">
        <f t="shared" si="30"/>
        <v>70.319999999999993</v>
      </c>
      <c r="N971" s="80">
        <f t="shared" si="31"/>
        <v>70.28</v>
      </c>
      <c r="O971" s="153">
        <v>21.2</v>
      </c>
      <c r="P971" s="153">
        <v>21.02</v>
      </c>
      <c r="Q971" s="153">
        <v>21.11</v>
      </c>
      <c r="R971" s="153">
        <v>21.09</v>
      </c>
      <c r="S971" s="4"/>
      <c r="U971" s="147" t="s">
        <v>1048</v>
      </c>
      <c r="V971" s="11"/>
      <c r="W971" s="4"/>
      <c r="X971" s="12"/>
      <c r="Y971" s="14"/>
      <c r="Z971" s="4"/>
      <c r="AA971" s="13"/>
      <c r="AB971" s="11"/>
      <c r="AC971" s="4"/>
      <c r="AD971" s="12"/>
      <c r="AE971" s="13"/>
      <c r="AF971" s="14">
        <v>5.0468000000000002</v>
      </c>
      <c r="AG971" s="133"/>
      <c r="AI971" s="96"/>
      <c r="AL971" s="64">
        <v>4.17227675</v>
      </c>
      <c r="AM971" s="56">
        <v>14.02000000000001</v>
      </c>
      <c r="AN971" s="56">
        <v>15.920000000000019</v>
      </c>
      <c r="AO971" s="62">
        <v>22.020000000000021</v>
      </c>
      <c r="AQ971" s="64">
        <v>4.0821760833333327</v>
      </c>
      <c r="AR971" s="56">
        <v>13.620000000000051</v>
      </c>
      <c r="AS971" s="56">
        <v>15.019999999999991</v>
      </c>
      <c r="AT971" s="62">
        <v>19.08000000000003</v>
      </c>
      <c r="AV971" s="64">
        <v>3.728291866666666</v>
      </c>
      <c r="AW971" s="56">
        <v>13.18000000000001</v>
      </c>
      <c r="AX971" s="56">
        <v>14.56</v>
      </c>
      <c r="AY971" s="62">
        <v>19.260000000000051</v>
      </c>
      <c r="BA971" s="64">
        <v>3.1824989499999998</v>
      </c>
      <c r="BB971" s="56">
        <v>15.78</v>
      </c>
      <c r="BC971" s="56">
        <v>18.239999999999949</v>
      </c>
      <c r="BD971" s="62">
        <v>30.239999999999959</v>
      </c>
      <c r="BF971" s="64">
        <v>2.938228633333333</v>
      </c>
      <c r="BG971" s="56">
        <v>19.240000000000009</v>
      </c>
      <c r="BH971" s="56">
        <v>26.18</v>
      </c>
      <c r="BI971" s="62">
        <v>54.85999999999995</v>
      </c>
      <c r="BJ971" s="70"/>
      <c r="BK971" s="51"/>
    </row>
    <row r="972" spans="1:63" ht="17.25" customHeight="1" thickBot="1" x14ac:dyDescent="0.45">
      <c r="A972" s="16" t="s">
        <v>1049</v>
      </c>
      <c r="B972" s="4"/>
      <c r="C972" s="4"/>
      <c r="D972" s="4"/>
      <c r="E972" s="12"/>
      <c r="G972" s="147" t="s">
        <v>1049</v>
      </c>
      <c r="H972" s="159">
        <v>70.031999999999996</v>
      </c>
      <c r="I972" s="153">
        <v>70.3</v>
      </c>
      <c r="J972" s="153">
        <v>70.33</v>
      </c>
      <c r="K972" s="153">
        <v>70.37</v>
      </c>
      <c r="L972" s="153">
        <v>70.33</v>
      </c>
      <c r="M972" s="80">
        <f t="shared" si="30"/>
        <v>70.37</v>
      </c>
      <c r="N972" s="80">
        <f t="shared" si="31"/>
        <v>70.3</v>
      </c>
      <c r="O972" s="153">
        <v>21.18</v>
      </c>
      <c r="P972" s="153">
        <v>21.02</v>
      </c>
      <c r="Q972" s="153">
        <v>21.11</v>
      </c>
      <c r="R972" s="153">
        <v>21.06</v>
      </c>
      <c r="S972" s="4"/>
      <c r="U972" s="147" t="s">
        <v>1049</v>
      </c>
      <c r="V972" s="11"/>
      <c r="W972" s="4"/>
      <c r="X972" s="12"/>
      <c r="Y972" s="14"/>
      <c r="Z972" s="4"/>
      <c r="AA972" s="13"/>
      <c r="AB972" s="11"/>
      <c r="AC972" s="4"/>
      <c r="AD972" s="12"/>
      <c r="AE972" s="13"/>
      <c r="AF972" s="14">
        <v>5.0442999999999998</v>
      </c>
      <c r="AG972" s="133"/>
      <c r="AI972" s="96"/>
      <c r="AL972" s="64">
        <v>4.1721776166666666</v>
      </c>
      <c r="AM972" s="56">
        <v>14.400000000000009</v>
      </c>
      <c r="AN972" s="56">
        <v>16.319999999999979</v>
      </c>
      <c r="AO972" s="62">
        <v>22.440000000000101</v>
      </c>
      <c r="AQ972" s="64">
        <v>4.0811166999999999</v>
      </c>
      <c r="AR972" s="56">
        <v>13.78000000000004</v>
      </c>
      <c r="AS972" s="56">
        <v>15.17999999999997</v>
      </c>
      <c r="AT972" s="62">
        <v>19.280000000000008</v>
      </c>
      <c r="AV972" s="64">
        <v>3.7268043500000001</v>
      </c>
      <c r="AW972" s="56">
        <v>13.34</v>
      </c>
      <c r="AX972" s="56">
        <v>14.74000000000002</v>
      </c>
      <c r="AY972" s="62">
        <v>19.460000000000029</v>
      </c>
      <c r="BA972" s="64">
        <v>3.17897585</v>
      </c>
      <c r="BB972" s="56">
        <v>16.05999999999996</v>
      </c>
      <c r="BC972" s="56">
        <v>18.53999999999996</v>
      </c>
      <c r="BD972" s="62">
        <v>30.74000000000003</v>
      </c>
      <c r="BF972" s="64">
        <v>2.9391199166666659</v>
      </c>
      <c r="BG972" s="56">
        <v>19.47999999999999</v>
      </c>
      <c r="BH972" s="56">
        <v>26.40000000000002</v>
      </c>
      <c r="BI972" s="62">
        <v>54.999999999999979</v>
      </c>
      <c r="BJ972" s="70"/>
      <c r="BK972" s="51"/>
    </row>
    <row r="973" spans="1:63" ht="17.25" customHeight="1" thickBot="1" x14ac:dyDescent="0.45">
      <c r="A973" s="16" t="s">
        <v>1050</v>
      </c>
      <c r="B973" s="4"/>
      <c r="C973" s="4"/>
      <c r="D973" s="4"/>
      <c r="E973" s="12"/>
      <c r="G973" s="147" t="s">
        <v>1050</v>
      </c>
      <c r="H973" s="159">
        <v>70.141000000000005</v>
      </c>
      <c r="I973" s="153">
        <v>70.28</v>
      </c>
      <c r="J973" s="153">
        <v>70.39</v>
      </c>
      <c r="K973" s="153">
        <v>70.39</v>
      </c>
      <c r="L973" s="153">
        <v>70.37</v>
      </c>
      <c r="M973" s="80">
        <f t="shared" si="30"/>
        <v>70.39</v>
      </c>
      <c r="N973" s="80">
        <f t="shared" si="31"/>
        <v>70.28</v>
      </c>
      <c r="O973" s="153">
        <v>21.18</v>
      </c>
      <c r="P973" s="153">
        <v>21.06</v>
      </c>
      <c r="Q973" s="153">
        <v>21.15</v>
      </c>
      <c r="R973" s="153">
        <v>21.09</v>
      </c>
      <c r="S973" s="4"/>
      <c r="U973" s="147" t="s">
        <v>1050</v>
      </c>
      <c r="V973" s="11"/>
      <c r="W973" s="4"/>
      <c r="X973" s="12"/>
      <c r="Y973" s="14"/>
      <c r="Z973" s="4"/>
      <c r="AA973" s="13"/>
      <c r="AB973" s="11"/>
      <c r="AC973" s="4"/>
      <c r="AD973" s="12"/>
      <c r="AE973" s="13"/>
      <c r="AF973" s="14">
        <v>5.0170000000000003</v>
      </c>
      <c r="AG973" s="133"/>
      <c r="AI973" s="96"/>
      <c r="AL973" s="64">
        <v>4.1719223999999997</v>
      </c>
      <c r="AM973" s="56">
        <v>14.19999999999995</v>
      </c>
      <c r="AN973" s="56">
        <v>16.14000000000004</v>
      </c>
      <c r="AO973" s="62">
        <v>22.279999999999941</v>
      </c>
      <c r="AQ973" s="64">
        <v>4.0820395166666668</v>
      </c>
      <c r="AR973" s="56">
        <v>13.79999999999999</v>
      </c>
      <c r="AS973" s="56">
        <v>15.199999999999919</v>
      </c>
      <c r="AT973" s="62">
        <v>19.25999999999997</v>
      </c>
      <c r="AV973" s="64">
        <v>3.7278406166666662</v>
      </c>
      <c r="AW973" s="56">
        <v>13.37999999999999</v>
      </c>
      <c r="AX973" s="56">
        <v>14.799999999999971</v>
      </c>
      <c r="AY973" s="62">
        <v>19.54000000000002</v>
      </c>
      <c r="BA973" s="64">
        <v>3.183317516666667</v>
      </c>
      <c r="BB973" s="56">
        <v>15.980000000000061</v>
      </c>
      <c r="BC973" s="56">
        <v>18.420000000000059</v>
      </c>
      <c r="BD973" s="62">
        <v>30.460000000000061</v>
      </c>
      <c r="BF973" s="64">
        <v>2.936306716666667</v>
      </c>
      <c r="BG973" s="56">
        <v>19.36</v>
      </c>
      <c r="BH973" s="56">
        <v>25.899999999999949</v>
      </c>
      <c r="BI973" s="62">
        <v>54.019999999999953</v>
      </c>
      <c r="BJ973" s="70"/>
      <c r="BK973" s="51"/>
    </row>
    <row r="974" spans="1:63" ht="17.25" customHeight="1" thickBot="1" x14ac:dyDescent="0.45">
      <c r="A974" s="16" t="s">
        <v>1051</v>
      </c>
      <c r="B974" s="4"/>
      <c r="C974" s="4"/>
      <c r="D974" s="4"/>
      <c r="E974" s="12"/>
      <c r="G974" s="147" t="s">
        <v>1051</v>
      </c>
      <c r="H974" s="159">
        <v>70.147999999999996</v>
      </c>
      <c r="I974" s="153">
        <v>70.400000000000006</v>
      </c>
      <c r="J974" s="153">
        <v>70.34</v>
      </c>
      <c r="K974" s="153">
        <v>70.400000000000006</v>
      </c>
      <c r="L974" s="153">
        <v>70.28</v>
      </c>
      <c r="M974" s="80">
        <f t="shared" si="30"/>
        <v>70.400000000000006</v>
      </c>
      <c r="N974" s="80">
        <f t="shared" si="31"/>
        <v>70.28</v>
      </c>
      <c r="O974" s="153">
        <v>21.17</v>
      </c>
      <c r="P974" s="153">
        <v>21</v>
      </c>
      <c r="Q974" s="153">
        <v>21.1</v>
      </c>
      <c r="R974" s="153">
        <v>21.08</v>
      </c>
      <c r="S974" s="4"/>
      <c r="U974" s="147" t="s">
        <v>1051</v>
      </c>
      <c r="V974" s="11"/>
      <c r="W974" s="4"/>
      <c r="X974" s="12"/>
      <c r="Y974" s="14"/>
      <c r="Z974" s="4"/>
      <c r="AA974" s="13"/>
      <c r="AB974" s="11"/>
      <c r="AC974" s="4"/>
      <c r="AD974" s="12"/>
      <c r="AE974" s="13"/>
      <c r="AF974" s="14">
        <v>5.0354999999999999</v>
      </c>
      <c r="AG974" s="133"/>
      <c r="AI974" s="84"/>
      <c r="AL974" s="64">
        <v>4.1717604333333327</v>
      </c>
      <c r="AM974" s="56">
        <v>14.219999999999899</v>
      </c>
      <c r="AN974" s="56">
        <v>16.16</v>
      </c>
      <c r="AO974" s="62">
        <v>22.379999999999889</v>
      </c>
      <c r="AQ974" s="64">
        <v>4.0818667166666662</v>
      </c>
      <c r="AR974" s="56">
        <v>14.03999999999996</v>
      </c>
      <c r="AS974" s="56">
        <v>15.460000000000029</v>
      </c>
      <c r="AT974" s="62">
        <v>19.58000000000002</v>
      </c>
      <c r="AV974" s="64">
        <v>3.7276729999999998</v>
      </c>
      <c r="AW974" s="56">
        <v>13.639999999999921</v>
      </c>
      <c r="AX974" s="56">
        <v>15.09999999999998</v>
      </c>
      <c r="AY974" s="62">
        <v>19.919999999999941</v>
      </c>
      <c r="BA974" s="64">
        <v>3.181611283333333</v>
      </c>
      <c r="BB974" s="56">
        <v>16.04000000000001</v>
      </c>
      <c r="BC974" s="56">
        <v>18.52</v>
      </c>
      <c r="BD974" s="62">
        <v>30.660000000000039</v>
      </c>
      <c r="BF974" s="64">
        <v>2.9318013999999999</v>
      </c>
      <c r="BG974" s="56">
        <v>19.30000000000005</v>
      </c>
      <c r="BH974" s="56">
        <v>25.560000000000031</v>
      </c>
      <c r="BI974" s="62">
        <v>53.580000000000013</v>
      </c>
      <c r="BJ974" s="69"/>
      <c r="BK974" s="51"/>
    </row>
    <row r="975" spans="1:63" ht="17.25" customHeight="1" thickBot="1" x14ac:dyDescent="0.45">
      <c r="A975" s="16" t="s">
        <v>1052</v>
      </c>
      <c r="B975" s="4"/>
      <c r="C975" s="4"/>
      <c r="D975" s="4"/>
      <c r="E975" s="12"/>
      <c r="G975" s="147" t="s">
        <v>1052</v>
      </c>
      <c r="H975" s="159">
        <v>69.896000000000001</v>
      </c>
      <c r="I975" s="153">
        <v>70.319999999999993</v>
      </c>
      <c r="J975" s="153">
        <v>70.3</v>
      </c>
      <c r="K975" s="153">
        <v>70.3</v>
      </c>
      <c r="L975" s="153">
        <v>70.290000000000006</v>
      </c>
      <c r="M975" s="80">
        <f t="shared" si="30"/>
        <v>70.319999999999993</v>
      </c>
      <c r="N975" s="80">
        <f t="shared" si="31"/>
        <v>70.290000000000006</v>
      </c>
      <c r="O975" s="153">
        <v>21.19</v>
      </c>
      <c r="P975" s="153">
        <v>21.14</v>
      </c>
      <c r="Q975" s="153">
        <v>21.09</v>
      </c>
      <c r="R975" s="153">
        <v>21.02</v>
      </c>
      <c r="S975" s="4"/>
      <c r="U975" s="147" t="s">
        <v>1052</v>
      </c>
      <c r="V975" s="11"/>
      <c r="W975" s="4"/>
      <c r="X975" s="12"/>
      <c r="Y975" s="14"/>
      <c r="Z975" s="4"/>
      <c r="AA975" s="13"/>
      <c r="AB975" s="11"/>
      <c r="AC975" s="4"/>
      <c r="AD975" s="12"/>
      <c r="AE975" s="13"/>
      <c r="AF975" s="14">
        <v>5.0194999999999999</v>
      </c>
      <c r="AG975" s="133"/>
      <c r="AI975" s="96"/>
      <c r="AL975" s="64">
        <v>4.171792616666667</v>
      </c>
      <c r="AM975" s="56">
        <v>13.72</v>
      </c>
      <c r="AN975" s="56">
        <v>15.65999999999992</v>
      </c>
      <c r="AO975" s="62">
        <v>21.759999999999909</v>
      </c>
      <c r="AQ975" s="64">
        <v>4.08332695</v>
      </c>
      <c r="AR975" s="56">
        <v>13.72</v>
      </c>
      <c r="AS975" s="56">
        <v>15.120000000000109</v>
      </c>
      <c r="AT975" s="62">
        <v>19.200000000000021</v>
      </c>
      <c r="AV975" s="64">
        <v>3.7307144166666659</v>
      </c>
      <c r="AW975" s="56">
        <v>13.280000000000051</v>
      </c>
      <c r="AX975" s="56">
        <v>14.67999999999998</v>
      </c>
      <c r="AY975" s="62">
        <v>19.380000000000042</v>
      </c>
      <c r="BA975" s="64">
        <v>3.1900790833333339</v>
      </c>
      <c r="BB975" s="56">
        <v>15.899999999999981</v>
      </c>
      <c r="BC975" s="56">
        <v>18.299999999999979</v>
      </c>
      <c r="BD975" s="62">
        <v>30.039999999999981</v>
      </c>
      <c r="BF975" s="64">
        <v>2.9380835666666671</v>
      </c>
      <c r="BG975" s="56">
        <v>19.419999999999948</v>
      </c>
      <c r="BH975" s="56">
        <v>26.06000000000002</v>
      </c>
      <c r="BI975" s="62">
        <v>54.399999999999963</v>
      </c>
      <c r="BJ975" s="70"/>
      <c r="BK975" s="51"/>
    </row>
    <row r="976" spans="1:63" ht="17.25" customHeight="1" thickBot="1" x14ac:dyDescent="0.45">
      <c r="A976" s="16" t="s">
        <v>1053</v>
      </c>
      <c r="B976" s="4"/>
      <c r="C976" s="4"/>
      <c r="D976" s="4"/>
      <c r="E976" s="12"/>
      <c r="G976" s="147" t="s">
        <v>1053</v>
      </c>
      <c r="H976" s="159">
        <v>70.096999999999994</v>
      </c>
      <c r="I976" s="153">
        <v>70.349999999999994</v>
      </c>
      <c r="J976" s="153">
        <v>70.37</v>
      </c>
      <c r="K976" s="153">
        <v>70.349999999999994</v>
      </c>
      <c r="L976" s="153">
        <v>70.290000000000006</v>
      </c>
      <c r="M976" s="80">
        <f t="shared" si="30"/>
        <v>70.37</v>
      </c>
      <c r="N976" s="80">
        <f t="shared" si="31"/>
        <v>70.290000000000006</v>
      </c>
      <c r="O976" s="153">
        <v>21.2</v>
      </c>
      <c r="P976" s="153">
        <v>21.05</v>
      </c>
      <c r="Q976" s="153">
        <v>21.14</v>
      </c>
      <c r="R976" s="153">
        <v>21.06</v>
      </c>
      <c r="S976" s="4"/>
      <c r="U976" s="147" t="s">
        <v>1053</v>
      </c>
      <c r="V976" s="11"/>
      <c r="W976" s="4"/>
      <c r="X976" s="12"/>
      <c r="Y976" s="14"/>
      <c r="Z976" s="4"/>
      <c r="AA976" s="13"/>
      <c r="AB976" s="11"/>
      <c r="AC976" s="4"/>
      <c r="AD976" s="12"/>
      <c r="AE976" s="13"/>
      <c r="AF976" s="14">
        <v>5.0201000000000002</v>
      </c>
      <c r="AG976" s="133"/>
      <c r="AI976" s="84"/>
      <c r="AL976" s="64">
        <v>4.1717127999999999</v>
      </c>
      <c r="AM976" s="56">
        <v>14.219999999999899</v>
      </c>
      <c r="AN976" s="56">
        <v>16.119999999999909</v>
      </c>
      <c r="AO976" s="62">
        <v>22.279999999999941</v>
      </c>
      <c r="AQ976" s="64">
        <v>4.0807100000000007</v>
      </c>
      <c r="AR976" s="56">
        <v>13.68000000000009</v>
      </c>
      <c r="AS976" s="56">
        <v>15.06000000000007</v>
      </c>
      <c r="AT976" s="62">
        <v>19.140000000000072</v>
      </c>
      <c r="AV976" s="64">
        <v>3.7267193666666669</v>
      </c>
      <c r="AW976" s="56">
        <v>13.239999999999959</v>
      </c>
      <c r="AX976" s="56">
        <v>14.619999999999941</v>
      </c>
      <c r="AY976" s="62">
        <v>19.32</v>
      </c>
      <c r="BA976" s="64">
        <v>3.1805550999999999</v>
      </c>
      <c r="BB976" s="56">
        <v>15.939999999999969</v>
      </c>
      <c r="BC976" s="56">
        <v>18.379999999999971</v>
      </c>
      <c r="BD976" s="62">
        <v>30.379999999999981</v>
      </c>
      <c r="BF976" s="64">
        <v>2.9301272833333329</v>
      </c>
      <c r="BG976" s="56">
        <v>19.519999999999978</v>
      </c>
      <c r="BH976" s="56">
        <v>26.240000000000041</v>
      </c>
      <c r="BI976" s="62">
        <v>55.240000000000038</v>
      </c>
      <c r="BJ976" s="69"/>
      <c r="BK976" s="51"/>
    </row>
    <row r="977" spans="1:63" ht="17.25" customHeight="1" thickBot="1" x14ac:dyDescent="0.45">
      <c r="A977" s="16" t="s">
        <v>1054</v>
      </c>
      <c r="B977" s="4"/>
      <c r="C977" s="4"/>
      <c r="D977" s="4"/>
      <c r="E977" s="12"/>
      <c r="G977" s="147" t="s">
        <v>1054</v>
      </c>
      <c r="H977" s="159">
        <v>69.977999999999994</v>
      </c>
      <c r="I977" s="153">
        <v>70.38</v>
      </c>
      <c r="J977" s="153">
        <v>70.349999999999994</v>
      </c>
      <c r="K977" s="153">
        <v>70.319999999999993</v>
      </c>
      <c r="L977" s="153">
        <v>70.36</v>
      </c>
      <c r="M977" s="80">
        <f t="shared" si="30"/>
        <v>70.38</v>
      </c>
      <c r="N977" s="80">
        <f t="shared" si="31"/>
        <v>70.319999999999993</v>
      </c>
      <c r="O977" s="153">
        <v>21.2</v>
      </c>
      <c r="P977" s="153">
        <v>21.05</v>
      </c>
      <c r="Q977" s="153">
        <v>21.1</v>
      </c>
      <c r="R977" s="153">
        <v>21.09</v>
      </c>
      <c r="S977" s="4"/>
      <c r="U977" s="147" t="s">
        <v>1054</v>
      </c>
      <c r="V977" s="11"/>
      <c r="W977" s="4"/>
      <c r="X977" s="12"/>
      <c r="Y977" s="14"/>
      <c r="Z977" s="4"/>
      <c r="AA977" s="13"/>
      <c r="AB977" s="11"/>
      <c r="AC977" s="4"/>
      <c r="AD977" s="12"/>
      <c r="AE977" s="13"/>
      <c r="AF977" s="14">
        <v>5.0270999999999999</v>
      </c>
      <c r="AG977" s="133"/>
      <c r="AI977" s="96"/>
      <c r="AL977" s="64">
        <v>4.1715024333333339</v>
      </c>
      <c r="AM977" s="56">
        <v>14.33999999999997</v>
      </c>
      <c r="AN977" s="56">
        <v>16.259999999999941</v>
      </c>
      <c r="AO977" s="62">
        <v>22.41999999999997</v>
      </c>
      <c r="AQ977" s="64">
        <v>4.0803052166666669</v>
      </c>
      <c r="AR977" s="56">
        <v>13.73999999999995</v>
      </c>
      <c r="AS977" s="56">
        <v>15.140000000000059</v>
      </c>
      <c r="AT977" s="62">
        <v>19.25999999999997</v>
      </c>
      <c r="AV977" s="64">
        <v>3.7258836500000001</v>
      </c>
      <c r="AW977" s="56">
        <v>13.34</v>
      </c>
      <c r="AX977" s="56">
        <v>14.74000000000002</v>
      </c>
      <c r="AY977" s="62">
        <v>19.500000000000028</v>
      </c>
      <c r="BA977" s="64">
        <v>3.1815264666666661</v>
      </c>
      <c r="BB977" s="56">
        <v>16.099999999999959</v>
      </c>
      <c r="BC977" s="56">
        <v>18.599999999999991</v>
      </c>
      <c r="BD977" s="62">
        <v>30.64</v>
      </c>
      <c r="BF977" s="64">
        <v>2.9451158</v>
      </c>
      <c r="BG977" s="56">
        <v>19.439999999999991</v>
      </c>
      <c r="BH977" s="56">
        <v>26.100000000000009</v>
      </c>
      <c r="BI977" s="62">
        <v>53.66</v>
      </c>
      <c r="BJ977" s="70"/>
      <c r="BK977" s="51"/>
    </row>
    <row r="978" spans="1:63" ht="17.25" customHeight="1" thickBot="1" x14ac:dyDescent="0.45">
      <c r="A978" s="16" t="s">
        <v>1055</v>
      </c>
      <c r="B978" s="4"/>
      <c r="C978" s="4"/>
      <c r="D978" s="4"/>
      <c r="E978" s="12"/>
      <c r="G978" s="147" t="s">
        <v>1055</v>
      </c>
      <c r="H978" s="159">
        <v>70.103999999999999</v>
      </c>
      <c r="I978" s="153">
        <v>70.3</v>
      </c>
      <c r="J978" s="153">
        <v>70.31</v>
      </c>
      <c r="K978" s="153">
        <v>70.39</v>
      </c>
      <c r="L978" s="153">
        <v>70.31</v>
      </c>
      <c r="M978" s="80">
        <f t="shared" si="30"/>
        <v>70.39</v>
      </c>
      <c r="N978" s="80">
        <f t="shared" si="31"/>
        <v>70.3</v>
      </c>
      <c r="O978" s="153">
        <v>21.19</v>
      </c>
      <c r="P978" s="153">
        <v>21.08</v>
      </c>
      <c r="Q978" s="153">
        <v>21.11</v>
      </c>
      <c r="R978" s="153">
        <v>21.09</v>
      </c>
      <c r="S978" s="4"/>
      <c r="U978" s="147" t="s">
        <v>1055</v>
      </c>
      <c r="V978" s="11"/>
      <c r="W978" s="4"/>
      <c r="X978" s="12"/>
      <c r="Y978" s="14"/>
      <c r="Z978" s="4"/>
      <c r="AA978" s="13"/>
      <c r="AB978" s="11"/>
      <c r="AC978" s="4"/>
      <c r="AD978" s="12"/>
      <c r="AE978" s="13"/>
      <c r="AF978" s="14">
        <v>5.0125999999999999</v>
      </c>
      <c r="AG978" s="133"/>
      <c r="AI978" s="84"/>
      <c r="AL978" s="64">
        <v>4.1722186499999996</v>
      </c>
      <c r="AM978" s="56">
        <v>14.179999999999991</v>
      </c>
      <c r="AN978" s="56">
        <v>16.099999999999959</v>
      </c>
      <c r="AO978" s="62">
        <v>22.280000000000118</v>
      </c>
      <c r="AQ978" s="64">
        <v>4.0804274500000002</v>
      </c>
      <c r="AR978" s="56">
        <v>13.640000000000009</v>
      </c>
      <c r="AS978" s="56">
        <v>15.039999999999941</v>
      </c>
      <c r="AT978" s="62">
        <v>19.119999999999941</v>
      </c>
      <c r="AV978" s="64">
        <v>3.7267542499999999</v>
      </c>
      <c r="AW978" s="56">
        <v>13.27999999999996</v>
      </c>
      <c r="AX978" s="56">
        <v>14.67999999999998</v>
      </c>
      <c r="AY978" s="62">
        <v>19.399999999999999</v>
      </c>
      <c r="BA978" s="64">
        <v>3.1883145333333331</v>
      </c>
      <c r="BB978" s="56">
        <v>16.16</v>
      </c>
      <c r="BC978" s="56">
        <v>18.559999999999999</v>
      </c>
      <c r="BD978" s="62">
        <v>30.240000000000041</v>
      </c>
      <c r="BF978" s="64">
        <v>2.936238466666667</v>
      </c>
      <c r="BG978" s="56">
        <v>19.739999999999998</v>
      </c>
      <c r="BH978" s="56">
        <v>26.399999999999931</v>
      </c>
      <c r="BI978" s="62">
        <v>54.38</v>
      </c>
      <c r="BJ978" s="69"/>
      <c r="BK978" s="51"/>
    </row>
    <row r="979" spans="1:63" ht="17.25" customHeight="1" thickBot="1" x14ac:dyDescent="0.45">
      <c r="A979" s="16" t="s">
        <v>1056</v>
      </c>
      <c r="B979" s="4"/>
      <c r="C979" s="4"/>
      <c r="D979" s="4"/>
      <c r="E979" s="12"/>
      <c r="G979" s="147" t="s">
        <v>1056</v>
      </c>
      <c r="H979" s="159">
        <v>70.001999999999995</v>
      </c>
      <c r="I979" s="153">
        <v>70.33</v>
      </c>
      <c r="J979" s="153">
        <v>70.39</v>
      </c>
      <c r="K979" s="153">
        <v>70.36</v>
      </c>
      <c r="L979" s="153">
        <v>70.28</v>
      </c>
      <c r="M979" s="80">
        <f t="shared" si="30"/>
        <v>70.39</v>
      </c>
      <c r="N979" s="80">
        <f t="shared" si="31"/>
        <v>70.28</v>
      </c>
      <c r="O979" s="153">
        <v>21.1</v>
      </c>
      <c r="P979" s="153">
        <v>21.07</v>
      </c>
      <c r="Q979" s="153">
        <v>21.15</v>
      </c>
      <c r="R979" s="153">
        <v>21.09</v>
      </c>
      <c r="S979" s="4"/>
      <c r="U979" s="147" t="s">
        <v>1056</v>
      </c>
      <c r="V979" s="11"/>
      <c r="W979" s="4"/>
      <c r="X979" s="12"/>
      <c r="Y979" s="14"/>
      <c r="Z979" s="4"/>
      <c r="AA979" s="13"/>
      <c r="AB979" s="11"/>
      <c r="AC979" s="4"/>
      <c r="AD979" s="12"/>
      <c r="AE979" s="13"/>
      <c r="AF979" s="14">
        <v>5.0340999999999996</v>
      </c>
      <c r="AG979" s="133"/>
      <c r="AI979" s="84"/>
      <c r="AL979" s="64">
        <v>4.1716169666666669</v>
      </c>
      <c r="AM979" s="56">
        <v>14.56</v>
      </c>
      <c r="AN979" s="56">
        <v>16.520000000000049</v>
      </c>
      <c r="AO979" s="62">
        <v>22.6799999999999</v>
      </c>
      <c r="AQ979" s="64">
        <v>4.0811637166666674</v>
      </c>
      <c r="AR979" s="56">
        <v>14.1</v>
      </c>
      <c r="AS979" s="56">
        <v>15.520000000000071</v>
      </c>
      <c r="AT979" s="62">
        <v>19.679999999999961</v>
      </c>
      <c r="AV979" s="64">
        <v>3.7275163833333331</v>
      </c>
      <c r="AW979" s="56">
        <v>13.68</v>
      </c>
      <c r="AX979" s="56">
        <v>15.09999999999998</v>
      </c>
      <c r="AY979" s="62">
        <v>19.879999999999939</v>
      </c>
      <c r="BA979" s="64">
        <v>3.182437166666666</v>
      </c>
      <c r="BB979" s="56">
        <v>16.39999999999997</v>
      </c>
      <c r="BC979" s="56">
        <v>18.880000000000049</v>
      </c>
      <c r="BD979" s="62">
        <v>30.960000000000051</v>
      </c>
      <c r="BF979" s="64">
        <v>2.939745666666667</v>
      </c>
      <c r="BG979" s="56">
        <v>19.739999999999998</v>
      </c>
      <c r="BH979" s="56">
        <v>26.459999999999969</v>
      </c>
      <c r="BI979" s="62">
        <v>54.519999999999953</v>
      </c>
      <c r="BJ979" s="69"/>
      <c r="BK979" s="51"/>
    </row>
    <row r="980" spans="1:63" ht="17.25" customHeight="1" thickBot="1" x14ac:dyDescent="0.45">
      <c r="A980" s="16" t="s">
        <v>1057</v>
      </c>
      <c r="B980" s="4"/>
      <c r="C980" s="4"/>
      <c r="D980" s="4"/>
      <c r="E980" s="12"/>
      <c r="G980" s="147" t="s">
        <v>1057</v>
      </c>
      <c r="H980" s="159">
        <v>70.001000000000005</v>
      </c>
      <c r="I980" s="153">
        <v>70.290000000000006</v>
      </c>
      <c r="J980" s="153">
        <v>70.27</v>
      </c>
      <c r="K980" s="153">
        <v>70.349999999999994</v>
      </c>
      <c r="L980" s="153">
        <v>70.33</v>
      </c>
      <c r="M980" s="80">
        <f t="shared" si="30"/>
        <v>70.349999999999994</v>
      </c>
      <c r="N980" s="80">
        <f t="shared" si="31"/>
        <v>70.27</v>
      </c>
      <c r="O980" s="153">
        <v>21.13</v>
      </c>
      <c r="P980" s="153">
        <v>21.09</v>
      </c>
      <c r="Q980" s="153">
        <v>21.14</v>
      </c>
      <c r="R980" s="153">
        <v>21.07</v>
      </c>
      <c r="S980" s="4"/>
      <c r="U980" s="147" t="s">
        <v>1057</v>
      </c>
      <c r="V980" s="11"/>
      <c r="W980" s="4"/>
      <c r="X980" s="12"/>
      <c r="Y980" s="14"/>
      <c r="Z980" s="4"/>
      <c r="AA980" s="13"/>
      <c r="AB980" s="11"/>
      <c r="AC980" s="4"/>
      <c r="AD980" s="12"/>
      <c r="AE980" s="13"/>
      <c r="AF980" s="14">
        <v>5.0490000000000004</v>
      </c>
      <c r="AG980" s="133"/>
      <c r="AI980" s="84"/>
      <c r="AL980" s="64">
        <v>4.1719721500000002</v>
      </c>
      <c r="AM980" s="56">
        <v>14.24000000000003</v>
      </c>
      <c r="AN980" s="56">
        <v>16.200000000000081</v>
      </c>
      <c r="AO980" s="62">
        <v>22.40000000000002</v>
      </c>
      <c r="AQ980" s="64">
        <v>4.0820449833333337</v>
      </c>
      <c r="AR980" s="56">
        <v>14.03999999999996</v>
      </c>
      <c r="AS980" s="56">
        <v>15.45999999999985</v>
      </c>
      <c r="AT980" s="62">
        <v>19.579999999999931</v>
      </c>
      <c r="AV980" s="64">
        <v>3.729565916666667</v>
      </c>
      <c r="AW980" s="56">
        <v>13.659999999999959</v>
      </c>
      <c r="AX980" s="56">
        <v>15.07999999999994</v>
      </c>
      <c r="AY980" s="62">
        <v>19.83999999999995</v>
      </c>
      <c r="BA980" s="64">
        <v>3.1894467166666671</v>
      </c>
      <c r="BB980" s="56">
        <v>16.460000000000012</v>
      </c>
      <c r="BC980" s="56">
        <v>18.900000000000009</v>
      </c>
      <c r="BD980" s="62">
        <v>30.719999999999992</v>
      </c>
      <c r="BF980" s="64">
        <v>2.9315438999999999</v>
      </c>
      <c r="BG980" s="56">
        <v>20.12</v>
      </c>
      <c r="BH980" s="56">
        <v>26.820000000000022</v>
      </c>
      <c r="BI980" s="62">
        <v>55.620000000000047</v>
      </c>
      <c r="BJ980" s="69"/>
      <c r="BK980" s="51"/>
    </row>
    <row r="981" spans="1:63" ht="17.25" customHeight="1" thickBot="1" x14ac:dyDescent="0.45">
      <c r="A981" s="16" t="s">
        <v>1058</v>
      </c>
      <c r="B981" s="4"/>
      <c r="C981" s="4"/>
      <c r="D981" s="4"/>
      <c r="E981" s="12"/>
      <c r="G981" s="147" t="s">
        <v>1058</v>
      </c>
      <c r="H981" s="159">
        <v>69.94</v>
      </c>
      <c r="I981" s="153">
        <v>70.290000000000006</v>
      </c>
      <c r="J981" s="153">
        <v>70.39</v>
      </c>
      <c r="K981" s="153">
        <v>70.34</v>
      </c>
      <c r="L981" s="153">
        <v>70.3</v>
      </c>
      <c r="M981" s="80">
        <f t="shared" si="30"/>
        <v>70.39</v>
      </c>
      <c r="N981" s="80">
        <f t="shared" si="31"/>
        <v>70.290000000000006</v>
      </c>
      <c r="O981" s="153">
        <v>21.18</v>
      </c>
      <c r="P981" s="153">
        <v>21.08</v>
      </c>
      <c r="Q981" s="153">
        <v>21.11</v>
      </c>
      <c r="R981" s="153">
        <v>21.07</v>
      </c>
      <c r="S981" s="4"/>
      <c r="U981" s="147" t="s">
        <v>1058</v>
      </c>
      <c r="V981" s="11"/>
      <c r="W981" s="4"/>
      <c r="X981" s="12"/>
      <c r="Y981" s="14"/>
      <c r="Z981" s="4"/>
      <c r="AA981" s="13"/>
      <c r="AB981" s="11"/>
      <c r="AC981" s="4"/>
      <c r="AD981" s="12"/>
      <c r="AE981" s="13"/>
      <c r="AF981" s="14">
        <v>5.0475000000000003</v>
      </c>
      <c r="AG981" s="133"/>
      <c r="AI981" s="84"/>
      <c r="AL981" s="64">
        <v>4.1717754166666667</v>
      </c>
      <c r="AM981" s="56">
        <v>14.140000000000089</v>
      </c>
      <c r="AN981" s="56">
        <v>16.060000000000048</v>
      </c>
      <c r="AO981" s="62">
        <v>22.140000000000089</v>
      </c>
      <c r="AQ981" s="64">
        <v>4.0820259166666668</v>
      </c>
      <c r="AR981" s="56">
        <v>13.700000000000051</v>
      </c>
      <c r="AS981" s="56">
        <v>15.11999999999993</v>
      </c>
      <c r="AT981" s="62">
        <v>19.199999999999928</v>
      </c>
      <c r="AV981" s="64">
        <v>3.7281928166666671</v>
      </c>
      <c r="AW981" s="56">
        <v>13.27999999999996</v>
      </c>
      <c r="AX981" s="56">
        <v>14.66000000000003</v>
      </c>
      <c r="AY981" s="62">
        <v>19.379999999999949</v>
      </c>
      <c r="BA981" s="64">
        <v>3.1793042499999999</v>
      </c>
      <c r="BB981" s="56">
        <v>15.90000000000007</v>
      </c>
      <c r="BC981" s="56">
        <v>18.360000000000021</v>
      </c>
      <c r="BD981" s="62">
        <v>30.54000000000006</v>
      </c>
      <c r="BF981" s="64">
        <v>2.9378260333333328</v>
      </c>
      <c r="BG981" s="56">
        <v>19.399999999999999</v>
      </c>
      <c r="BH981" s="56">
        <v>26.239999999999949</v>
      </c>
      <c r="BI981" s="62">
        <v>54.97999999999994</v>
      </c>
      <c r="BJ981" s="69"/>
      <c r="BK981" s="51"/>
    </row>
    <row r="982" spans="1:63" ht="17.25" customHeight="1" thickBot="1" x14ac:dyDescent="0.45">
      <c r="A982" s="16" t="s">
        <v>1059</v>
      </c>
      <c r="B982" s="4"/>
      <c r="C982" s="4"/>
      <c r="D982" s="4"/>
      <c r="E982" s="12"/>
      <c r="G982" s="147" t="s">
        <v>1059</v>
      </c>
      <c r="H982" s="159">
        <v>70.027000000000001</v>
      </c>
      <c r="I982" s="153">
        <v>70.34</v>
      </c>
      <c r="J982" s="153">
        <v>70.36</v>
      </c>
      <c r="K982" s="153">
        <v>70.28</v>
      </c>
      <c r="L982" s="153">
        <v>70.31</v>
      </c>
      <c r="M982" s="80">
        <f t="shared" si="30"/>
        <v>70.36</v>
      </c>
      <c r="N982" s="80">
        <f t="shared" si="31"/>
        <v>70.28</v>
      </c>
      <c r="O982" s="153">
        <v>21.11</v>
      </c>
      <c r="P982" s="153">
        <v>21.02</v>
      </c>
      <c r="Q982" s="153">
        <v>21.12</v>
      </c>
      <c r="R982" s="153">
        <v>21.08</v>
      </c>
      <c r="S982" s="4"/>
      <c r="U982" s="147" t="s">
        <v>1059</v>
      </c>
      <c r="V982" s="11"/>
      <c r="W982" s="4"/>
      <c r="X982" s="12"/>
      <c r="Y982" s="14"/>
      <c r="Z982" s="4"/>
      <c r="AA982" s="13"/>
      <c r="AB982" s="11"/>
      <c r="AC982" s="4"/>
      <c r="AD982" s="12"/>
      <c r="AE982" s="13"/>
      <c r="AF982" s="14">
        <v>5.0404999999999998</v>
      </c>
      <c r="AG982" s="133"/>
      <c r="AI982" s="96"/>
      <c r="AL982" s="64">
        <v>4.1722610499999986</v>
      </c>
      <c r="AM982" s="56">
        <v>14.54000000000004</v>
      </c>
      <c r="AN982" s="56">
        <v>16.479999999999961</v>
      </c>
      <c r="AO982" s="62">
        <v>22.56</v>
      </c>
      <c r="AQ982" s="64">
        <v>4.0810819166666663</v>
      </c>
      <c r="AR982" s="56">
        <v>14.1</v>
      </c>
      <c r="AS982" s="56">
        <v>15.520000000000071</v>
      </c>
      <c r="AT982" s="62">
        <v>19.620000000000019</v>
      </c>
      <c r="AV982" s="64">
        <v>3.7271377833333328</v>
      </c>
      <c r="AW982" s="56">
        <v>13.659999999999959</v>
      </c>
      <c r="AX982" s="56">
        <v>15.059999999999979</v>
      </c>
      <c r="AY982" s="62">
        <v>19.83999999999995</v>
      </c>
      <c r="BA982" s="64">
        <v>3.1793851833333342</v>
      </c>
      <c r="BB982" s="56">
        <v>15.920000000000019</v>
      </c>
      <c r="BC982" s="56">
        <v>18.379999999999971</v>
      </c>
      <c r="BD982" s="62">
        <v>30.339999999999989</v>
      </c>
      <c r="BF982" s="64">
        <v>2.9265165500000001</v>
      </c>
      <c r="BG982" s="56">
        <v>19.519999999999978</v>
      </c>
      <c r="BH982" s="56">
        <v>26.459999999999969</v>
      </c>
      <c r="BI982" s="62">
        <v>55.879999999999967</v>
      </c>
      <c r="BJ982" s="70"/>
      <c r="BK982" s="51"/>
    </row>
    <row r="983" spans="1:63" ht="17.25" customHeight="1" thickBot="1" x14ac:dyDescent="0.45">
      <c r="A983" s="16" t="s">
        <v>1060</v>
      </c>
      <c r="B983" s="4"/>
      <c r="C983" s="4"/>
      <c r="D983" s="4"/>
      <c r="E983" s="12"/>
      <c r="G983" s="147" t="s">
        <v>1060</v>
      </c>
      <c r="H983" s="159">
        <v>70.084999999999994</v>
      </c>
      <c r="I983" s="153">
        <v>70.37</v>
      </c>
      <c r="J983" s="153">
        <v>70.33</v>
      </c>
      <c r="K983" s="153">
        <v>70.34</v>
      </c>
      <c r="L983" s="153">
        <v>70.33</v>
      </c>
      <c r="M983" s="80">
        <f t="shared" si="30"/>
        <v>70.37</v>
      </c>
      <c r="N983" s="80">
        <f t="shared" si="31"/>
        <v>70.33</v>
      </c>
      <c r="O983" s="153">
        <v>21.03</v>
      </c>
      <c r="P983" s="153">
        <v>21.02</v>
      </c>
      <c r="Q983" s="153">
        <v>21.15</v>
      </c>
      <c r="R983" s="153">
        <v>21.01</v>
      </c>
      <c r="S983" s="4"/>
      <c r="U983" s="147" t="s">
        <v>1060</v>
      </c>
      <c r="V983" s="11"/>
      <c r="W983" s="4"/>
      <c r="X983" s="12"/>
      <c r="Y983" s="14"/>
      <c r="Z983" s="4"/>
      <c r="AA983" s="13"/>
      <c r="AB983" s="11"/>
      <c r="AC983" s="4"/>
      <c r="AD983" s="12"/>
      <c r="AE983" s="13"/>
      <c r="AF983" s="14">
        <v>5.0438000000000001</v>
      </c>
      <c r="AG983" s="133"/>
      <c r="AI983" s="84"/>
      <c r="AL983" s="64">
        <v>4.1716170666666672</v>
      </c>
      <c r="AM983" s="56">
        <v>15.55999999999997</v>
      </c>
      <c r="AN983" s="56">
        <v>17.579999999999881</v>
      </c>
      <c r="AO983" s="62">
        <v>23.859999999999989</v>
      </c>
      <c r="AQ983" s="64">
        <v>4.0811646333333336</v>
      </c>
      <c r="AR983" s="56">
        <v>14.89999999999991</v>
      </c>
      <c r="AS983" s="56">
        <v>16.38000000000002</v>
      </c>
      <c r="AT983" s="62">
        <v>20.659999999999989</v>
      </c>
      <c r="AV983" s="64">
        <v>3.7268849500000001</v>
      </c>
      <c r="AW983" s="56">
        <v>14.57999999999995</v>
      </c>
      <c r="AX983" s="56">
        <v>16.05999999999996</v>
      </c>
      <c r="AY983" s="62">
        <v>21.039999999999988</v>
      </c>
      <c r="BA983" s="64">
        <v>3.1794708666666671</v>
      </c>
      <c r="BB983" s="56">
        <v>17.020000000000039</v>
      </c>
      <c r="BC983" s="56">
        <v>19.56000000000007</v>
      </c>
      <c r="BD983" s="62">
        <v>31.9</v>
      </c>
      <c r="BF983" s="64">
        <v>2.9351223000000002</v>
      </c>
      <c r="BG983" s="56">
        <v>20.54</v>
      </c>
      <c r="BH983" s="56">
        <v>27.68000000000006</v>
      </c>
      <c r="BI983" s="62">
        <v>56.740000000000009</v>
      </c>
      <c r="BJ983" s="69"/>
      <c r="BK983" s="51"/>
    </row>
    <row r="984" spans="1:63" ht="17.25" customHeight="1" thickBot="1" x14ac:dyDescent="0.45">
      <c r="A984" s="16" t="s">
        <v>1061</v>
      </c>
      <c r="B984" s="4"/>
      <c r="C984" s="4"/>
      <c r="D984" s="4"/>
      <c r="E984" s="12"/>
      <c r="G984" s="147" t="s">
        <v>1061</v>
      </c>
      <c r="H984" s="159">
        <v>70.085999999999999</v>
      </c>
      <c r="I984" s="153">
        <v>70.28</v>
      </c>
      <c r="J984" s="153">
        <v>70.290000000000006</v>
      </c>
      <c r="K984" s="153">
        <v>70.33</v>
      </c>
      <c r="L984" s="153">
        <v>70.3</v>
      </c>
      <c r="M984" s="80">
        <f t="shared" si="30"/>
        <v>70.33</v>
      </c>
      <c r="N984" s="80">
        <f t="shared" si="31"/>
        <v>70.28</v>
      </c>
      <c r="O984" s="153">
        <v>21.17</v>
      </c>
      <c r="P984" s="153">
        <v>21.13</v>
      </c>
      <c r="Q984" s="153">
        <v>21.14</v>
      </c>
      <c r="R984" s="153">
        <v>21.1</v>
      </c>
      <c r="S984" s="4"/>
      <c r="U984" s="147" t="s">
        <v>1061</v>
      </c>
      <c r="V984" s="11"/>
      <c r="W984" s="4"/>
      <c r="X984" s="12"/>
      <c r="Y984" s="14"/>
      <c r="Z984" s="4"/>
      <c r="AA984" s="13"/>
      <c r="AB984" s="11"/>
      <c r="AC984" s="4"/>
      <c r="AD984" s="12"/>
      <c r="AE984" s="13"/>
      <c r="AF984" s="14">
        <v>5.0355999999999996</v>
      </c>
      <c r="AG984" s="133"/>
      <c r="AI984" s="96"/>
      <c r="AL984" s="64">
        <v>4.1716122499999999</v>
      </c>
      <c r="AM984" s="56">
        <v>15.71999999999996</v>
      </c>
      <c r="AN984" s="56">
        <v>17.760000000000002</v>
      </c>
      <c r="AO984" s="62">
        <v>24.139999999999869</v>
      </c>
      <c r="AQ984" s="64">
        <v>4.0812531166666668</v>
      </c>
      <c r="AR984" s="56">
        <v>15.17999999999997</v>
      </c>
      <c r="AS984" s="56">
        <v>16.699999999999982</v>
      </c>
      <c r="AT984" s="62">
        <v>20.999999999999911</v>
      </c>
      <c r="AV984" s="64">
        <v>3.7271662166666659</v>
      </c>
      <c r="AW984" s="56">
        <v>14.700000000000021</v>
      </c>
      <c r="AX984" s="56">
        <v>16.220000000000031</v>
      </c>
      <c r="AY984" s="62">
        <v>21.23999999999997</v>
      </c>
      <c r="BA984" s="64">
        <v>3.182437166666666</v>
      </c>
      <c r="BB984" s="56">
        <v>16.819999999999968</v>
      </c>
      <c r="BC984" s="56">
        <v>19.36</v>
      </c>
      <c r="BD984" s="62">
        <v>31.58000000000003</v>
      </c>
      <c r="BF984" s="64">
        <v>2.9314914166666659</v>
      </c>
      <c r="BG984" s="56">
        <v>20.239999999999991</v>
      </c>
      <c r="BH984" s="56">
        <v>26.679999999999989</v>
      </c>
      <c r="BI984" s="62">
        <v>54.84</v>
      </c>
      <c r="BJ984" s="70"/>
      <c r="BK984" s="51"/>
    </row>
    <row r="985" spans="1:63" ht="17.25" customHeight="1" thickBot="1" x14ac:dyDescent="0.45">
      <c r="A985" s="16" t="s">
        <v>1062</v>
      </c>
      <c r="B985" s="4"/>
      <c r="C985" s="4"/>
      <c r="D985" s="4"/>
      <c r="E985" s="12"/>
      <c r="G985" s="147" t="s">
        <v>1062</v>
      </c>
      <c r="H985" s="159">
        <v>70.135999999999996</v>
      </c>
      <c r="I985" s="153">
        <v>70.28</v>
      </c>
      <c r="J985" s="153">
        <v>70.38</v>
      </c>
      <c r="K985" s="153">
        <v>70.400000000000006</v>
      </c>
      <c r="L985" s="153">
        <v>70.37</v>
      </c>
      <c r="M985" s="80">
        <f t="shared" si="30"/>
        <v>70.400000000000006</v>
      </c>
      <c r="N985" s="80">
        <f t="shared" si="31"/>
        <v>70.28</v>
      </c>
      <c r="O985" s="153">
        <v>21.22</v>
      </c>
      <c r="P985" s="153">
        <v>21.02</v>
      </c>
      <c r="Q985" s="153">
        <v>21.16</v>
      </c>
      <c r="R985" s="153">
        <v>21.12</v>
      </c>
      <c r="S985" s="4"/>
      <c r="U985" s="147" t="s">
        <v>1062</v>
      </c>
      <c r="V985" s="11"/>
      <c r="W985" s="4"/>
      <c r="X985" s="12"/>
      <c r="Y985" s="14"/>
      <c r="Z985" s="4"/>
      <c r="AA985" s="13"/>
      <c r="AB985" s="11"/>
      <c r="AC985" s="4"/>
      <c r="AD985" s="12"/>
      <c r="AE985" s="13"/>
      <c r="AF985" s="14">
        <v>5.0183999999999997</v>
      </c>
      <c r="AG985" s="133"/>
      <c r="AI985" s="84"/>
      <c r="AL985" s="64">
        <v>4.1724296166666672</v>
      </c>
      <c r="AM985" s="56">
        <v>14.48</v>
      </c>
      <c r="AN985" s="56">
        <v>16.43999999999988</v>
      </c>
      <c r="AO985" s="62">
        <v>22.63999999999999</v>
      </c>
      <c r="AQ985" s="64">
        <v>4.0815988833333332</v>
      </c>
      <c r="AR985" s="56">
        <v>14.00000000000006</v>
      </c>
      <c r="AS985" s="56">
        <v>15.41999999999994</v>
      </c>
      <c r="AT985" s="62">
        <v>19.539999999999939</v>
      </c>
      <c r="AV985" s="64">
        <v>3.7284874833333328</v>
      </c>
      <c r="AW985" s="56">
        <v>13.620000000000051</v>
      </c>
      <c r="AX985" s="56">
        <v>15.040000000000029</v>
      </c>
      <c r="AY985" s="62">
        <v>19.80000000000004</v>
      </c>
      <c r="BA985" s="64">
        <v>3.1872480333333328</v>
      </c>
      <c r="BB985" s="56">
        <v>16.359999999999971</v>
      </c>
      <c r="BC985" s="56">
        <v>18.799999999999969</v>
      </c>
      <c r="BD985" s="62">
        <v>30.719999999999992</v>
      </c>
      <c r="BF985" s="64">
        <v>2.937877083333333</v>
      </c>
      <c r="BG985" s="56">
        <v>19.899999999999981</v>
      </c>
      <c r="BH985" s="56">
        <v>26.579999999999959</v>
      </c>
      <c r="BI985" s="62">
        <v>54.8</v>
      </c>
      <c r="BJ985" s="69"/>
      <c r="BK985" s="51"/>
    </row>
    <row r="986" spans="1:63" ht="17.25" customHeight="1" thickBot="1" x14ac:dyDescent="0.45">
      <c r="A986" s="16" t="s">
        <v>1063</v>
      </c>
      <c r="B986" s="4"/>
      <c r="C986" s="4"/>
      <c r="D986" s="4"/>
      <c r="E986" s="12"/>
      <c r="G986" s="147" t="s">
        <v>1063</v>
      </c>
      <c r="H986" s="159">
        <v>70.045000000000002</v>
      </c>
      <c r="I986" s="153">
        <v>70.38</v>
      </c>
      <c r="J986" s="153">
        <v>70.3</v>
      </c>
      <c r="K986" s="153">
        <v>70.39</v>
      </c>
      <c r="L986" s="153">
        <v>70.3</v>
      </c>
      <c r="M986" s="80">
        <f t="shared" si="30"/>
        <v>70.39</v>
      </c>
      <c r="N986" s="80">
        <f t="shared" si="31"/>
        <v>70.3</v>
      </c>
      <c r="O986" s="153">
        <v>21.17</v>
      </c>
      <c r="P986" s="153">
        <v>21.11</v>
      </c>
      <c r="Q986" s="153">
        <v>21.16</v>
      </c>
      <c r="R986" s="153">
        <v>21.14</v>
      </c>
      <c r="S986" s="4"/>
      <c r="U986" s="147" t="s">
        <v>1063</v>
      </c>
      <c r="V986" s="11"/>
      <c r="W986" s="4"/>
      <c r="X986" s="12"/>
      <c r="Y986" s="14"/>
      <c r="Z986" s="4"/>
      <c r="AA986" s="13"/>
      <c r="AB986" s="11"/>
      <c r="AC986" s="4"/>
      <c r="AD986" s="12"/>
      <c r="AE986" s="13"/>
      <c r="AF986" s="14">
        <v>5.0217999999999998</v>
      </c>
      <c r="AG986" s="133"/>
      <c r="AI986" s="96"/>
      <c r="AL986" s="64">
        <v>4.172398666666667</v>
      </c>
      <c r="AM986" s="56">
        <v>14.13999999999991</v>
      </c>
      <c r="AN986" s="56">
        <v>16.039999999999921</v>
      </c>
      <c r="AO986" s="62">
        <v>22.21999999999991</v>
      </c>
      <c r="AQ986" s="64">
        <v>4.0821578833333323</v>
      </c>
      <c r="AR986" s="56">
        <v>13.72</v>
      </c>
      <c r="AS986" s="56">
        <v>15.120000000000109</v>
      </c>
      <c r="AT986" s="62">
        <v>19.220000000000059</v>
      </c>
      <c r="AV986" s="64">
        <v>3.7283823333333341</v>
      </c>
      <c r="AW986" s="56">
        <v>13.35999999999995</v>
      </c>
      <c r="AX986" s="56">
        <v>14.75999999999997</v>
      </c>
      <c r="AY986" s="62">
        <v>19.500000000000028</v>
      </c>
      <c r="BA986" s="64">
        <v>3.1887555666666669</v>
      </c>
      <c r="BB986" s="56">
        <v>16.05999999999996</v>
      </c>
      <c r="BC986" s="56">
        <v>18.459999999999969</v>
      </c>
      <c r="BD986" s="62">
        <v>30.26</v>
      </c>
      <c r="BF986" s="64">
        <v>2.940500333333333</v>
      </c>
      <c r="BG986" s="56">
        <v>19.620000000000019</v>
      </c>
      <c r="BH986" s="56">
        <v>26.259999999999991</v>
      </c>
      <c r="BI986" s="62">
        <v>54.159999999999982</v>
      </c>
      <c r="BJ986" s="70"/>
      <c r="BK986" s="51"/>
    </row>
    <row r="987" spans="1:63" ht="17.25" customHeight="1" thickBot="1" x14ac:dyDescent="0.45">
      <c r="A987" s="16" t="s">
        <v>1064</v>
      </c>
      <c r="B987" s="4"/>
      <c r="C987" s="4"/>
      <c r="D987" s="4"/>
      <c r="E987" s="12"/>
      <c r="G987" s="147" t="s">
        <v>1064</v>
      </c>
      <c r="H987" s="159">
        <v>70.100999999999999</v>
      </c>
      <c r="I987" s="153">
        <v>70.39</v>
      </c>
      <c r="J987" s="153">
        <v>70.400000000000006</v>
      </c>
      <c r="K987" s="153">
        <v>70.36</v>
      </c>
      <c r="L987" s="153">
        <v>70.400000000000006</v>
      </c>
      <c r="M987" s="80">
        <f t="shared" si="30"/>
        <v>70.400000000000006</v>
      </c>
      <c r="N987" s="80">
        <f t="shared" si="31"/>
        <v>70.36</v>
      </c>
      <c r="O987" s="153">
        <v>21.17</v>
      </c>
      <c r="P987" s="153">
        <v>21.12</v>
      </c>
      <c r="Q987" s="153">
        <v>21.13</v>
      </c>
      <c r="R987" s="153">
        <v>21.06</v>
      </c>
      <c r="S987" s="4"/>
      <c r="U987" s="147" t="s">
        <v>1064</v>
      </c>
      <c r="V987" s="11"/>
      <c r="W987" s="4"/>
      <c r="X987" s="12"/>
      <c r="Y987" s="14"/>
      <c r="Z987" s="4"/>
      <c r="AA987" s="13"/>
      <c r="AB987" s="11"/>
      <c r="AC987" s="4"/>
      <c r="AD987" s="12"/>
      <c r="AE987" s="13"/>
      <c r="AF987" s="14">
        <v>5.0267999999999997</v>
      </c>
      <c r="AG987" s="133"/>
      <c r="AI987" s="84"/>
      <c r="AL987" s="64">
        <v>4.1720752000000001</v>
      </c>
      <c r="AM987" s="56">
        <v>14.1</v>
      </c>
      <c r="AN987" s="56">
        <v>16.000000000000011</v>
      </c>
      <c r="AO987" s="62">
        <v>22.18</v>
      </c>
      <c r="AQ987" s="64">
        <v>4.080696333333333</v>
      </c>
      <c r="AR987" s="56">
        <v>13.56000000000002</v>
      </c>
      <c r="AS987" s="56">
        <v>14.960000000000131</v>
      </c>
      <c r="AT987" s="62">
        <v>19.040000000000031</v>
      </c>
      <c r="AV987" s="64">
        <v>3.7270557833333329</v>
      </c>
      <c r="AW987" s="56">
        <v>13.18000000000001</v>
      </c>
      <c r="AX987" s="56">
        <v>14.56</v>
      </c>
      <c r="AY987" s="62">
        <v>19.260000000000051</v>
      </c>
      <c r="BA987" s="64">
        <v>3.188218883333334</v>
      </c>
      <c r="BB987" s="56">
        <v>15.799999999999949</v>
      </c>
      <c r="BC987" s="56">
        <v>18.19999999999995</v>
      </c>
      <c r="BD987" s="62">
        <v>29.84</v>
      </c>
      <c r="BF987" s="64">
        <v>2.9383169166666669</v>
      </c>
      <c r="BG987" s="56">
        <v>19.399999999999999</v>
      </c>
      <c r="BH987" s="56">
        <v>25.95999999999998</v>
      </c>
      <c r="BI987" s="62">
        <v>53.839999999999932</v>
      </c>
      <c r="BJ987" s="69"/>
      <c r="BK987" s="51"/>
    </row>
    <row r="988" spans="1:63" ht="17.25" customHeight="1" thickBot="1" x14ac:dyDescent="0.45">
      <c r="A988" s="16" t="s">
        <v>1065</v>
      </c>
      <c r="B988" s="4"/>
      <c r="C988" s="4"/>
      <c r="D988" s="4"/>
      <c r="E988" s="12"/>
      <c r="G988" s="147" t="s">
        <v>1065</v>
      </c>
      <c r="H988" s="159">
        <v>70.141000000000005</v>
      </c>
      <c r="I988" s="153">
        <v>70.34</v>
      </c>
      <c r="J988" s="153">
        <v>70.3</v>
      </c>
      <c r="K988" s="153">
        <v>70.33</v>
      </c>
      <c r="L988" s="153">
        <v>70.349999999999994</v>
      </c>
      <c r="M988" s="80">
        <f t="shared" si="30"/>
        <v>70.349999999999994</v>
      </c>
      <c r="N988" s="80">
        <f t="shared" si="31"/>
        <v>70.3</v>
      </c>
      <c r="O988" s="153">
        <v>21.16</v>
      </c>
      <c r="P988" s="153">
        <v>21.12</v>
      </c>
      <c r="Q988" s="153">
        <v>21.13</v>
      </c>
      <c r="R988" s="153">
        <v>21.09</v>
      </c>
      <c r="S988" s="4"/>
      <c r="U988" s="147" t="s">
        <v>1065</v>
      </c>
      <c r="V988" s="11"/>
      <c r="W988" s="4"/>
      <c r="X988" s="12"/>
      <c r="Y988" s="14"/>
      <c r="Z988" s="4"/>
      <c r="AA988" s="13"/>
      <c r="AB988" s="11"/>
      <c r="AC988" s="4"/>
      <c r="AD988" s="12"/>
      <c r="AE988" s="13"/>
      <c r="AF988" s="14">
        <v>5.0214999999999996</v>
      </c>
      <c r="AG988" s="133"/>
      <c r="AI988" s="96"/>
      <c r="AL988" s="64">
        <v>4.1724171833333328</v>
      </c>
      <c r="AM988" s="56">
        <v>14.279999999999941</v>
      </c>
      <c r="AN988" s="56">
        <v>16.17999999999995</v>
      </c>
      <c r="AO988" s="62">
        <v>22.379999999999889</v>
      </c>
      <c r="AQ988" s="64">
        <v>4.0810075666666679</v>
      </c>
      <c r="AR988" s="56">
        <v>13.76000000000008</v>
      </c>
      <c r="AS988" s="56">
        <v>15.17999999999997</v>
      </c>
      <c r="AT988" s="62">
        <v>19.30000000000005</v>
      </c>
      <c r="AV988" s="64">
        <v>3.7273974499999998</v>
      </c>
      <c r="AW988" s="56">
        <v>13.37999999999999</v>
      </c>
      <c r="AX988" s="56">
        <v>14.780000000000021</v>
      </c>
      <c r="AY988" s="62">
        <v>19.519999999999978</v>
      </c>
      <c r="BA988" s="64">
        <v>3.1870717000000002</v>
      </c>
      <c r="BB988" s="56">
        <v>16.060000000000048</v>
      </c>
      <c r="BC988" s="56">
        <v>18.460000000000051</v>
      </c>
      <c r="BD988" s="62">
        <v>30.26</v>
      </c>
      <c r="BF988" s="64">
        <v>2.9382624000000002</v>
      </c>
      <c r="BG988" s="56">
        <v>19.58000000000002</v>
      </c>
      <c r="BH988" s="56">
        <v>26.240000000000041</v>
      </c>
      <c r="BI988" s="62">
        <v>54.239999999999966</v>
      </c>
      <c r="BJ988" s="70"/>
      <c r="BK988" s="51"/>
    </row>
    <row r="989" spans="1:63" ht="17.25" customHeight="1" thickBot="1" x14ac:dyDescent="0.45">
      <c r="A989" s="16" t="s">
        <v>1066</v>
      </c>
      <c r="B989" s="4"/>
      <c r="C989" s="4"/>
      <c r="D989" s="4"/>
      <c r="E989" s="12"/>
      <c r="G989" s="147" t="s">
        <v>1066</v>
      </c>
      <c r="H989" s="159">
        <v>69.97</v>
      </c>
      <c r="I989" s="153">
        <v>70.28</v>
      </c>
      <c r="J989" s="153">
        <v>70.349999999999994</v>
      </c>
      <c r="K989" s="153">
        <v>70.400000000000006</v>
      </c>
      <c r="L989" s="153">
        <v>70.290000000000006</v>
      </c>
      <c r="M989" s="80">
        <f t="shared" si="30"/>
        <v>70.400000000000006</v>
      </c>
      <c r="N989" s="80">
        <f t="shared" si="31"/>
        <v>70.28</v>
      </c>
      <c r="O989" s="153">
        <v>21.19</v>
      </c>
      <c r="P989" s="153">
        <v>21.06</v>
      </c>
      <c r="Q989" s="153">
        <v>21.17</v>
      </c>
      <c r="R989" s="153">
        <v>21.08</v>
      </c>
      <c r="S989" s="4"/>
      <c r="U989" s="147" t="s">
        <v>1066</v>
      </c>
      <c r="V989" s="11"/>
      <c r="W989" s="4"/>
      <c r="X989" s="12"/>
      <c r="Y989" s="14"/>
      <c r="Z989" s="4"/>
      <c r="AA989" s="13"/>
      <c r="AB989" s="11"/>
      <c r="AC989" s="4"/>
      <c r="AD989" s="12"/>
      <c r="AE989" s="13"/>
      <c r="AF989" s="14">
        <v>5.0205000000000002</v>
      </c>
      <c r="AG989" s="133"/>
      <c r="AI989" s="84"/>
      <c r="AL989" s="64">
        <v>4.1719440666666667</v>
      </c>
      <c r="AM989" s="56">
        <v>14.24000000000003</v>
      </c>
      <c r="AN989" s="56">
        <v>16.17999999999995</v>
      </c>
      <c r="AO989" s="62">
        <v>22.359999999999939</v>
      </c>
      <c r="AQ989" s="64">
        <v>4.082548899999999</v>
      </c>
      <c r="AR989" s="56">
        <v>14.03999999999996</v>
      </c>
      <c r="AS989" s="56">
        <v>15.440000000000079</v>
      </c>
      <c r="AT989" s="62">
        <v>19.56000000000007</v>
      </c>
      <c r="AV989" s="64">
        <v>3.7286573000000001</v>
      </c>
      <c r="AW989" s="56">
        <v>13.72</v>
      </c>
      <c r="AX989" s="56">
        <v>15.139999999999979</v>
      </c>
      <c r="AY989" s="62">
        <v>19.919999999999941</v>
      </c>
      <c r="BA989" s="64">
        <v>3.182851583333334</v>
      </c>
      <c r="BB989" s="56">
        <v>16.98000000000004</v>
      </c>
      <c r="BC989" s="56">
        <v>19.519999999999978</v>
      </c>
      <c r="BD989" s="62">
        <v>31.780000000000008</v>
      </c>
      <c r="BF989" s="64">
        <v>2.9307591333333329</v>
      </c>
      <c r="BG989" s="56">
        <v>20.64000000000004</v>
      </c>
      <c r="BH989" s="56">
        <v>27.59999999999998</v>
      </c>
      <c r="BI989" s="62">
        <v>57.000000000000028</v>
      </c>
      <c r="BJ989" s="69"/>
      <c r="BK989" s="51"/>
    </row>
    <row r="990" spans="1:63" ht="17.25" customHeight="1" thickBot="1" x14ac:dyDescent="0.45">
      <c r="A990" s="16" t="s">
        <v>1067</v>
      </c>
      <c r="B990" s="4"/>
      <c r="C990" s="4"/>
      <c r="D990" s="4"/>
      <c r="E990" s="12"/>
      <c r="G990" s="147" t="s">
        <v>1067</v>
      </c>
      <c r="H990" s="159">
        <v>69.966999999999999</v>
      </c>
      <c r="I990" s="153">
        <v>70.37</v>
      </c>
      <c r="J990" s="153">
        <v>70.39</v>
      </c>
      <c r="K990" s="153">
        <v>70.39</v>
      </c>
      <c r="L990" s="153">
        <v>70.39</v>
      </c>
      <c r="M990" s="80">
        <f t="shared" si="30"/>
        <v>70.39</v>
      </c>
      <c r="N990" s="80">
        <f t="shared" si="31"/>
        <v>70.37</v>
      </c>
      <c r="O990" s="153">
        <v>21.09</v>
      </c>
      <c r="P990" s="153">
        <v>21.06</v>
      </c>
      <c r="Q990" s="153">
        <v>21.13</v>
      </c>
      <c r="R990" s="153">
        <v>21.09</v>
      </c>
      <c r="S990" s="4"/>
      <c r="U990" s="147" t="s">
        <v>1067</v>
      </c>
      <c r="V990" s="11"/>
      <c r="W990" s="4"/>
      <c r="X990" s="12"/>
      <c r="Y990" s="14"/>
      <c r="Z990" s="4"/>
      <c r="AA990" s="13"/>
      <c r="AB990" s="11"/>
      <c r="AC990" s="4"/>
      <c r="AD990" s="12"/>
      <c r="AE990" s="13"/>
      <c r="AF990" s="14">
        <v>5.0444000000000004</v>
      </c>
      <c r="AG990" s="133"/>
      <c r="AI990" s="96"/>
      <c r="AL990" s="64">
        <v>4.172018116666667</v>
      </c>
      <c r="AM990" s="56">
        <v>14.179999999999991</v>
      </c>
      <c r="AN990" s="56">
        <v>16.139999999999869</v>
      </c>
      <c r="AO990" s="62">
        <v>22.299999999999901</v>
      </c>
      <c r="AQ990" s="64">
        <v>4.082107016666666</v>
      </c>
      <c r="AR990" s="56">
        <v>13.93999999999984</v>
      </c>
      <c r="AS990" s="56">
        <v>15.33999999999995</v>
      </c>
      <c r="AT990" s="62">
        <v>19.479999999999901</v>
      </c>
      <c r="AV990" s="64">
        <v>3.7293819666666659</v>
      </c>
      <c r="AW990" s="56">
        <v>13.51999999999993</v>
      </c>
      <c r="AX990" s="56">
        <v>14.94</v>
      </c>
      <c r="AY990" s="62">
        <v>19.679999999999961</v>
      </c>
      <c r="BA990" s="64">
        <v>3.1878228833333329</v>
      </c>
      <c r="BB990" s="56">
        <v>16.319999999999979</v>
      </c>
      <c r="BC990" s="56">
        <v>18.75999999999998</v>
      </c>
      <c r="BD990" s="62">
        <v>30.619999999999958</v>
      </c>
      <c r="BF990" s="64">
        <v>2.9352282833333332</v>
      </c>
      <c r="BG990" s="56">
        <v>19.840000000000039</v>
      </c>
      <c r="BH990" s="56">
        <v>26.480000000000011</v>
      </c>
      <c r="BI990" s="62">
        <v>54.84</v>
      </c>
      <c r="BJ990" s="70"/>
      <c r="BK990" s="51"/>
    </row>
    <row r="991" spans="1:63" ht="17.25" customHeight="1" thickBot="1" x14ac:dyDescent="0.45">
      <c r="A991" s="16" t="s">
        <v>1068</v>
      </c>
      <c r="B991" s="4"/>
      <c r="C991" s="4"/>
      <c r="D991" s="4"/>
      <c r="E991" s="12"/>
      <c r="G991" s="147" t="s">
        <v>1068</v>
      </c>
      <c r="H991" s="159">
        <v>69.953000000000003</v>
      </c>
      <c r="I991" s="153">
        <v>70.34</v>
      </c>
      <c r="J991" s="153">
        <v>70.400000000000006</v>
      </c>
      <c r="K991" s="153">
        <v>70.37</v>
      </c>
      <c r="L991" s="153">
        <v>70.290000000000006</v>
      </c>
      <c r="M991" s="80">
        <f t="shared" si="30"/>
        <v>70.400000000000006</v>
      </c>
      <c r="N991" s="80">
        <f t="shared" si="31"/>
        <v>70.290000000000006</v>
      </c>
      <c r="O991" s="153">
        <v>21.19</v>
      </c>
      <c r="P991" s="153">
        <v>21.09</v>
      </c>
      <c r="Q991" s="153">
        <v>21.05</v>
      </c>
      <c r="R991" s="153">
        <v>21.04</v>
      </c>
      <c r="S991" s="4"/>
      <c r="U991" s="147" t="s">
        <v>1068</v>
      </c>
      <c r="V991" s="11"/>
      <c r="W991" s="4"/>
      <c r="X991" s="12"/>
      <c r="Y991" s="14"/>
      <c r="Z991" s="4"/>
      <c r="AA991" s="13"/>
      <c r="AB991" s="11"/>
      <c r="AC991" s="4"/>
      <c r="AD991" s="12"/>
      <c r="AE991" s="13"/>
      <c r="AF991" s="14">
        <v>5.0387000000000004</v>
      </c>
      <c r="AG991" s="133"/>
      <c r="AI991" s="96"/>
      <c r="AL991" s="64">
        <v>4.1717564833333336</v>
      </c>
      <c r="AM991" s="56">
        <v>14.24000000000003</v>
      </c>
      <c r="AN991" s="56">
        <v>16.16</v>
      </c>
      <c r="AO991" s="62">
        <v>22.280000000000118</v>
      </c>
      <c r="AQ991" s="64">
        <v>4.082030866666666</v>
      </c>
      <c r="AR991" s="56">
        <v>13.79999999999999</v>
      </c>
      <c r="AS991" s="56">
        <v>15.199999999999919</v>
      </c>
      <c r="AT991" s="62">
        <v>19.319999999999919</v>
      </c>
      <c r="AV991" s="64">
        <v>3.728153083333333</v>
      </c>
      <c r="AW991" s="56">
        <v>13.37999999999999</v>
      </c>
      <c r="AX991" s="56">
        <v>14.780000000000021</v>
      </c>
      <c r="AY991" s="62">
        <v>19.500000000000028</v>
      </c>
      <c r="BA991" s="64">
        <v>3.1809888499999999</v>
      </c>
      <c r="BB991" s="56">
        <v>15.880000000000029</v>
      </c>
      <c r="BC991" s="56">
        <v>18.380000000000059</v>
      </c>
      <c r="BD991" s="62">
        <v>30.50000000000006</v>
      </c>
      <c r="BF991" s="64">
        <v>2.939164616666667</v>
      </c>
      <c r="BG991" s="56">
        <v>19.420000000000041</v>
      </c>
      <c r="BH991" s="56">
        <v>26.239999999999949</v>
      </c>
      <c r="BI991" s="62">
        <v>54.819999999999958</v>
      </c>
      <c r="BJ991" s="70"/>
      <c r="BK991" s="51"/>
    </row>
    <row r="992" spans="1:63" ht="17.25" customHeight="1" thickBot="1" x14ac:dyDescent="0.45">
      <c r="A992" s="16" t="s">
        <v>1069</v>
      </c>
      <c r="B992" s="4"/>
      <c r="C992" s="4"/>
      <c r="D992" s="4"/>
      <c r="E992" s="12"/>
      <c r="G992" s="147" t="s">
        <v>1069</v>
      </c>
      <c r="H992" s="159">
        <v>69.893000000000001</v>
      </c>
      <c r="I992" s="153">
        <v>70.33</v>
      </c>
      <c r="J992" s="153">
        <v>70.36</v>
      </c>
      <c r="K992" s="153">
        <v>70.3</v>
      </c>
      <c r="L992" s="153">
        <v>70.349999999999994</v>
      </c>
      <c r="M992" s="80">
        <f t="shared" si="30"/>
        <v>70.36</v>
      </c>
      <c r="N992" s="80">
        <f t="shared" si="31"/>
        <v>70.3</v>
      </c>
      <c r="O992" s="153">
        <v>21.16</v>
      </c>
      <c r="P992" s="153">
        <v>21.12</v>
      </c>
      <c r="Q992" s="153">
        <v>21.14</v>
      </c>
      <c r="R992" s="153">
        <v>21.12</v>
      </c>
      <c r="S992" s="4"/>
      <c r="U992" s="147" t="s">
        <v>1069</v>
      </c>
      <c r="V992" s="11"/>
      <c r="W992" s="4"/>
      <c r="X992" s="12"/>
      <c r="Y992" s="14"/>
      <c r="Z992" s="4"/>
      <c r="AA992" s="13"/>
      <c r="AB992" s="11"/>
      <c r="AC992" s="4"/>
      <c r="AD992" s="12"/>
      <c r="AE992" s="13"/>
      <c r="AF992" s="14">
        <v>5.0457999999999998</v>
      </c>
      <c r="AG992" s="133"/>
      <c r="AI992" s="84"/>
      <c r="AL992" s="64">
        <v>4.1718367833333332</v>
      </c>
      <c r="AM992" s="56">
        <v>14.19999999999995</v>
      </c>
      <c r="AN992" s="56">
        <v>16.119999999999909</v>
      </c>
      <c r="AO992" s="62">
        <v>22.240000000000041</v>
      </c>
      <c r="AQ992" s="64">
        <v>4.0828729833333348</v>
      </c>
      <c r="AR992" s="56">
        <v>13.9800000000001</v>
      </c>
      <c r="AS992" s="56">
        <v>15.38000000000004</v>
      </c>
      <c r="AT992" s="62">
        <v>19.500000000000121</v>
      </c>
      <c r="AV992" s="64">
        <v>3.7288165500000008</v>
      </c>
      <c r="AW992" s="56">
        <v>13.45999999999998</v>
      </c>
      <c r="AX992" s="56">
        <v>14.86000000000001</v>
      </c>
      <c r="AY992" s="62">
        <v>19.599999999999969</v>
      </c>
      <c r="BA992" s="64">
        <v>3.1807059999999989</v>
      </c>
      <c r="BB992" s="56">
        <v>15.81999999999999</v>
      </c>
      <c r="BC992" s="56">
        <v>18.259999999999991</v>
      </c>
      <c r="BD992" s="62">
        <v>30.29999999999999</v>
      </c>
      <c r="BF992" s="64">
        <v>2.9332452999999998</v>
      </c>
      <c r="BG992" s="56">
        <v>19.440000000000079</v>
      </c>
      <c r="BH992" s="56">
        <v>26.300000000000079</v>
      </c>
      <c r="BI992" s="62">
        <v>55.380000000000067</v>
      </c>
      <c r="BJ992" s="69"/>
      <c r="BK992" s="51"/>
    </row>
    <row r="993" spans="1:63" ht="17.25" customHeight="1" thickBot="1" x14ac:dyDescent="0.45">
      <c r="A993" s="16" t="s">
        <v>1070</v>
      </c>
      <c r="B993" s="4"/>
      <c r="C993" s="4"/>
      <c r="D993" s="4"/>
      <c r="E993" s="12"/>
      <c r="G993" s="147" t="s">
        <v>1070</v>
      </c>
      <c r="H993" s="159">
        <v>70.128</v>
      </c>
      <c r="I993" s="153">
        <v>70.36</v>
      </c>
      <c r="J993" s="153">
        <v>70.290000000000006</v>
      </c>
      <c r="K993" s="153">
        <v>70.34</v>
      </c>
      <c r="L993" s="153">
        <v>70.37</v>
      </c>
      <c r="M993" s="80">
        <f t="shared" si="30"/>
        <v>70.37</v>
      </c>
      <c r="N993" s="80">
        <f t="shared" si="31"/>
        <v>70.290000000000006</v>
      </c>
      <c r="O993" s="153">
        <v>21.21</v>
      </c>
      <c r="P993" s="153">
        <v>21.07</v>
      </c>
      <c r="Q993" s="153">
        <v>21.16</v>
      </c>
      <c r="R993" s="153">
        <v>21.13</v>
      </c>
      <c r="S993" s="4"/>
      <c r="U993" s="147" t="s">
        <v>1070</v>
      </c>
      <c r="V993" s="11"/>
      <c r="W993" s="4"/>
      <c r="X993" s="12"/>
      <c r="Y993" s="14"/>
      <c r="Z993" s="4"/>
      <c r="AA993" s="13"/>
      <c r="AB993" s="11"/>
      <c r="AC993" s="4"/>
      <c r="AD993" s="12"/>
      <c r="AE993" s="13"/>
      <c r="AF993" s="14">
        <v>5.0396999999999998</v>
      </c>
      <c r="AG993" s="133"/>
      <c r="AI993" s="84"/>
      <c r="AL993" s="64">
        <v>4.1716745333333334</v>
      </c>
      <c r="AM993" s="56">
        <v>14.459999999999869</v>
      </c>
      <c r="AN993" s="56">
        <v>16.41999999999992</v>
      </c>
      <c r="AO993" s="62">
        <v>22.65999999999995</v>
      </c>
      <c r="AQ993" s="64">
        <v>4.0834572666666666</v>
      </c>
      <c r="AR993" s="56">
        <v>14.35999999999993</v>
      </c>
      <c r="AS993" s="56">
        <v>15.819999999999901</v>
      </c>
      <c r="AT993" s="62">
        <v>20.019999999999971</v>
      </c>
      <c r="AV993" s="64">
        <v>3.7297746666666671</v>
      </c>
      <c r="AW993" s="56">
        <v>14.1</v>
      </c>
      <c r="AX993" s="56">
        <v>15.54000000000002</v>
      </c>
      <c r="AY993" s="62">
        <v>20.400000000000059</v>
      </c>
      <c r="BA993" s="64">
        <v>3.1840051333333328</v>
      </c>
      <c r="BB993" s="56">
        <v>16.819999999999968</v>
      </c>
      <c r="BC993" s="56">
        <v>19.36</v>
      </c>
      <c r="BD993" s="62">
        <v>31.519999999999989</v>
      </c>
      <c r="BF993" s="64">
        <v>2.929996</v>
      </c>
      <c r="BG993" s="56">
        <v>20.58</v>
      </c>
      <c r="BH993" s="56">
        <v>27.660000000000021</v>
      </c>
      <c r="BI993" s="62">
        <v>57.28</v>
      </c>
      <c r="BJ993" s="69"/>
      <c r="BK993" s="51"/>
    </row>
    <row r="994" spans="1:63" ht="17.25" customHeight="1" thickBot="1" x14ac:dyDescent="0.45">
      <c r="A994" s="16" t="s">
        <v>1071</v>
      </c>
      <c r="B994" s="4"/>
      <c r="C994" s="4"/>
      <c r="D994" s="4"/>
      <c r="E994" s="12"/>
      <c r="G994" s="147" t="s">
        <v>1071</v>
      </c>
      <c r="H994" s="159">
        <v>70.132000000000005</v>
      </c>
      <c r="I994" s="153">
        <v>70.33</v>
      </c>
      <c r="J994" s="153">
        <v>70.27</v>
      </c>
      <c r="K994" s="153">
        <v>70.27</v>
      </c>
      <c r="L994" s="153">
        <v>70.319999999999993</v>
      </c>
      <c r="M994" s="80">
        <f t="shared" si="30"/>
        <v>70.33</v>
      </c>
      <c r="N994" s="80">
        <f t="shared" si="31"/>
        <v>70.27</v>
      </c>
      <c r="O994" s="153">
        <v>21.14</v>
      </c>
      <c r="P994" s="153">
        <v>21.04</v>
      </c>
      <c r="Q994" s="153">
        <v>21.15</v>
      </c>
      <c r="R994" s="153">
        <v>21.08</v>
      </c>
      <c r="S994" s="4"/>
      <c r="U994" s="147" t="s">
        <v>1071</v>
      </c>
      <c r="V994" s="11"/>
      <c r="W994" s="4"/>
      <c r="X994" s="12"/>
      <c r="Y994" s="14"/>
      <c r="Z994" s="4"/>
      <c r="AA994" s="13"/>
      <c r="AB994" s="11"/>
      <c r="AC994" s="4"/>
      <c r="AD994" s="12"/>
      <c r="AE994" s="13"/>
      <c r="AF994" s="14">
        <v>5.0354999999999999</v>
      </c>
      <c r="AG994" s="133"/>
      <c r="AI994" s="96"/>
      <c r="AL994" s="64">
        <v>4.1706337833333338</v>
      </c>
      <c r="AM994" s="56">
        <v>15.38000000000004</v>
      </c>
      <c r="AN994" s="56">
        <v>17.44000000000003</v>
      </c>
      <c r="AO994" s="62">
        <v>23.760000000000051</v>
      </c>
      <c r="AQ994" s="64">
        <v>4.0827157833333336</v>
      </c>
      <c r="AR994" s="56">
        <v>15.13999999999989</v>
      </c>
      <c r="AS994" s="56">
        <v>16.63999999999994</v>
      </c>
      <c r="AT994" s="62">
        <v>20.939999999999959</v>
      </c>
      <c r="AV994" s="64">
        <v>3.7283218333333328</v>
      </c>
      <c r="AW994" s="56">
        <v>14.680000000000071</v>
      </c>
      <c r="AX994" s="56">
        <v>16.180000000000039</v>
      </c>
      <c r="AY994" s="62">
        <v>21.20000000000006</v>
      </c>
      <c r="BA994" s="64">
        <v>3.1809446000000001</v>
      </c>
      <c r="BB994" s="56">
        <v>17.060000000000031</v>
      </c>
      <c r="BC994" s="56">
        <v>19.639999999999969</v>
      </c>
      <c r="BD994" s="62">
        <v>32.08000000000002</v>
      </c>
      <c r="BF994" s="64">
        <v>2.9332846333333329</v>
      </c>
      <c r="BG994" s="56">
        <v>20.560000000000041</v>
      </c>
      <c r="BH994" s="56">
        <v>27.140000000000079</v>
      </c>
      <c r="BI994" s="62">
        <v>55.679999999999993</v>
      </c>
      <c r="BJ994" s="70"/>
      <c r="BK994" s="51"/>
    </row>
    <row r="995" spans="1:63" ht="17.25" customHeight="1" thickBot="1" x14ac:dyDescent="0.45">
      <c r="A995" s="16" t="s">
        <v>1072</v>
      </c>
      <c r="B995" s="4"/>
      <c r="C995" s="4"/>
      <c r="D995" s="4"/>
      <c r="E995" s="12"/>
      <c r="G995" s="147" t="s">
        <v>1072</v>
      </c>
      <c r="H995" s="159">
        <v>70.022000000000006</v>
      </c>
      <c r="I995" s="153">
        <v>70.39</v>
      </c>
      <c r="J995" s="153">
        <v>70.3</v>
      </c>
      <c r="K995" s="153">
        <v>70.349999999999994</v>
      </c>
      <c r="L995" s="153">
        <v>70.3</v>
      </c>
      <c r="M995" s="80">
        <f t="shared" si="30"/>
        <v>70.39</v>
      </c>
      <c r="N995" s="80">
        <f t="shared" si="31"/>
        <v>70.3</v>
      </c>
      <c r="O995" s="153">
        <v>21.17</v>
      </c>
      <c r="P995" s="153">
        <v>21.18</v>
      </c>
      <c r="Q995" s="153">
        <v>21.13</v>
      </c>
      <c r="R995" s="153">
        <v>21.06</v>
      </c>
      <c r="S995" s="4"/>
      <c r="U995" s="147" t="s">
        <v>1072</v>
      </c>
      <c r="V995" s="11"/>
      <c r="W995" s="4"/>
      <c r="X995" s="12"/>
      <c r="Y995" s="14"/>
      <c r="Z995" s="4"/>
      <c r="AA995" s="13"/>
      <c r="AB995" s="11"/>
      <c r="AC995" s="4"/>
      <c r="AD995" s="12"/>
      <c r="AE995" s="13"/>
      <c r="AF995" s="14">
        <v>5.0221999999999998</v>
      </c>
      <c r="AG995" s="133"/>
      <c r="AI995" s="84"/>
      <c r="AL995" s="64">
        <v>4.1714186666666668</v>
      </c>
      <c r="AM995" s="56">
        <v>14.20000000000012</v>
      </c>
      <c r="AN995" s="56">
        <v>16.12000000000009</v>
      </c>
      <c r="AO995" s="62">
        <v>22.240000000000041</v>
      </c>
      <c r="AQ995" s="64">
        <v>4.080796799999999</v>
      </c>
      <c r="AR995" s="56">
        <v>13.59999999999992</v>
      </c>
      <c r="AS995" s="56">
        <v>14.98000000000008</v>
      </c>
      <c r="AT995" s="62">
        <v>19.059999999999992</v>
      </c>
      <c r="AV995" s="64">
        <v>3.7270145333333322</v>
      </c>
      <c r="AW995" s="56">
        <v>13.22000000000001</v>
      </c>
      <c r="AX995" s="56">
        <v>14.599999999999991</v>
      </c>
      <c r="AY995" s="62">
        <v>19.34000000000005</v>
      </c>
      <c r="BA995" s="64">
        <v>3.183256983333334</v>
      </c>
      <c r="BB995" s="56">
        <v>15.920000000000019</v>
      </c>
      <c r="BC995" s="56">
        <v>18.360000000000021</v>
      </c>
      <c r="BD995" s="62">
        <v>30.320000000000039</v>
      </c>
      <c r="BF995" s="64">
        <v>2.935865983333334</v>
      </c>
      <c r="BG995" s="56">
        <v>19.56000000000007</v>
      </c>
      <c r="BH995" s="56">
        <v>26.40000000000002</v>
      </c>
      <c r="BI995" s="62">
        <v>55.039999999999978</v>
      </c>
      <c r="BJ995" s="69"/>
      <c r="BK995" s="51"/>
    </row>
    <row r="996" spans="1:63" ht="17.25" customHeight="1" thickBot="1" x14ac:dyDescent="0.45">
      <c r="A996" s="16" t="s">
        <v>1073</v>
      </c>
      <c r="B996" s="4"/>
      <c r="C996" s="4"/>
      <c r="D996" s="4"/>
      <c r="E996" s="12"/>
      <c r="G996" s="147" t="s">
        <v>1073</v>
      </c>
      <c r="H996" s="159">
        <v>70.075000000000003</v>
      </c>
      <c r="I996" s="153">
        <v>70.31</v>
      </c>
      <c r="J996" s="153">
        <v>70.38</v>
      </c>
      <c r="K996" s="153">
        <v>70.36</v>
      </c>
      <c r="L996" s="153">
        <v>70.28</v>
      </c>
      <c r="M996" s="80">
        <f t="shared" si="30"/>
        <v>70.38</v>
      </c>
      <c r="N996" s="80">
        <f t="shared" si="31"/>
        <v>70.28</v>
      </c>
      <c r="O996" s="153">
        <v>21.21</v>
      </c>
      <c r="P996" s="153">
        <v>20.99</v>
      </c>
      <c r="Q996" s="153">
        <v>21.14</v>
      </c>
      <c r="R996" s="153">
        <v>21.04</v>
      </c>
      <c r="S996" s="4"/>
      <c r="U996" s="147" t="s">
        <v>1073</v>
      </c>
      <c r="V996" s="11"/>
      <c r="W996" s="4"/>
      <c r="X996" s="12"/>
      <c r="Y996" s="14"/>
      <c r="Z996" s="4"/>
      <c r="AA996" s="13"/>
      <c r="AB996" s="11"/>
      <c r="AC996" s="4"/>
      <c r="AD996" s="12"/>
      <c r="AE996" s="13"/>
      <c r="AF996" s="14">
        <v>5.0286</v>
      </c>
      <c r="AG996" s="133"/>
      <c r="AI996" s="96"/>
      <c r="AL996" s="64">
        <v>4.1720208333333337</v>
      </c>
      <c r="AM996" s="56">
        <v>13.899999999999929</v>
      </c>
      <c r="AN996" s="56">
        <v>15.799999999999949</v>
      </c>
      <c r="AO996" s="62">
        <v>21.979999999999929</v>
      </c>
      <c r="AQ996" s="64">
        <v>4.0813362666666668</v>
      </c>
      <c r="AR996" s="56">
        <v>13.54000000000006</v>
      </c>
      <c r="AS996" s="56">
        <v>14.920000000000041</v>
      </c>
      <c r="AT996" s="62">
        <v>19.000000000000039</v>
      </c>
      <c r="AV996" s="64">
        <v>3.7278775</v>
      </c>
      <c r="AW996" s="56">
        <v>13.12000000000006</v>
      </c>
      <c r="AX996" s="56">
        <v>14.50000000000005</v>
      </c>
      <c r="AY996" s="62">
        <v>19.200000000000021</v>
      </c>
      <c r="BA996" s="64">
        <v>3.1890880333333329</v>
      </c>
      <c r="BB996" s="56">
        <v>15.439999999999991</v>
      </c>
      <c r="BC996" s="56">
        <v>17.79999999999999</v>
      </c>
      <c r="BD996" s="62">
        <v>29.35999999999996</v>
      </c>
      <c r="BF996" s="64">
        <v>2.9361771333333331</v>
      </c>
      <c r="BG996" s="56">
        <v>19.08000000000003</v>
      </c>
      <c r="BH996" s="56">
        <v>25.579999999999981</v>
      </c>
      <c r="BI996" s="62">
        <v>53.580000000000013</v>
      </c>
      <c r="BJ996" s="70"/>
      <c r="BK996" s="51"/>
    </row>
    <row r="997" spans="1:63" ht="17.25" customHeight="1" thickBot="1" x14ac:dyDescent="0.45">
      <c r="A997" s="16" t="s">
        <v>1074</v>
      </c>
      <c r="B997" s="4"/>
      <c r="C997" s="4"/>
      <c r="D997" s="4"/>
      <c r="E997" s="12"/>
      <c r="G997" s="147" t="s">
        <v>1074</v>
      </c>
      <c r="H997" s="159">
        <v>70.022000000000006</v>
      </c>
      <c r="I997" s="153">
        <v>70.33</v>
      </c>
      <c r="J997" s="153">
        <v>70.27</v>
      </c>
      <c r="K997" s="153">
        <v>70.33</v>
      </c>
      <c r="L997" s="153">
        <v>70.36</v>
      </c>
      <c r="M997" s="80">
        <f t="shared" si="30"/>
        <v>70.36</v>
      </c>
      <c r="N997" s="80">
        <f t="shared" si="31"/>
        <v>70.27</v>
      </c>
      <c r="O997" s="153">
        <v>21.09</v>
      </c>
      <c r="P997" s="153">
        <v>21.15</v>
      </c>
      <c r="Q997" s="153">
        <v>21.17</v>
      </c>
      <c r="R997" s="153">
        <v>21.1</v>
      </c>
      <c r="S997" s="4"/>
      <c r="U997" s="147" t="s">
        <v>1074</v>
      </c>
      <c r="V997" s="11"/>
      <c r="W997" s="4"/>
      <c r="X997" s="12"/>
      <c r="Y997" s="14"/>
      <c r="Z997" s="4"/>
      <c r="AA997" s="13"/>
      <c r="AB997" s="11"/>
      <c r="AC997" s="4"/>
      <c r="AD997" s="12"/>
      <c r="AE997" s="13"/>
      <c r="AF997" s="14">
        <v>5.0164</v>
      </c>
      <c r="AG997" s="133"/>
      <c r="AI997" s="96"/>
      <c r="AL997" s="64">
        <v>4.1719344666666673</v>
      </c>
      <c r="AM997" s="56">
        <v>14.41999999999997</v>
      </c>
      <c r="AN997" s="56">
        <v>16.339999999999929</v>
      </c>
      <c r="AO997" s="62">
        <v>22.540000000000049</v>
      </c>
      <c r="AQ997" s="64">
        <v>4.080162933333332</v>
      </c>
      <c r="AR997" s="56">
        <v>13.79999999999999</v>
      </c>
      <c r="AS997" s="56">
        <v>15.21999999999988</v>
      </c>
      <c r="AT997" s="62">
        <v>19.339999999999961</v>
      </c>
      <c r="AV997" s="64">
        <v>3.7262194499999999</v>
      </c>
      <c r="AW997" s="56">
        <v>13.480000000000031</v>
      </c>
      <c r="AX997" s="56">
        <v>14.880000000000051</v>
      </c>
      <c r="AY997" s="62">
        <v>19.640000000000061</v>
      </c>
      <c r="BA997" s="64">
        <v>3.1866352500000001</v>
      </c>
      <c r="BB997" s="56">
        <v>16.04000000000001</v>
      </c>
      <c r="BC997" s="56">
        <v>18.50000000000005</v>
      </c>
      <c r="BD997" s="62">
        <v>30.240000000000041</v>
      </c>
      <c r="BF997" s="64">
        <v>2.9339976666666669</v>
      </c>
      <c r="BG997" s="56">
        <v>19.71999999999996</v>
      </c>
      <c r="BH997" s="56">
        <v>26.379999999999981</v>
      </c>
      <c r="BI997" s="62">
        <v>54.539999999999992</v>
      </c>
      <c r="BJ997" s="70"/>
      <c r="BK997" s="51"/>
    </row>
    <row r="998" spans="1:63" ht="17.25" customHeight="1" thickBot="1" x14ac:dyDescent="0.45">
      <c r="A998" s="16" t="s">
        <v>1075</v>
      </c>
      <c r="B998" s="4"/>
      <c r="C998" s="4"/>
      <c r="D998" s="4"/>
      <c r="E998" s="12"/>
      <c r="G998" s="147" t="s">
        <v>1075</v>
      </c>
      <c r="H998" s="159">
        <v>70.113</v>
      </c>
      <c r="I998" s="153">
        <v>70.290000000000006</v>
      </c>
      <c r="J998" s="153">
        <v>70.31</v>
      </c>
      <c r="K998" s="153">
        <v>70.319999999999993</v>
      </c>
      <c r="L998" s="153">
        <v>70.39</v>
      </c>
      <c r="M998" s="80">
        <f t="shared" si="30"/>
        <v>70.39</v>
      </c>
      <c r="N998" s="80">
        <f t="shared" si="31"/>
        <v>70.290000000000006</v>
      </c>
      <c r="O998" s="153">
        <v>21.21</v>
      </c>
      <c r="P998" s="153">
        <v>21.15</v>
      </c>
      <c r="Q998" s="153">
        <v>21.07</v>
      </c>
      <c r="R998" s="153">
        <v>21.06</v>
      </c>
      <c r="S998" s="4"/>
      <c r="U998" s="147" t="s">
        <v>1075</v>
      </c>
      <c r="V998" s="11"/>
      <c r="W998" s="4"/>
      <c r="X998" s="12"/>
      <c r="Y998" s="14"/>
      <c r="Z998" s="4"/>
      <c r="AA998" s="13"/>
      <c r="AB998" s="11"/>
      <c r="AC998" s="4"/>
      <c r="AD998" s="12"/>
      <c r="AE998" s="13"/>
      <c r="AF998" s="14">
        <v>5.0330000000000004</v>
      </c>
      <c r="AG998" s="133"/>
      <c r="AI998" s="96"/>
      <c r="AL998" s="64">
        <v>4.1720031500000001</v>
      </c>
      <c r="AM998" s="56">
        <v>14.07999999999987</v>
      </c>
      <c r="AN998" s="56">
        <v>15.97999999999988</v>
      </c>
      <c r="AO998" s="62">
        <v>22.139999999999919</v>
      </c>
      <c r="AQ998" s="64">
        <v>4.081656933333333</v>
      </c>
      <c r="AR998" s="56">
        <v>13.679999999999909</v>
      </c>
      <c r="AS998" s="56">
        <v>15.059999999999899</v>
      </c>
      <c r="AT998" s="62">
        <v>19.13999999999989</v>
      </c>
      <c r="AV998" s="64">
        <v>3.7277659166666668</v>
      </c>
      <c r="AW998" s="56">
        <v>13.25999999999992</v>
      </c>
      <c r="AX998" s="56">
        <v>14.63999999999999</v>
      </c>
      <c r="AY998" s="62">
        <v>19.36</v>
      </c>
      <c r="BA998" s="64">
        <v>3.1878143333333329</v>
      </c>
      <c r="BB998" s="56">
        <v>15.96000000000002</v>
      </c>
      <c r="BC998" s="56">
        <v>18.360000000000021</v>
      </c>
      <c r="BD998" s="62">
        <v>30.18000000000001</v>
      </c>
      <c r="BF998" s="64">
        <v>2.9418977499999999</v>
      </c>
      <c r="BG998" s="56">
        <v>19.539999999999939</v>
      </c>
      <c r="BH998" s="56">
        <v>26.159999999999961</v>
      </c>
      <c r="BI998" s="62">
        <v>53.979999999999961</v>
      </c>
      <c r="BJ998" s="70"/>
      <c r="BK998" s="51"/>
    </row>
    <row r="999" spans="1:63" ht="17.25" customHeight="1" thickBot="1" x14ac:dyDescent="0.45">
      <c r="A999" s="16" t="s">
        <v>1076</v>
      </c>
      <c r="B999" s="4"/>
      <c r="C999" s="4"/>
      <c r="D999" s="4"/>
      <c r="E999" s="12"/>
      <c r="G999" s="147" t="s">
        <v>1076</v>
      </c>
      <c r="H999" s="159">
        <v>70.034999999999997</v>
      </c>
      <c r="I999" s="153">
        <v>70.400000000000006</v>
      </c>
      <c r="J999" s="153">
        <v>70.28</v>
      </c>
      <c r="K999" s="153">
        <v>70.37</v>
      </c>
      <c r="L999" s="153">
        <v>70.319999999999993</v>
      </c>
      <c r="M999" s="80">
        <f t="shared" si="30"/>
        <v>70.400000000000006</v>
      </c>
      <c r="N999" s="80">
        <f t="shared" si="31"/>
        <v>70.28</v>
      </c>
      <c r="O999" s="153">
        <v>21.18</v>
      </c>
      <c r="P999" s="153">
        <v>21.05</v>
      </c>
      <c r="Q999" s="153">
        <v>21.13</v>
      </c>
      <c r="R999" s="153">
        <v>21.1</v>
      </c>
      <c r="S999" s="4"/>
      <c r="U999" s="147" t="s">
        <v>1076</v>
      </c>
      <c r="V999" s="11"/>
      <c r="W999" s="4"/>
      <c r="X999" s="12"/>
      <c r="Y999" s="14"/>
      <c r="Z999" s="4"/>
      <c r="AA999" s="13"/>
      <c r="AB999" s="11"/>
      <c r="AC999" s="4"/>
      <c r="AD999" s="12"/>
      <c r="AE999" s="13"/>
      <c r="AF999" s="14">
        <v>5.0289999999999999</v>
      </c>
      <c r="AG999" s="133"/>
      <c r="AI999" s="96"/>
      <c r="AL999" s="64">
        <v>4.1722812666666664</v>
      </c>
      <c r="AM999" s="56">
        <v>14.32000000000002</v>
      </c>
      <c r="AN999" s="56">
        <v>16.220000000000031</v>
      </c>
      <c r="AO999" s="62">
        <v>22.43999999999993</v>
      </c>
      <c r="AQ999" s="64">
        <v>4.0805986833333323</v>
      </c>
      <c r="AR999" s="56">
        <v>13.759999999999909</v>
      </c>
      <c r="AS999" s="56">
        <v>15.15999999999984</v>
      </c>
      <c r="AT999" s="62">
        <v>19.259999999999881</v>
      </c>
      <c r="AV999" s="64">
        <v>3.7269874499999989</v>
      </c>
      <c r="AW999" s="56">
        <v>13.400000000000031</v>
      </c>
      <c r="AX999" s="56">
        <v>14.780000000000021</v>
      </c>
      <c r="AY999" s="62">
        <v>19.519999999999978</v>
      </c>
      <c r="BA999" s="64">
        <v>3.1875276499999998</v>
      </c>
      <c r="BB999" s="56">
        <v>15.96000000000002</v>
      </c>
      <c r="BC999" s="56">
        <v>18.360000000000021</v>
      </c>
      <c r="BD999" s="62">
        <v>30.120000000000061</v>
      </c>
      <c r="BF999" s="64">
        <v>2.9382549166666672</v>
      </c>
      <c r="BG999" s="56">
        <v>19.539999999999939</v>
      </c>
      <c r="BH999" s="56">
        <v>26.19999999999996</v>
      </c>
      <c r="BI999" s="62">
        <v>54.259999999999927</v>
      </c>
      <c r="BJ999" s="70"/>
      <c r="BK999" s="51"/>
    </row>
    <row r="1000" spans="1:63" ht="17.25" customHeight="1" thickBot="1" x14ac:dyDescent="0.45">
      <c r="A1000" s="16" t="s">
        <v>1077</v>
      </c>
      <c r="B1000" s="4"/>
      <c r="C1000" s="4"/>
      <c r="D1000" s="4"/>
      <c r="E1000" s="12"/>
      <c r="G1000" s="147" t="s">
        <v>1077</v>
      </c>
      <c r="H1000" s="159">
        <v>70.012</v>
      </c>
      <c r="I1000" s="153">
        <v>70.319999999999993</v>
      </c>
      <c r="J1000" s="153">
        <v>70.37</v>
      </c>
      <c r="K1000" s="153">
        <v>70.39</v>
      </c>
      <c r="L1000" s="153">
        <v>70.39</v>
      </c>
      <c r="M1000" s="80">
        <f t="shared" si="30"/>
        <v>70.39</v>
      </c>
      <c r="N1000" s="80">
        <f t="shared" si="31"/>
        <v>70.319999999999993</v>
      </c>
      <c r="O1000" s="153">
        <v>21.18</v>
      </c>
      <c r="P1000" s="153">
        <v>21.13</v>
      </c>
      <c r="Q1000" s="153">
        <v>21.08</v>
      </c>
      <c r="R1000" s="153">
        <v>21.01</v>
      </c>
      <c r="S1000" s="4"/>
      <c r="U1000" s="147" t="s">
        <v>1077</v>
      </c>
      <c r="V1000" s="11"/>
      <c r="W1000" s="4"/>
      <c r="X1000" s="12"/>
      <c r="Y1000" s="14"/>
      <c r="Z1000" s="4"/>
      <c r="AA1000" s="13"/>
      <c r="AB1000" s="11"/>
      <c r="AC1000" s="4"/>
      <c r="AD1000" s="12"/>
      <c r="AE1000" s="13"/>
      <c r="AF1000" s="14">
        <v>5.0174000000000003</v>
      </c>
      <c r="AG1000" s="133"/>
      <c r="AI1000" s="96"/>
      <c r="AL1000" s="64">
        <v>4.171760533333333</v>
      </c>
      <c r="AM1000" s="56">
        <v>14.459999999999869</v>
      </c>
      <c r="AN1000" s="56">
        <v>16.39999999999997</v>
      </c>
      <c r="AO1000" s="62">
        <v>22.599999999999909</v>
      </c>
      <c r="AQ1000" s="64">
        <v>4.0807012</v>
      </c>
      <c r="AR1000" s="56">
        <v>13.920000000000069</v>
      </c>
      <c r="AS1000" s="56">
        <v>15.34000000000013</v>
      </c>
      <c r="AT1000" s="62">
        <v>19.500000000000028</v>
      </c>
      <c r="AV1000" s="64">
        <v>3.727755183333334</v>
      </c>
      <c r="AW1000" s="56">
        <v>13.539999999999971</v>
      </c>
      <c r="AX1000" s="56">
        <v>14.94</v>
      </c>
      <c r="AY1000" s="62">
        <v>19.71999999999996</v>
      </c>
      <c r="BA1000" s="64">
        <v>3.186645233333333</v>
      </c>
      <c r="BB1000" s="56">
        <v>16.080000000000009</v>
      </c>
      <c r="BC1000" s="56">
        <v>18.50000000000005</v>
      </c>
      <c r="BD1000" s="62">
        <v>30.29999999999999</v>
      </c>
      <c r="BF1000" s="64">
        <v>2.9340947000000002</v>
      </c>
      <c r="BG1000" s="56">
        <v>19.70000000000001</v>
      </c>
      <c r="BH1000" s="56">
        <v>26.31999999999994</v>
      </c>
      <c r="BI1000" s="62">
        <v>54.519999999999953</v>
      </c>
      <c r="BJ1000" s="70"/>
      <c r="BK1000" s="51"/>
    </row>
    <row r="1001" spans="1:63" ht="17.25" customHeight="1" thickBot="1" x14ac:dyDescent="0.45">
      <c r="A1001" s="16" t="s">
        <v>1078</v>
      </c>
      <c r="B1001" s="4"/>
      <c r="C1001" s="4"/>
      <c r="D1001" s="4"/>
      <c r="E1001" s="12"/>
      <c r="G1001" s="147" t="s">
        <v>1078</v>
      </c>
      <c r="H1001" s="159">
        <v>70.027000000000001</v>
      </c>
      <c r="I1001" s="153">
        <v>70.349999999999994</v>
      </c>
      <c r="J1001" s="153">
        <v>70.319999999999993</v>
      </c>
      <c r="K1001" s="153">
        <v>70.37</v>
      </c>
      <c r="L1001" s="153">
        <v>70.3</v>
      </c>
      <c r="M1001" s="80">
        <f t="shared" si="30"/>
        <v>70.37</v>
      </c>
      <c r="N1001" s="80">
        <f t="shared" si="31"/>
        <v>70.3</v>
      </c>
      <c r="O1001" s="153">
        <v>21.17</v>
      </c>
      <c r="P1001" s="153">
        <v>21.05</v>
      </c>
      <c r="Q1001" s="153">
        <v>21.1</v>
      </c>
      <c r="R1001" s="153">
        <v>21.09</v>
      </c>
      <c r="S1001" s="4"/>
      <c r="U1001" s="147" t="s">
        <v>1078</v>
      </c>
      <c r="V1001" s="11"/>
      <c r="W1001" s="4"/>
      <c r="X1001" s="12"/>
      <c r="Y1001" s="14"/>
      <c r="Z1001" s="4"/>
      <c r="AA1001" s="13"/>
      <c r="AB1001" s="11"/>
      <c r="AC1001" s="4"/>
      <c r="AD1001" s="12"/>
      <c r="AE1001" s="13"/>
      <c r="AF1001" s="14">
        <v>5.0279999999999996</v>
      </c>
      <c r="AG1001" s="133"/>
      <c r="AI1001" s="96"/>
      <c r="AL1001" s="64">
        <v>4.1713445</v>
      </c>
      <c r="AM1001" s="56">
        <v>14.39999999999984</v>
      </c>
      <c r="AN1001" s="56">
        <v>16.339999999999929</v>
      </c>
      <c r="AO1001" s="62">
        <v>22.47999999999983</v>
      </c>
      <c r="AQ1001" s="64">
        <v>4.0812012666666666</v>
      </c>
      <c r="AR1001" s="56">
        <v>13.899999999999929</v>
      </c>
      <c r="AS1001" s="56">
        <v>15.30000000000005</v>
      </c>
      <c r="AT1001" s="62">
        <v>19.439999999999991</v>
      </c>
      <c r="AV1001" s="64">
        <v>3.72773675</v>
      </c>
      <c r="AW1001" s="56">
        <v>13.47999999999994</v>
      </c>
      <c r="AX1001" s="56">
        <v>14.87999999999996</v>
      </c>
      <c r="AY1001" s="62">
        <v>19.639999999999969</v>
      </c>
      <c r="BA1001" s="64">
        <v>3.1811364166666669</v>
      </c>
      <c r="BB1001" s="56">
        <v>15.980000000000061</v>
      </c>
      <c r="BC1001" s="56">
        <v>18.440000000000008</v>
      </c>
      <c r="BD1001" s="62">
        <v>30.460000000000061</v>
      </c>
      <c r="BF1001" s="64">
        <v>2.9362016166666671</v>
      </c>
      <c r="BG1001" s="56">
        <v>19.519999999999978</v>
      </c>
      <c r="BH1001" s="56">
        <v>26.320000000000029</v>
      </c>
      <c r="BI1001" s="62">
        <v>54.919999999999987</v>
      </c>
      <c r="BJ1001" s="70"/>
      <c r="BK1001" s="51"/>
    </row>
    <row r="1002" spans="1:63" ht="17.25" customHeight="1" thickBot="1" x14ac:dyDescent="0.45">
      <c r="A1002" s="16" t="s">
        <v>1079</v>
      </c>
      <c r="B1002" s="4"/>
      <c r="C1002" s="4"/>
      <c r="D1002" s="4"/>
      <c r="E1002" s="12"/>
      <c r="G1002" s="147" t="s">
        <v>1079</v>
      </c>
      <c r="H1002" s="159">
        <v>70.088999999999999</v>
      </c>
      <c r="I1002" s="153">
        <v>70.34</v>
      </c>
      <c r="J1002" s="153">
        <v>70.319999999999993</v>
      </c>
      <c r="K1002" s="153">
        <v>70.36</v>
      </c>
      <c r="L1002" s="153">
        <v>70.3</v>
      </c>
      <c r="M1002" s="80">
        <f t="shared" si="30"/>
        <v>70.36</v>
      </c>
      <c r="N1002" s="80">
        <f t="shared" si="31"/>
        <v>70.3</v>
      </c>
      <c r="O1002" s="153">
        <v>21.2</v>
      </c>
      <c r="P1002" s="153">
        <v>21.07</v>
      </c>
      <c r="Q1002" s="153">
        <v>21.15</v>
      </c>
      <c r="R1002" s="153">
        <v>21.1</v>
      </c>
      <c r="S1002" s="4"/>
      <c r="U1002" s="147" t="s">
        <v>1079</v>
      </c>
      <c r="V1002" s="11"/>
      <c r="W1002" s="4"/>
      <c r="X1002" s="12"/>
      <c r="Y1002" s="14"/>
      <c r="Z1002" s="4"/>
      <c r="AA1002" s="13"/>
      <c r="AB1002" s="11"/>
      <c r="AC1002" s="4"/>
      <c r="AD1002" s="12"/>
      <c r="AE1002" s="13"/>
      <c r="AF1002" s="14">
        <v>5.0210999999999997</v>
      </c>
      <c r="AG1002" s="133"/>
      <c r="AI1002" s="96"/>
      <c r="AL1002" s="64">
        <v>4.1717995333333331</v>
      </c>
      <c r="AM1002" s="56">
        <v>14.460000000000051</v>
      </c>
      <c r="AN1002" s="56">
        <v>16.38000000000002</v>
      </c>
      <c r="AO1002" s="62">
        <v>22.499999999999961</v>
      </c>
      <c r="AQ1002" s="64">
        <v>4.0813059499999991</v>
      </c>
      <c r="AR1002" s="56">
        <v>14.140000000000089</v>
      </c>
      <c r="AS1002" s="56">
        <v>15.56000000000015</v>
      </c>
      <c r="AT1002" s="62">
        <v>19.740000000000091</v>
      </c>
      <c r="AV1002" s="64">
        <v>3.7272429666666662</v>
      </c>
      <c r="AW1002" s="56">
        <v>13.620000000000051</v>
      </c>
      <c r="AX1002" s="56">
        <v>15.019999999999991</v>
      </c>
      <c r="AY1002" s="62">
        <v>19.78</v>
      </c>
      <c r="BA1002" s="64">
        <v>3.1799721833333332</v>
      </c>
      <c r="BB1002" s="56">
        <v>15.84000000000003</v>
      </c>
      <c r="BC1002" s="56">
        <v>18.299999999999979</v>
      </c>
      <c r="BD1002" s="62">
        <v>30.28000000000004</v>
      </c>
      <c r="BF1002" s="64">
        <v>2.9338176333333328</v>
      </c>
      <c r="BG1002" s="56">
        <v>19.49999999999994</v>
      </c>
      <c r="BH1002" s="56">
        <v>26.339999999999989</v>
      </c>
      <c r="BI1002" s="62">
        <v>55.060000000000016</v>
      </c>
      <c r="BJ1002" s="70"/>
      <c r="BK1002" s="51"/>
    </row>
    <row r="1003" spans="1:63" ht="17.25" customHeight="1" thickBot="1" x14ac:dyDescent="0.45">
      <c r="A1003" s="16" t="s">
        <v>1080</v>
      </c>
      <c r="B1003" s="4"/>
      <c r="C1003" s="4"/>
      <c r="D1003" s="4"/>
      <c r="E1003" s="12"/>
      <c r="G1003" s="147" t="s">
        <v>1080</v>
      </c>
      <c r="H1003" s="159">
        <v>70.001000000000005</v>
      </c>
      <c r="I1003" s="153">
        <v>70.290000000000006</v>
      </c>
      <c r="J1003" s="153">
        <v>70.39</v>
      </c>
      <c r="K1003" s="153">
        <v>70.28</v>
      </c>
      <c r="L1003" s="153">
        <v>70.34</v>
      </c>
      <c r="M1003" s="80">
        <f t="shared" si="30"/>
        <v>70.39</v>
      </c>
      <c r="N1003" s="80">
        <f t="shared" si="31"/>
        <v>70.28</v>
      </c>
      <c r="O1003" s="153">
        <v>21.22</v>
      </c>
      <c r="P1003" s="153">
        <v>21.16</v>
      </c>
      <c r="Q1003" s="153">
        <v>21.11</v>
      </c>
      <c r="R1003" s="153">
        <v>21.02</v>
      </c>
      <c r="S1003" s="4"/>
      <c r="U1003" s="147" t="s">
        <v>1080</v>
      </c>
      <c r="V1003" s="11"/>
      <c r="W1003" s="4"/>
      <c r="X1003" s="12"/>
      <c r="Y1003" s="14"/>
      <c r="Z1003" s="4"/>
      <c r="AA1003" s="13"/>
      <c r="AB1003" s="11"/>
      <c r="AC1003" s="4"/>
      <c r="AD1003" s="12"/>
      <c r="AE1003" s="13"/>
      <c r="AF1003" s="14">
        <v>5.0307000000000004</v>
      </c>
      <c r="AG1003" s="133"/>
      <c r="AI1003" s="96"/>
      <c r="AL1003" s="64">
        <v>4.1717794333333336</v>
      </c>
      <c r="AM1003" s="56">
        <v>14.160000000000039</v>
      </c>
      <c r="AN1003" s="56">
        <v>16.080000000000009</v>
      </c>
      <c r="AO1003" s="62">
        <v>22.240000000000041</v>
      </c>
      <c r="AQ1003" s="64">
        <v>4.0816682833333333</v>
      </c>
      <c r="AR1003" s="56">
        <v>13.72</v>
      </c>
      <c r="AS1003" s="56">
        <v>15.13999999999989</v>
      </c>
      <c r="AT1003" s="62">
        <v>19.23999999999992</v>
      </c>
      <c r="AV1003" s="64">
        <v>3.7280327666666668</v>
      </c>
      <c r="AW1003" s="56">
        <v>13.319999999999951</v>
      </c>
      <c r="AX1003" s="56">
        <v>14.719999999999979</v>
      </c>
      <c r="AY1003" s="62">
        <v>19.460000000000029</v>
      </c>
      <c r="BA1003" s="64">
        <v>3.1825521333333331</v>
      </c>
      <c r="BB1003" s="56">
        <v>15.660000000000011</v>
      </c>
      <c r="BC1003" s="56">
        <v>18.080000000000052</v>
      </c>
      <c r="BD1003" s="62">
        <v>29.919999999999991</v>
      </c>
      <c r="BF1003" s="64">
        <v>2.930372966666666</v>
      </c>
      <c r="BG1003" s="56">
        <v>19.23999999999992</v>
      </c>
      <c r="BH1003" s="56">
        <v>26.100000000000009</v>
      </c>
      <c r="BI1003" s="62">
        <v>55.119999999999969</v>
      </c>
      <c r="BJ1003" s="70"/>
      <c r="BK1003" s="51"/>
    </row>
    <row r="1004" spans="1:63" ht="17.25" customHeight="1" thickBot="1" x14ac:dyDescent="0.45">
      <c r="A1004" s="16" t="s">
        <v>1081</v>
      </c>
      <c r="B1004" s="4"/>
      <c r="C1004" s="4"/>
      <c r="D1004" s="4"/>
      <c r="E1004" s="12"/>
      <c r="G1004" s="147" t="s">
        <v>1081</v>
      </c>
      <c r="H1004" s="159">
        <v>70.111999999999995</v>
      </c>
      <c r="I1004" s="153">
        <v>70.3</v>
      </c>
      <c r="J1004" s="153">
        <v>70.28</v>
      </c>
      <c r="K1004" s="153">
        <v>70.27</v>
      </c>
      <c r="L1004" s="153">
        <v>70.290000000000006</v>
      </c>
      <c r="M1004" s="80">
        <f t="shared" si="30"/>
        <v>70.3</v>
      </c>
      <c r="N1004" s="80">
        <f t="shared" si="31"/>
        <v>70.27</v>
      </c>
      <c r="O1004" s="153">
        <v>21.21</v>
      </c>
      <c r="P1004" s="153">
        <v>21.07</v>
      </c>
      <c r="Q1004" s="153">
        <v>21.12</v>
      </c>
      <c r="R1004" s="153">
        <v>21.1</v>
      </c>
      <c r="S1004" s="4"/>
      <c r="U1004" s="147" t="s">
        <v>1081</v>
      </c>
      <c r="V1004" s="11"/>
      <c r="W1004" s="4"/>
      <c r="X1004" s="12"/>
      <c r="Y1004" s="14"/>
      <c r="Z1004" s="4"/>
      <c r="AA1004" s="13"/>
      <c r="AB1004" s="11"/>
      <c r="AC1004" s="4"/>
      <c r="AD1004" s="12"/>
      <c r="AE1004" s="13"/>
      <c r="AF1004" s="14">
        <v>5.0190000000000001</v>
      </c>
      <c r="AG1004" s="133"/>
      <c r="AI1004" s="96"/>
      <c r="AL1004" s="64">
        <v>4.1713265333333336</v>
      </c>
      <c r="AM1004" s="56">
        <v>14.89999999999991</v>
      </c>
      <c r="AN1004" s="56">
        <v>16.879999999999921</v>
      </c>
      <c r="AO1004" s="62">
        <v>23.119999999999941</v>
      </c>
      <c r="AQ1004" s="64">
        <v>4.0827710499999998</v>
      </c>
      <c r="AR1004" s="56">
        <v>14.63999999999999</v>
      </c>
      <c r="AS1004" s="56">
        <v>16.099999999999959</v>
      </c>
      <c r="AT1004" s="62">
        <v>20.359999999999982</v>
      </c>
      <c r="AV1004" s="64">
        <v>3.7285948666666662</v>
      </c>
      <c r="AW1004" s="56">
        <v>14.15999999999995</v>
      </c>
      <c r="AX1004" s="56">
        <v>15.63999999999997</v>
      </c>
      <c r="AY1004" s="62">
        <v>20.55999999999996</v>
      </c>
      <c r="BA1004" s="64">
        <v>3.1840012</v>
      </c>
      <c r="BB1004" s="56">
        <v>16.17999999999995</v>
      </c>
      <c r="BC1004" s="56">
        <v>18.65999999999994</v>
      </c>
      <c r="BD1004" s="62">
        <v>30.759999999999991</v>
      </c>
      <c r="BF1004" s="64">
        <v>2.9357958166666669</v>
      </c>
      <c r="BG1004" s="56">
        <v>19.47999999999999</v>
      </c>
      <c r="BH1004" s="56">
        <v>26.080000000000059</v>
      </c>
      <c r="BI1004" s="62">
        <v>54.260000000000019</v>
      </c>
      <c r="BJ1004" s="70"/>
      <c r="BK1004" s="51"/>
    </row>
    <row r="1005" spans="1:63" ht="17.25" customHeight="1" thickBot="1" x14ac:dyDescent="0.45">
      <c r="A1005" s="16" t="s">
        <v>1082</v>
      </c>
      <c r="B1005" s="4"/>
      <c r="C1005" s="4"/>
      <c r="D1005" s="4"/>
      <c r="E1005" s="12"/>
      <c r="G1005" s="147" t="s">
        <v>1082</v>
      </c>
      <c r="H1005" s="159">
        <v>70.061000000000007</v>
      </c>
      <c r="I1005" s="153">
        <v>70.38</v>
      </c>
      <c r="J1005" s="153">
        <v>70.31</v>
      </c>
      <c r="K1005" s="153">
        <v>70.39</v>
      </c>
      <c r="L1005" s="153">
        <v>70.349999999999994</v>
      </c>
      <c r="M1005" s="80">
        <f t="shared" si="30"/>
        <v>70.39</v>
      </c>
      <c r="N1005" s="80">
        <f t="shared" si="31"/>
        <v>70.31</v>
      </c>
      <c r="O1005" s="153">
        <v>21.19</v>
      </c>
      <c r="P1005" s="153">
        <v>21.03</v>
      </c>
      <c r="Q1005" s="153">
        <v>21.16</v>
      </c>
      <c r="R1005" s="153">
        <v>21.11</v>
      </c>
      <c r="S1005" s="4"/>
      <c r="U1005" s="147" t="s">
        <v>1082</v>
      </c>
      <c r="V1005" s="11"/>
      <c r="W1005" s="4"/>
      <c r="X1005" s="12"/>
      <c r="Y1005" s="14"/>
      <c r="Z1005" s="4"/>
      <c r="AA1005" s="13"/>
      <c r="AB1005" s="11"/>
      <c r="AC1005" s="4"/>
      <c r="AD1005" s="12"/>
      <c r="AE1005" s="13"/>
      <c r="AF1005" s="14">
        <v>5.0084</v>
      </c>
      <c r="AG1005" s="133"/>
      <c r="AI1005" s="96"/>
      <c r="AL1005" s="64">
        <v>4.1711284666666666</v>
      </c>
      <c r="AM1005" s="56">
        <v>15.039999999999941</v>
      </c>
      <c r="AN1005" s="56">
        <v>17.01999999999995</v>
      </c>
      <c r="AO1005" s="62">
        <v>23.280000000000101</v>
      </c>
      <c r="AQ1005" s="64">
        <v>4.0819793500000001</v>
      </c>
      <c r="AR1005" s="56">
        <v>14.799999999999971</v>
      </c>
      <c r="AS1005" s="56">
        <v>16.300000000000029</v>
      </c>
      <c r="AT1005" s="62">
        <v>20.58</v>
      </c>
      <c r="AV1005" s="64">
        <v>3.7279015499999999</v>
      </c>
      <c r="AW1005" s="56">
        <v>14.30000000000007</v>
      </c>
      <c r="AX1005" s="56">
        <v>15.780000000000079</v>
      </c>
      <c r="AY1005" s="62">
        <v>20.740000000000069</v>
      </c>
      <c r="BA1005" s="64">
        <v>3.1830957500000001</v>
      </c>
      <c r="BB1005" s="56">
        <v>16.38000000000002</v>
      </c>
      <c r="BC1005" s="56">
        <v>18.86000000000001</v>
      </c>
      <c r="BD1005" s="62">
        <v>31.06</v>
      </c>
      <c r="BF1005" s="64">
        <v>2.9364779333333328</v>
      </c>
      <c r="BG1005" s="56">
        <v>19.71999999999996</v>
      </c>
      <c r="BH1005" s="56">
        <v>26.22</v>
      </c>
      <c r="BI1005" s="62">
        <v>54.239999999999966</v>
      </c>
      <c r="BJ1005" s="70"/>
      <c r="BK1005" s="51"/>
    </row>
    <row r="1006" spans="1:63" ht="17.25" customHeight="1" thickBot="1" x14ac:dyDescent="0.45">
      <c r="A1006" s="16" t="s">
        <v>1083</v>
      </c>
      <c r="B1006" s="4"/>
      <c r="C1006" s="4"/>
      <c r="D1006" s="4"/>
      <c r="E1006" s="12"/>
      <c r="G1006" s="147" t="s">
        <v>1083</v>
      </c>
      <c r="H1006" s="159">
        <v>70.113</v>
      </c>
      <c r="I1006" s="153">
        <v>70.33</v>
      </c>
      <c r="J1006" s="153">
        <v>70.349999999999994</v>
      </c>
      <c r="K1006" s="153">
        <v>70.34</v>
      </c>
      <c r="L1006" s="153">
        <v>70.37</v>
      </c>
      <c r="M1006" s="80">
        <f t="shared" si="30"/>
        <v>70.37</v>
      </c>
      <c r="N1006" s="80">
        <f t="shared" si="31"/>
        <v>70.33</v>
      </c>
      <c r="O1006" s="153">
        <v>21.1</v>
      </c>
      <c r="P1006" s="153">
        <v>21.03</v>
      </c>
      <c r="Q1006" s="153">
        <v>21.16</v>
      </c>
      <c r="R1006" s="153">
        <v>21.14</v>
      </c>
      <c r="S1006" s="4"/>
      <c r="U1006" s="147" t="s">
        <v>1083</v>
      </c>
      <c r="V1006" s="11"/>
      <c r="W1006" s="4"/>
      <c r="X1006" s="12"/>
      <c r="Y1006" s="14"/>
      <c r="Z1006" s="4"/>
      <c r="AA1006" s="13"/>
      <c r="AB1006" s="11"/>
      <c r="AC1006" s="4"/>
      <c r="AD1006" s="12"/>
      <c r="AE1006" s="13"/>
      <c r="AF1006" s="14">
        <v>5.0125999999999999</v>
      </c>
      <c r="AG1006" s="133"/>
      <c r="AI1006" s="96"/>
      <c r="AL1006" s="64">
        <v>4.1721421666666663</v>
      </c>
      <c r="AM1006" s="56">
        <v>14.00000000000006</v>
      </c>
      <c r="AN1006" s="56">
        <v>15.920000000000019</v>
      </c>
      <c r="AO1006" s="62">
        <v>22.100000000000009</v>
      </c>
      <c r="AQ1006" s="64">
        <v>4.0816816166666658</v>
      </c>
      <c r="AR1006" s="56">
        <v>13.59999999999992</v>
      </c>
      <c r="AS1006" s="56">
        <v>14.979999999999899</v>
      </c>
      <c r="AT1006" s="62">
        <v>19.079999999999941</v>
      </c>
      <c r="AV1006" s="64">
        <v>3.7284489833333319</v>
      </c>
      <c r="AW1006" s="56">
        <v>13.199999999999971</v>
      </c>
      <c r="AX1006" s="56">
        <v>14.57999999999995</v>
      </c>
      <c r="AY1006" s="62">
        <v>19.32</v>
      </c>
      <c r="BA1006" s="64">
        <v>3.1902666833333342</v>
      </c>
      <c r="BB1006" s="56">
        <v>15.45999999999994</v>
      </c>
      <c r="BC1006" s="56">
        <v>17.819999999999951</v>
      </c>
      <c r="BD1006" s="62">
        <v>29.42</v>
      </c>
      <c r="BF1006" s="64">
        <v>2.9422632666666662</v>
      </c>
      <c r="BG1006" s="56">
        <v>18.940000000000001</v>
      </c>
      <c r="BH1006" s="56">
        <v>25.539999999999981</v>
      </c>
      <c r="BI1006" s="62">
        <v>53.219999999999963</v>
      </c>
      <c r="BJ1006" s="70"/>
      <c r="BK1006" s="51"/>
    </row>
    <row r="1007" spans="1:63" ht="17.25" customHeight="1" thickBot="1" x14ac:dyDescent="0.45">
      <c r="A1007" s="16" t="s">
        <v>1084</v>
      </c>
      <c r="B1007" s="4"/>
      <c r="C1007" s="4"/>
      <c r="D1007" s="4"/>
      <c r="E1007" s="12"/>
      <c r="G1007" s="147" t="s">
        <v>1084</v>
      </c>
      <c r="H1007" s="159">
        <v>70.100999999999999</v>
      </c>
      <c r="I1007" s="153">
        <v>70.31</v>
      </c>
      <c r="J1007" s="153">
        <v>70.319999999999993</v>
      </c>
      <c r="K1007" s="153">
        <v>70.39</v>
      </c>
      <c r="L1007" s="153">
        <v>70.39</v>
      </c>
      <c r="M1007" s="80">
        <f t="shared" si="30"/>
        <v>70.39</v>
      </c>
      <c r="N1007" s="80">
        <f t="shared" si="31"/>
        <v>70.31</v>
      </c>
      <c r="O1007" s="153">
        <v>21.15</v>
      </c>
      <c r="P1007" s="153">
        <v>21.17</v>
      </c>
      <c r="Q1007" s="153">
        <v>21.16</v>
      </c>
      <c r="R1007" s="153">
        <v>21.02</v>
      </c>
      <c r="S1007" s="4"/>
      <c r="U1007" s="147" t="s">
        <v>1084</v>
      </c>
      <c r="V1007" s="11"/>
      <c r="W1007" s="4"/>
      <c r="X1007" s="12"/>
      <c r="Y1007" s="14"/>
      <c r="Z1007" s="4"/>
      <c r="AA1007" s="13"/>
      <c r="AB1007" s="11"/>
      <c r="AC1007" s="4"/>
      <c r="AD1007" s="12"/>
      <c r="AE1007" s="13"/>
      <c r="AF1007" s="14">
        <v>5.0113000000000003</v>
      </c>
      <c r="AG1007" s="133"/>
      <c r="AI1007" s="96"/>
      <c r="AL1007" s="64">
        <v>4.1713952000000001</v>
      </c>
      <c r="AM1007" s="56">
        <v>14.20000000000012</v>
      </c>
      <c r="AN1007" s="56">
        <v>16.12000000000009</v>
      </c>
      <c r="AO1007" s="62">
        <v>22.280000000000118</v>
      </c>
      <c r="AQ1007" s="64">
        <v>4.0814719666666663</v>
      </c>
      <c r="AR1007" s="56">
        <v>13.81999999999994</v>
      </c>
      <c r="AS1007" s="56">
        <v>15.240000000000011</v>
      </c>
      <c r="AT1007" s="62">
        <v>19.36</v>
      </c>
      <c r="AV1007" s="64">
        <v>3.7276124500000001</v>
      </c>
      <c r="AW1007" s="56">
        <v>13.45999999999998</v>
      </c>
      <c r="AX1007" s="56">
        <v>14.839999999999961</v>
      </c>
      <c r="AY1007" s="62">
        <v>19.599999999999969</v>
      </c>
      <c r="BA1007" s="64">
        <v>3.1866286499999998</v>
      </c>
      <c r="BB1007" s="56">
        <v>16.12</v>
      </c>
      <c r="BC1007" s="56">
        <v>18.540000000000049</v>
      </c>
      <c r="BD1007" s="62">
        <v>30.339999999999989</v>
      </c>
      <c r="BF1007" s="64">
        <v>2.93921455</v>
      </c>
      <c r="BG1007" s="56">
        <v>19.71999999999996</v>
      </c>
      <c r="BH1007" s="56">
        <v>26.29999999999999</v>
      </c>
      <c r="BI1007" s="62">
        <v>54.220000000000027</v>
      </c>
      <c r="BJ1007" s="70"/>
      <c r="BK1007" s="51"/>
    </row>
    <row r="1008" spans="1:63" ht="17.25" customHeight="1" thickBot="1" x14ac:dyDescent="0.45">
      <c r="A1008" s="16" t="s">
        <v>1085</v>
      </c>
      <c r="B1008" s="4"/>
      <c r="C1008" s="4"/>
      <c r="D1008" s="4"/>
      <c r="E1008" s="12"/>
      <c r="G1008" s="147" t="s">
        <v>1085</v>
      </c>
      <c r="H1008" s="159">
        <v>70.108000000000004</v>
      </c>
      <c r="I1008" s="153">
        <v>70.39</v>
      </c>
      <c r="J1008" s="153">
        <v>70.319999999999993</v>
      </c>
      <c r="K1008" s="153">
        <v>70.37</v>
      </c>
      <c r="L1008" s="153">
        <v>70.33</v>
      </c>
      <c r="M1008" s="80">
        <f t="shared" si="30"/>
        <v>70.39</v>
      </c>
      <c r="N1008" s="80">
        <f t="shared" si="31"/>
        <v>70.319999999999993</v>
      </c>
      <c r="O1008" s="153">
        <v>21.19</v>
      </c>
      <c r="P1008" s="153">
        <v>21.08</v>
      </c>
      <c r="Q1008" s="153">
        <v>21.15</v>
      </c>
      <c r="R1008" s="153">
        <v>21.13</v>
      </c>
      <c r="S1008" s="4"/>
      <c r="U1008" s="147" t="s">
        <v>1085</v>
      </c>
      <c r="V1008" s="11"/>
      <c r="W1008" s="4"/>
      <c r="X1008" s="12"/>
      <c r="Y1008" s="14"/>
      <c r="Z1008" s="4"/>
      <c r="AA1008" s="13"/>
      <c r="AB1008" s="11"/>
      <c r="AC1008" s="4"/>
      <c r="AD1008" s="12"/>
      <c r="AE1008" s="13"/>
      <c r="AF1008" s="14">
        <v>5.0206999999999997</v>
      </c>
      <c r="AG1008" s="133"/>
      <c r="AI1008" s="96"/>
      <c r="AL1008" s="64">
        <v>4.1717310333333337</v>
      </c>
      <c r="AM1008" s="56">
        <v>13.81999999999994</v>
      </c>
      <c r="AN1008" s="56">
        <v>15.71999999999996</v>
      </c>
      <c r="AO1008" s="62">
        <v>21.919999999999899</v>
      </c>
      <c r="AQ1008" s="64">
        <v>4.0830531499999996</v>
      </c>
      <c r="AR1008" s="56">
        <v>13.73999999999995</v>
      </c>
      <c r="AS1008" s="56">
        <v>15.16000000000002</v>
      </c>
      <c r="AT1008" s="62">
        <v>19.299999999999962</v>
      </c>
      <c r="AV1008" s="64">
        <v>3.7294988</v>
      </c>
      <c r="AW1008" s="56">
        <v>13.37999999999999</v>
      </c>
      <c r="AX1008" s="56">
        <v>14.780000000000021</v>
      </c>
      <c r="AY1008" s="62">
        <v>19.54000000000002</v>
      </c>
      <c r="BA1008" s="64">
        <v>3.190065166666666</v>
      </c>
      <c r="BB1008" s="56">
        <v>15.87999999999994</v>
      </c>
      <c r="BC1008" s="56">
        <v>18.279999999999941</v>
      </c>
      <c r="BD1008" s="62">
        <v>29.999999999999979</v>
      </c>
      <c r="BF1008" s="64">
        <v>2.9386351833333331</v>
      </c>
      <c r="BG1008" s="56">
        <v>19.559999999999981</v>
      </c>
      <c r="BH1008" s="56">
        <v>26.18</v>
      </c>
      <c r="BI1008" s="62">
        <v>54.300000000000011</v>
      </c>
      <c r="BJ1008" s="70"/>
      <c r="BK1008" s="51"/>
    </row>
    <row r="1009" spans="1:63" ht="17.25" customHeight="1" thickBot="1" x14ac:dyDescent="0.45">
      <c r="A1009" s="16" t="s">
        <v>1086</v>
      </c>
      <c r="B1009" s="4"/>
      <c r="C1009" s="4"/>
      <c r="D1009" s="4"/>
      <c r="E1009" s="12"/>
      <c r="G1009" s="147" t="s">
        <v>1086</v>
      </c>
      <c r="H1009" s="159">
        <v>70.078999999999994</v>
      </c>
      <c r="I1009" s="153">
        <v>70.33</v>
      </c>
      <c r="J1009" s="153">
        <v>70.3</v>
      </c>
      <c r="K1009" s="153">
        <v>70.349999999999994</v>
      </c>
      <c r="L1009" s="153">
        <v>70.290000000000006</v>
      </c>
      <c r="M1009" s="80">
        <f t="shared" si="30"/>
        <v>70.349999999999994</v>
      </c>
      <c r="N1009" s="80">
        <f t="shared" si="31"/>
        <v>70.290000000000006</v>
      </c>
      <c r="O1009" s="153">
        <v>21.18</v>
      </c>
      <c r="P1009" s="153">
        <v>21.09</v>
      </c>
      <c r="Q1009" s="153">
        <v>21.1</v>
      </c>
      <c r="R1009" s="153">
        <v>21.06</v>
      </c>
      <c r="S1009" s="4"/>
      <c r="U1009" s="147" t="s">
        <v>1086</v>
      </c>
      <c r="V1009" s="11"/>
      <c r="W1009" s="4"/>
      <c r="X1009" s="12"/>
      <c r="Y1009" s="14"/>
      <c r="Z1009" s="4"/>
      <c r="AA1009" s="13"/>
      <c r="AB1009" s="11"/>
      <c r="AC1009" s="4"/>
      <c r="AD1009" s="12"/>
      <c r="AE1009" s="13"/>
      <c r="AF1009" s="14">
        <v>5.0129000000000001</v>
      </c>
      <c r="AG1009" s="133"/>
      <c r="AI1009" s="96"/>
      <c r="AL1009" s="64">
        <v>4.1711437166666672</v>
      </c>
      <c r="AM1009" s="56">
        <v>14.220000000000081</v>
      </c>
      <c r="AN1009" s="56">
        <v>16.14000000000004</v>
      </c>
      <c r="AO1009" s="62">
        <v>22.339999999999979</v>
      </c>
      <c r="AQ1009" s="64">
        <v>4.0820223999999996</v>
      </c>
      <c r="AR1009" s="56">
        <v>13.959999999999971</v>
      </c>
      <c r="AS1009" s="56">
        <v>15.359999999999911</v>
      </c>
      <c r="AT1009" s="62">
        <v>19.519999999999889</v>
      </c>
      <c r="AV1009" s="64">
        <v>3.728158183333333</v>
      </c>
      <c r="AW1009" s="56">
        <v>13.640000000000009</v>
      </c>
      <c r="AX1009" s="56">
        <v>15.019999999999991</v>
      </c>
      <c r="AY1009" s="62">
        <v>19.81999999999999</v>
      </c>
      <c r="BA1009" s="64">
        <v>3.1887290166666671</v>
      </c>
      <c r="BB1009" s="56">
        <v>16.019999999999971</v>
      </c>
      <c r="BC1009" s="56">
        <v>18.40000000000002</v>
      </c>
      <c r="BD1009" s="62">
        <v>30.200000000000049</v>
      </c>
      <c r="BF1009" s="64">
        <v>2.9429420999999998</v>
      </c>
      <c r="BG1009" s="56">
        <v>19.539999999999939</v>
      </c>
      <c r="BH1009" s="56">
        <v>26.179999999999911</v>
      </c>
      <c r="BI1009" s="62">
        <v>53.959999999999923</v>
      </c>
      <c r="BJ1009" s="70"/>
      <c r="BK1009" s="51"/>
    </row>
    <row r="1010" spans="1:63" ht="17.25" customHeight="1" thickBot="1" x14ac:dyDescent="0.45">
      <c r="A1010" s="16" t="s">
        <v>1087</v>
      </c>
      <c r="B1010" s="4"/>
      <c r="C1010" s="4"/>
      <c r="D1010" s="4"/>
      <c r="E1010" s="12"/>
      <c r="G1010" s="147" t="s">
        <v>1087</v>
      </c>
      <c r="H1010" s="159">
        <v>70.019000000000005</v>
      </c>
      <c r="I1010" s="153">
        <v>70.31</v>
      </c>
      <c r="J1010" s="153">
        <v>70.38</v>
      </c>
      <c r="K1010" s="153">
        <v>70.3</v>
      </c>
      <c r="L1010" s="153">
        <v>70.28</v>
      </c>
      <c r="M1010" s="80">
        <f t="shared" si="30"/>
        <v>70.38</v>
      </c>
      <c r="N1010" s="80">
        <f t="shared" si="31"/>
        <v>70.28</v>
      </c>
      <c r="O1010" s="153">
        <v>21.15</v>
      </c>
      <c r="P1010" s="153">
        <v>21.02</v>
      </c>
      <c r="Q1010" s="153">
        <v>21.11</v>
      </c>
      <c r="R1010" s="153">
        <v>21.07</v>
      </c>
      <c r="S1010" s="4"/>
      <c r="U1010" s="147" t="s">
        <v>1087</v>
      </c>
      <c r="V1010" s="11"/>
      <c r="W1010" s="4"/>
      <c r="X1010" s="12"/>
      <c r="Y1010" s="14"/>
      <c r="Z1010" s="4"/>
      <c r="AA1010" s="13"/>
      <c r="AB1010" s="11"/>
      <c r="AC1010" s="4"/>
      <c r="AD1010" s="12"/>
      <c r="AE1010" s="13"/>
      <c r="AF1010" s="14">
        <v>5.0125999999999999</v>
      </c>
      <c r="AG1010" s="133"/>
      <c r="AI1010" s="96"/>
      <c r="AL1010" s="64">
        <v>4.1710304666666671</v>
      </c>
      <c r="AM1010" s="56">
        <v>14.54000000000004</v>
      </c>
      <c r="AN1010" s="56">
        <v>16.460000000000012</v>
      </c>
      <c r="AO1010" s="62">
        <v>22.63999999999999</v>
      </c>
      <c r="AQ1010" s="64">
        <v>4.0795138166666671</v>
      </c>
      <c r="AR1010" s="56">
        <v>13.81999999999994</v>
      </c>
      <c r="AS1010" s="56">
        <v>15.240000000000011</v>
      </c>
      <c r="AT1010" s="62">
        <v>19.399999999999999</v>
      </c>
      <c r="AV1010" s="64">
        <v>3.7263329999999999</v>
      </c>
      <c r="AW1010" s="56">
        <v>13.419999999999989</v>
      </c>
      <c r="AX1010" s="56">
        <v>14.799999999999971</v>
      </c>
      <c r="AY1010" s="62">
        <v>19.58000000000002</v>
      </c>
      <c r="BA1010" s="64">
        <v>3.185276916666667</v>
      </c>
      <c r="BB1010" s="56">
        <v>15.55999999999997</v>
      </c>
      <c r="BC1010" s="56">
        <v>17.940000000000019</v>
      </c>
      <c r="BD1010" s="62">
        <v>29.60000000000003</v>
      </c>
      <c r="BF1010" s="64">
        <v>2.935246016666667</v>
      </c>
      <c r="BG1010" s="56">
        <v>19.100000000000069</v>
      </c>
      <c r="BH1010" s="56">
        <v>25.600000000000019</v>
      </c>
      <c r="BI1010" s="62">
        <v>53.420000000000023</v>
      </c>
      <c r="BJ1010" s="70"/>
      <c r="BK1010" s="51"/>
    </row>
    <row r="1011" spans="1:63" ht="17.25" customHeight="1" thickBot="1" x14ac:dyDescent="0.45">
      <c r="A1011" s="16" t="s">
        <v>1088</v>
      </c>
      <c r="B1011" s="4"/>
      <c r="C1011" s="4"/>
      <c r="D1011" s="4"/>
      <c r="E1011" s="12"/>
      <c r="G1011" s="147" t="s">
        <v>1088</v>
      </c>
      <c r="H1011" s="159">
        <v>69.975999999999999</v>
      </c>
      <c r="I1011" s="153">
        <v>70.28</v>
      </c>
      <c r="J1011" s="153">
        <v>70.39</v>
      </c>
      <c r="K1011" s="153">
        <v>70.34</v>
      </c>
      <c r="L1011" s="153">
        <v>70.319999999999993</v>
      </c>
      <c r="M1011" s="80">
        <f t="shared" si="30"/>
        <v>70.39</v>
      </c>
      <c r="N1011" s="80">
        <f t="shared" si="31"/>
        <v>70.28</v>
      </c>
      <c r="O1011" s="153">
        <v>21.22</v>
      </c>
      <c r="P1011" s="153">
        <v>21.05</v>
      </c>
      <c r="Q1011" s="153">
        <v>21.14</v>
      </c>
      <c r="R1011" s="153">
        <v>21.03</v>
      </c>
      <c r="S1011" s="4"/>
      <c r="U1011" s="147" t="s">
        <v>1088</v>
      </c>
      <c r="V1011" s="11"/>
      <c r="W1011" s="4"/>
      <c r="X1011" s="12"/>
      <c r="Y1011" s="14"/>
      <c r="Z1011" s="4"/>
      <c r="AA1011" s="13"/>
      <c r="AB1011" s="11"/>
      <c r="AC1011" s="4"/>
      <c r="AD1011" s="12"/>
      <c r="AE1011" s="13"/>
      <c r="AF1011" s="14">
        <v>5.0347</v>
      </c>
      <c r="AG1011" s="133"/>
      <c r="AI1011" s="96"/>
      <c r="AL1011" s="64">
        <v>4.1706253999999996</v>
      </c>
      <c r="AM1011" s="56">
        <v>14.25999999999998</v>
      </c>
      <c r="AN1011" s="56">
        <v>16.180000000000131</v>
      </c>
      <c r="AO1011" s="62">
        <v>22.300000000000079</v>
      </c>
      <c r="AQ1011" s="64">
        <v>4.081453016666666</v>
      </c>
      <c r="AR1011" s="56">
        <v>13.79999999999999</v>
      </c>
      <c r="AS1011" s="56">
        <v>15.200000000000101</v>
      </c>
      <c r="AT1011" s="62">
        <v>19.36</v>
      </c>
      <c r="AV1011" s="64">
        <v>3.7276144499999999</v>
      </c>
      <c r="AW1011" s="56">
        <v>13.400000000000031</v>
      </c>
      <c r="AX1011" s="56">
        <v>14.799999999999971</v>
      </c>
      <c r="AY1011" s="62">
        <v>19.58000000000002</v>
      </c>
      <c r="BA1011" s="64">
        <v>3.1809786166666671</v>
      </c>
      <c r="BB1011" s="56">
        <v>15.84000000000003</v>
      </c>
      <c r="BC1011" s="56">
        <v>18.300000000000072</v>
      </c>
      <c r="BD1011" s="62">
        <v>30.38000000000007</v>
      </c>
      <c r="BF1011" s="64">
        <v>2.938785166666666</v>
      </c>
      <c r="BG1011" s="56">
        <v>19.299999999999962</v>
      </c>
      <c r="BH1011" s="56">
        <v>26.140000000000011</v>
      </c>
      <c r="BI1011" s="62">
        <v>54.520000000000032</v>
      </c>
      <c r="BJ1011" s="70"/>
      <c r="BK1011" s="51"/>
    </row>
    <row r="1012" spans="1:63" ht="17.25" customHeight="1" thickBot="1" x14ac:dyDescent="0.45">
      <c r="A1012" s="16" t="s">
        <v>1089</v>
      </c>
      <c r="B1012" s="4"/>
      <c r="C1012" s="4"/>
      <c r="D1012" s="4"/>
      <c r="E1012" s="12"/>
      <c r="G1012" s="147" t="s">
        <v>1089</v>
      </c>
      <c r="H1012" s="159">
        <v>70.004000000000005</v>
      </c>
      <c r="I1012" s="153">
        <v>70.38</v>
      </c>
      <c r="J1012" s="153">
        <v>70.38</v>
      </c>
      <c r="K1012" s="153">
        <v>70.31</v>
      </c>
      <c r="L1012" s="153">
        <v>70.36</v>
      </c>
      <c r="M1012" s="80">
        <f t="shared" si="30"/>
        <v>70.38</v>
      </c>
      <c r="N1012" s="80">
        <f t="shared" si="31"/>
        <v>70.31</v>
      </c>
      <c r="O1012" s="153">
        <v>21.15</v>
      </c>
      <c r="P1012" s="153">
        <v>21.1</v>
      </c>
      <c r="Q1012" s="153">
        <v>21.14</v>
      </c>
      <c r="R1012" s="153">
        <v>21.08</v>
      </c>
      <c r="S1012" s="4"/>
      <c r="U1012" s="147" t="s">
        <v>1089</v>
      </c>
      <c r="V1012" s="11"/>
      <c r="W1012" s="4"/>
      <c r="X1012" s="12"/>
      <c r="Y1012" s="14"/>
      <c r="Z1012" s="4"/>
      <c r="AA1012" s="13"/>
      <c r="AB1012" s="11"/>
      <c r="AC1012" s="4"/>
      <c r="AD1012" s="12"/>
      <c r="AE1012" s="13"/>
      <c r="AF1012" s="14">
        <v>5.0335999999999999</v>
      </c>
      <c r="AG1012" s="133"/>
      <c r="AI1012" s="96"/>
      <c r="AL1012" s="64">
        <v>4.1708360000000004</v>
      </c>
      <c r="AM1012" s="56">
        <v>14.86000000000001</v>
      </c>
      <c r="AN1012" s="56">
        <v>16.779999999999969</v>
      </c>
      <c r="AO1012" s="62">
        <v>22.979999999999912</v>
      </c>
      <c r="AQ1012" s="64">
        <v>4.078921516666667</v>
      </c>
      <c r="AR1012" s="56">
        <v>13.979999999999929</v>
      </c>
      <c r="AS1012" s="56">
        <v>15.359999999999911</v>
      </c>
      <c r="AT1012" s="62">
        <v>19.519999999999978</v>
      </c>
      <c r="AV1012" s="64">
        <v>3.7246902500000001</v>
      </c>
      <c r="AW1012" s="56">
        <v>13.60000000000001</v>
      </c>
      <c r="AX1012" s="56">
        <v>14.97999999999999</v>
      </c>
      <c r="AY1012" s="62">
        <v>19.760000000000041</v>
      </c>
      <c r="BA1012" s="64">
        <v>3.179643183333333</v>
      </c>
      <c r="BB1012" s="56">
        <v>15.81999999999999</v>
      </c>
      <c r="BC1012" s="56">
        <v>18.259999999999991</v>
      </c>
      <c r="BD1012" s="62">
        <v>30.18000000000001</v>
      </c>
      <c r="BF1012" s="64">
        <v>2.937850483333333</v>
      </c>
      <c r="BG1012" s="56">
        <v>19.380000000000042</v>
      </c>
      <c r="BH1012" s="56">
        <v>25.879999999999988</v>
      </c>
      <c r="BI1012" s="62">
        <v>53.840000000000018</v>
      </c>
      <c r="BJ1012" s="70"/>
      <c r="BK1012" s="51"/>
    </row>
    <row r="1013" spans="1:63" ht="17.25" customHeight="1" thickBot="1" x14ac:dyDescent="0.45">
      <c r="A1013" s="16" t="s">
        <v>1090</v>
      </c>
      <c r="B1013" s="17"/>
      <c r="C1013" s="17"/>
      <c r="D1013" s="17"/>
      <c r="E1013" s="18"/>
      <c r="G1013" s="147" t="s">
        <v>1090</v>
      </c>
      <c r="H1013" s="159">
        <v>70.057000000000002</v>
      </c>
      <c r="I1013" s="153">
        <v>70.37</v>
      </c>
      <c r="J1013" s="153">
        <v>70.36</v>
      </c>
      <c r="K1013" s="153">
        <v>70.290000000000006</v>
      </c>
      <c r="L1013" s="153">
        <v>70.38</v>
      </c>
      <c r="M1013" s="80">
        <f t="shared" si="30"/>
        <v>70.38</v>
      </c>
      <c r="N1013" s="80">
        <f t="shared" si="31"/>
        <v>70.290000000000006</v>
      </c>
      <c r="O1013" s="153">
        <v>21.11</v>
      </c>
      <c r="P1013" s="153">
        <v>21.15</v>
      </c>
      <c r="Q1013" s="153">
        <v>21.15</v>
      </c>
      <c r="R1013" s="153">
        <v>21.06</v>
      </c>
      <c r="S1013" s="4"/>
      <c r="U1013" s="147" t="s">
        <v>1090</v>
      </c>
      <c r="V1013" s="16"/>
      <c r="W1013" s="17"/>
      <c r="X1013" s="18"/>
      <c r="Y1013" s="29"/>
      <c r="Z1013" s="17"/>
      <c r="AA1013" s="30"/>
      <c r="AB1013" s="16"/>
      <c r="AC1013" s="17"/>
      <c r="AD1013" s="18"/>
      <c r="AE1013" s="30"/>
      <c r="AF1013" s="14">
        <v>5.0296000000000003</v>
      </c>
      <c r="AG1013" s="133"/>
      <c r="AI1013" s="96"/>
      <c r="AL1013" s="64">
        <v>4.1706605999999997</v>
      </c>
      <c r="AM1013" s="56">
        <v>14.60000000000008</v>
      </c>
      <c r="AN1013" s="56">
        <v>16.520000000000049</v>
      </c>
      <c r="AO1013" s="62">
        <v>22.680000000000081</v>
      </c>
      <c r="AQ1013" s="64">
        <v>4.0806908999999996</v>
      </c>
      <c r="AR1013" s="56">
        <v>14.13999999999991</v>
      </c>
      <c r="AS1013" s="56">
        <v>15.55999999999997</v>
      </c>
      <c r="AT1013" s="62">
        <v>19.759999999999959</v>
      </c>
      <c r="AV1013" s="64">
        <v>3.7263382833333329</v>
      </c>
      <c r="AW1013" s="56">
        <v>13.640000000000009</v>
      </c>
      <c r="AX1013" s="56">
        <v>15.040000000000029</v>
      </c>
      <c r="AY1013" s="62">
        <v>19.83999999999995</v>
      </c>
      <c r="BA1013" s="64">
        <v>3.1779736666666669</v>
      </c>
      <c r="BB1013" s="56">
        <v>15.78</v>
      </c>
      <c r="BC1013" s="56">
        <v>18.24000000000003</v>
      </c>
      <c r="BD1013" s="62">
        <v>30.29999999999999</v>
      </c>
      <c r="BF1013" s="64">
        <v>2.9344238833333329</v>
      </c>
      <c r="BG1013" s="56">
        <v>19.260000000000051</v>
      </c>
      <c r="BH1013" s="56">
        <v>26.16000000000005</v>
      </c>
      <c r="BI1013" s="62">
        <v>54.900000000000041</v>
      </c>
      <c r="BJ1013" s="70"/>
      <c r="BK1013" s="51"/>
    </row>
    <row r="1014" spans="1:63" ht="17.25" customHeight="1" thickBot="1" x14ac:dyDescent="0.45">
      <c r="A1014" s="16" t="s">
        <v>1091</v>
      </c>
      <c r="B1014" s="4"/>
      <c r="C1014" s="4"/>
      <c r="D1014" s="4"/>
      <c r="E1014" s="12"/>
      <c r="G1014" s="147" t="s">
        <v>1091</v>
      </c>
      <c r="H1014" s="159">
        <v>69.998000000000005</v>
      </c>
      <c r="I1014" s="153">
        <v>70.34</v>
      </c>
      <c r="J1014" s="153">
        <v>70.31</v>
      </c>
      <c r="K1014" s="153">
        <v>70.33</v>
      </c>
      <c r="L1014" s="153">
        <v>70.27</v>
      </c>
      <c r="M1014" s="80">
        <f t="shared" si="30"/>
        <v>70.34</v>
      </c>
      <c r="N1014" s="80">
        <f t="shared" si="31"/>
        <v>70.27</v>
      </c>
      <c r="O1014" s="153">
        <v>21.18</v>
      </c>
      <c r="P1014" s="153">
        <v>21.05</v>
      </c>
      <c r="Q1014" s="153">
        <v>21.12</v>
      </c>
      <c r="R1014" s="153">
        <v>21.04</v>
      </c>
      <c r="S1014" s="4"/>
      <c r="U1014" s="147" t="s">
        <v>1091</v>
      </c>
      <c r="V1014" s="11"/>
      <c r="W1014" s="4"/>
      <c r="X1014" s="12"/>
      <c r="Y1014" s="14"/>
      <c r="Z1014" s="4"/>
      <c r="AA1014" s="13"/>
      <c r="AB1014" s="11"/>
      <c r="AC1014" s="4"/>
      <c r="AD1014" s="12"/>
      <c r="AE1014" s="13"/>
      <c r="AF1014" s="14">
        <v>5.0285000000000002</v>
      </c>
      <c r="AG1014" s="133"/>
      <c r="AI1014" s="96"/>
      <c r="AL1014" s="64">
        <v>4.1709065666666669</v>
      </c>
      <c r="AM1014" s="56">
        <v>14.35999999999993</v>
      </c>
      <c r="AN1014" s="56">
        <v>16.279999999999891</v>
      </c>
      <c r="AO1014" s="62">
        <v>22.499999999999961</v>
      </c>
      <c r="AQ1014" s="64">
        <v>4.0816093833333342</v>
      </c>
      <c r="AR1014" s="56">
        <v>14.03999999999996</v>
      </c>
      <c r="AS1014" s="56">
        <v>15.45999999999985</v>
      </c>
      <c r="AT1014" s="62">
        <v>19.61999999999993</v>
      </c>
      <c r="AV1014" s="64">
        <v>3.7282031333333339</v>
      </c>
      <c r="AW1014" s="56">
        <v>13.68</v>
      </c>
      <c r="AX1014" s="56">
        <v>15.08000000000003</v>
      </c>
      <c r="AY1014" s="62">
        <v>19.899999999999981</v>
      </c>
      <c r="BA1014" s="64">
        <v>3.1858025666666672</v>
      </c>
      <c r="BB1014" s="56">
        <v>16.12</v>
      </c>
      <c r="BC1014" s="56">
        <v>18.540000000000049</v>
      </c>
      <c r="BD1014" s="62">
        <v>30.440000000000019</v>
      </c>
      <c r="BF1014" s="64">
        <v>2.935805133333333</v>
      </c>
      <c r="BG1014" s="56">
        <v>19.799999999999951</v>
      </c>
      <c r="BH1014" s="56">
        <v>26.65999999999995</v>
      </c>
      <c r="BI1014" s="62">
        <v>55.359999999999943</v>
      </c>
      <c r="BJ1014" s="70"/>
      <c r="BK1014" s="51"/>
    </row>
    <row r="1015" spans="1:63" ht="17.25" customHeight="1" thickBot="1" x14ac:dyDescent="0.45">
      <c r="A1015" s="16" t="s">
        <v>1092</v>
      </c>
      <c r="B1015" s="4"/>
      <c r="C1015" s="4"/>
      <c r="D1015" s="4"/>
      <c r="E1015" s="12"/>
      <c r="G1015" s="147" t="s">
        <v>1092</v>
      </c>
      <c r="H1015" s="159">
        <v>70.073999999999998</v>
      </c>
      <c r="I1015" s="153">
        <v>70.290000000000006</v>
      </c>
      <c r="J1015" s="153">
        <v>70.37</v>
      </c>
      <c r="K1015" s="153">
        <v>70.27</v>
      </c>
      <c r="L1015" s="153">
        <v>70.319999999999993</v>
      </c>
      <c r="M1015" s="80">
        <f t="shared" si="30"/>
        <v>70.37</v>
      </c>
      <c r="N1015" s="80">
        <f t="shared" si="31"/>
        <v>70.27</v>
      </c>
      <c r="O1015" s="153">
        <v>21.08</v>
      </c>
      <c r="P1015" s="153">
        <v>21.09</v>
      </c>
      <c r="Q1015" s="153">
        <v>21.14</v>
      </c>
      <c r="R1015" s="153">
        <v>21.1</v>
      </c>
      <c r="S1015" s="4"/>
      <c r="U1015" s="147" t="s">
        <v>1092</v>
      </c>
      <c r="V1015" s="11"/>
      <c r="W1015" s="4"/>
      <c r="X1015" s="18"/>
      <c r="Y1015" s="14"/>
      <c r="Z1015" s="4"/>
      <c r="AA1015" s="13"/>
      <c r="AB1015" s="11"/>
      <c r="AC1015" s="4"/>
      <c r="AD1015" s="12"/>
      <c r="AE1015" s="13"/>
      <c r="AF1015" s="14">
        <v>5.0114000000000001</v>
      </c>
      <c r="AG1015" s="133"/>
      <c r="AI1015" s="96"/>
      <c r="AL1015" s="64">
        <v>4.1707104333333334</v>
      </c>
      <c r="AM1015" s="56">
        <v>14.60000000000008</v>
      </c>
      <c r="AN1015" s="56">
        <v>16.520000000000049</v>
      </c>
      <c r="AO1015" s="62">
        <v>22.719999999999981</v>
      </c>
      <c r="AQ1015" s="64">
        <v>4.0797593333333326</v>
      </c>
      <c r="AR1015" s="56">
        <v>13.85999999999985</v>
      </c>
      <c r="AS1015" s="56">
        <v>15.259999999999961</v>
      </c>
      <c r="AT1015" s="62">
        <v>19.39999999999991</v>
      </c>
      <c r="AV1015" s="64">
        <v>3.7258372833333331</v>
      </c>
      <c r="AW1015" s="56">
        <v>13.42000000000008</v>
      </c>
      <c r="AX1015" s="56">
        <v>14.84000000000005</v>
      </c>
      <c r="AY1015" s="62">
        <v>19.640000000000061</v>
      </c>
      <c r="BA1015" s="64">
        <v>3.1832332833333341</v>
      </c>
      <c r="BB1015" s="56">
        <v>15.920000000000019</v>
      </c>
      <c r="BC1015" s="56">
        <v>18.360000000000021</v>
      </c>
      <c r="BD1015" s="62">
        <v>30.19999999999996</v>
      </c>
      <c r="BF1015" s="64">
        <v>2.9305402666666671</v>
      </c>
      <c r="BG1015" s="56">
        <v>19.61999999999993</v>
      </c>
      <c r="BH1015" s="56">
        <v>26.499999999999972</v>
      </c>
      <c r="BI1015" s="62">
        <v>55.379999999999981</v>
      </c>
      <c r="BJ1015" s="70"/>
      <c r="BK1015" s="51"/>
    </row>
    <row r="1016" spans="1:63" ht="17.25" customHeight="1" thickBot="1" x14ac:dyDescent="0.45">
      <c r="A1016" s="16" t="s">
        <v>1093</v>
      </c>
      <c r="B1016" s="4"/>
      <c r="C1016" s="4"/>
      <c r="D1016" s="4"/>
      <c r="E1016" s="12"/>
      <c r="G1016" s="147" t="s">
        <v>1093</v>
      </c>
      <c r="H1016" s="159">
        <v>70.013000000000005</v>
      </c>
      <c r="I1016" s="153">
        <v>70.34</v>
      </c>
      <c r="J1016" s="153">
        <v>70.28</v>
      </c>
      <c r="K1016" s="153">
        <v>70.400000000000006</v>
      </c>
      <c r="L1016" s="153">
        <v>70.3</v>
      </c>
      <c r="M1016" s="80">
        <f t="shared" si="30"/>
        <v>70.400000000000006</v>
      </c>
      <c r="N1016" s="80">
        <f t="shared" si="31"/>
        <v>70.28</v>
      </c>
      <c r="O1016" s="153">
        <v>21.18</v>
      </c>
      <c r="P1016" s="153">
        <v>21.05</v>
      </c>
      <c r="Q1016" s="153">
        <v>21.12</v>
      </c>
      <c r="R1016" s="153">
        <v>21.11</v>
      </c>
      <c r="S1016" s="4"/>
      <c r="U1016" s="147" t="s">
        <v>1093</v>
      </c>
      <c r="V1016" s="11"/>
      <c r="W1016" s="4"/>
      <c r="X1016" s="18"/>
      <c r="Y1016" s="14"/>
      <c r="Z1016" s="4"/>
      <c r="AA1016" s="13"/>
      <c r="AB1016" s="11"/>
      <c r="AC1016" s="4"/>
      <c r="AD1016" s="12"/>
      <c r="AE1016" s="13"/>
      <c r="AF1016" s="14">
        <v>5.0101000000000004</v>
      </c>
      <c r="AG1016" s="133"/>
      <c r="AI1016" s="96"/>
      <c r="AL1016" s="64">
        <v>4.1709189166666656</v>
      </c>
      <c r="AM1016" s="56">
        <v>14.239999999999849</v>
      </c>
      <c r="AN1016" s="56">
        <v>16.16</v>
      </c>
      <c r="AO1016" s="62">
        <v>22.359999999999939</v>
      </c>
      <c r="AQ1016" s="64">
        <v>4.0824444999999994</v>
      </c>
      <c r="AR1016" s="56">
        <v>13.85999999999985</v>
      </c>
      <c r="AS1016" s="56">
        <v>15.279999999999919</v>
      </c>
      <c r="AT1016" s="62">
        <v>19.439999999999898</v>
      </c>
      <c r="AV1016" s="64">
        <v>3.7281165000000001</v>
      </c>
      <c r="AW1016" s="56">
        <v>13.46000000000007</v>
      </c>
      <c r="AX1016" s="56">
        <v>14.84000000000005</v>
      </c>
      <c r="AY1016" s="62">
        <v>19.620000000000019</v>
      </c>
      <c r="BA1016" s="64">
        <v>3.1847914500000001</v>
      </c>
      <c r="BB1016" s="56">
        <v>15.71999999999996</v>
      </c>
      <c r="BC1016" s="56">
        <v>18.14</v>
      </c>
      <c r="BD1016" s="62">
        <v>30.09999999999993</v>
      </c>
      <c r="BF1016" s="64">
        <v>2.9477077</v>
      </c>
      <c r="BG1016" s="56">
        <v>19.200000000000021</v>
      </c>
      <c r="BH1016" s="56">
        <v>25.739999999999959</v>
      </c>
      <c r="BI1016" s="62">
        <v>53.299999999999947</v>
      </c>
      <c r="BJ1016" s="70"/>
      <c r="BK1016" s="51"/>
    </row>
    <row r="1017" spans="1:63" ht="17.25" customHeight="1" thickBot="1" x14ac:dyDescent="0.45">
      <c r="A1017" s="16" t="s">
        <v>1094</v>
      </c>
      <c r="B1017" s="4"/>
      <c r="C1017" s="4"/>
      <c r="D1017" s="4"/>
      <c r="E1017" s="12"/>
      <c r="G1017" s="147" t="s">
        <v>1094</v>
      </c>
      <c r="H1017" s="159">
        <v>70.135999999999996</v>
      </c>
      <c r="I1017" s="153">
        <v>70.31</v>
      </c>
      <c r="J1017" s="153">
        <v>70.31</v>
      </c>
      <c r="K1017" s="153">
        <v>70.3</v>
      </c>
      <c r="L1017" s="153">
        <v>70.27</v>
      </c>
      <c r="M1017" s="80">
        <f t="shared" si="30"/>
        <v>70.31</v>
      </c>
      <c r="N1017" s="80">
        <f t="shared" si="31"/>
        <v>70.27</v>
      </c>
      <c r="O1017" s="153">
        <v>21.13</v>
      </c>
      <c r="P1017" s="153">
        <v>21.06</v>
      </c>
      <c r="Q1017" s="153">
        <v>21.14</v>
      </c>
      <c r="R1017" s="153">
        <v>21.06</v>
      </c>
      <c r="S1017" s="4"/>
      <c r="U1017" s="147" t="s">
        <v>1094</v>
      </c>
      <c r="V1017" s="11"/>
      <c r="W1017" s="4"/>
      <c r="X1017" s="12"/>
      <c r="Y1017" s="14"/>
      <c r="Z1017" s="4"/>
      <c r="AA1017" s="13"/>
      <c r="AB1017" s="11"/>
      <c r="AC1017" s="4"/>
      <c r="AD1017" s="12"/>
      <c r="AE1017" s="13"/>
      <c r="AF1017" s="14">
        <v>5.0121000000000002</v>
      </c>
      <c r="AG1017" s="133"/>
      <c r="AI1017" s="96"/>
      <c r="AL1017" s="64">
        <v>4.1707990333333331</v>
      </c>
      <c r="AM1017" s="56">
        <v>13.920000000000069</v>
      </c>
      <c r="AN1017" s="56">
        <v>15.859999999999991</v>
      </c>
      <c r="AO1017" s="62">
        <v>22.080000000000059</v>
      </c>
      <c r="AQ1017" s="64">
        <v>4.0826906833333343</v>
      </c>
      <c r="AR1017" s="56">
        <v>13.78000000000004</v>
      </c>
      <c r="AS1017" s="56">
        <v>15.199999999999919</v>
      </c>
      <c r="AT1017" s="62">
        <v>19.36</v>
      </c>
      <c r="AV1017" s="64">
        <v>3.728959716666667</v>
      </c>
      <c r="AW1017" s="56">
        <v>13.400000000000031</v>
      </c>
      <c r="AX1017" s="56">
        <v>14.780000000000021</v>
      </c>
      <c r="AY1017" s="62">
        <v>19.559999999999981</v>
      </c>
      <c r="BA1017" s="64">
        <v>3.1885287</v>
      </c>
      <c r="BB1017" s="56">
        <v>15.839999999999939</v>
      </c>
      <c r="BC1017" s="56">
        <v>18.259999999999991</v>
      </c>
      <c r="BD1017" s="62">
        <v>30.059999999999931</v>
      </c>
      <c r="BF1017" s="64">
        <v>2.9433991166666669</v>
      </c>
      <c r="BG1017" s="56">
        <v>19.399999999999999</v>
      </c>
      <c r="BH1017" s="56">
        <v>26.020000000000021</v>
      </c>
      <c r="BI1017" s="62">
        <v>53.800000000000033</v>
      </c>
      <c r="BJ1017" s="70"/>
      <c r="BK1017" s="51"/>
    </row>
    <row r="1018" spans="1:63" ht="17.25" customHeight="1" thickBot="1" x14ac:dyDescent="0.45">
      <c r="A1018" s="16" t="s">
        <v>1095</v>
      </c>
      <c r="B1018" s="4"/>
      <c r="C1018" s="4"/>
      <c r="D1018" s="4"/>
      <c r="E1018" s="12"/>
      <c r="G1018" s="147" t="s">
        <v>1095</v>
      </c>
      <c r="H1018" s="159">
        <v>70.097999999999999</v>
      </c>
      <c r="I1018" s="153">
        <v>70.36</v>
      </c>
      <c r="J1018" s="153">
        <v>70.400000000000006</v>
      </c>
      <c r="K1018" s="153">
        <v>70.3</v>
      </c>
      <c r="L1018" s="153">
        <v>70.36</v>
      </c>
      <c r="M1018" s="80">
        <f t="shared" si="30"/>
        <v>70.400000000000006</v>
      </c>
      <c r="N1018" s="80">
        <f t="shared" si="31"/>
        <v>70.3</v>
      </c>
      <c r="O1018" s="153">
        <v>21.15</v>
      </c>
      <c r="P1018" s="153">
        <v>21.09</v>
      </c>
      <c r="Q1018" s="153">
        <v>21.16</v>
      </c>
      <c r="R1018" s="153">
        <v>21.08</v>
      </c>
      <c r="S1018" s="4"/>
      <c r="U1018" s="147" t="s">
        <v>1095</v>
      </c>
      <c r="V1018" s="11"/>
      <c r="W1018" s="4"/>
      <c r="X1018" s="12"/>
      <c r="Y1018" s="14"/>
      <c r="Z1018" s="4"/>
      <c r="AA1018" s="13"/>
      <c r="AB1018" s="11"/>
      <c r="AC1018" s="4"/>
      <c r="AD1018" s="12"/>
      <c r="AE1018" s="13"/>
      <c r="AF1018" s="14">
        <v>5.0060000000000002</v>
      </c>
      <c r="AG1018" s="133"/>
      <c r="AI1018" s="96"/>
      <c r="AL1018" s="64">
        <v>4.1706535166666674</v>
      </c>
      <c r="AM1018" s="56">
        <v>14.340000000000151</v>
      </c>
      <c r="AN1018" s="56">
        <v>16.260000000000119</v>
      </c>
      <c r="AO1018" s="62">
        <v>22.480000000000011</v>
      </c>
      <c r="AQ1018" s="64">
        <v>4.0816698166666656</v>
      </c>
      <c r="AR1018" s="56">
        <v>13.959999999999971</v>
      </c>
      <c r="AS1018" s="56">
        <v>15.37999999999986</v>
      </c>
      <c r="AT1018" s="62">
        <v>19.559999999999889</v>
      </c>
      <c r="AV1018" s="64">
        <v>3.7272788833333328</v>
      </c>
      <c r="AW1018" s="56">
        <v>13.59999999999992</v>
      </c>
      <c r="AX1018" s="56">
        <v>14.99999999999995</v>
      </c>
      <c r="AY1018" s="62">
        <v>19.799999999999951</v>
      </c>
      <c r="BA1018" s="64">
        <v>3.1847847666666662</v>
      </c>
      <c r="BB1018" s="56">
        <v>16.139999999999951</v>
      </c>
      <c r="BC1018" s="56">
        <v>18.599999999999991</v>
      </c>
      <c r="BD1018" s="62">
        <v>30.579999999999959</v>
      </c>
      <c r="BF1018" s="64">
        <v>2.942901116666667</v>
      </c>
      <c r="BG1018" s="56">
        <v>19.71999999999996</v>
      </c>
      <c r="BH1018" s="56">
        <v>26.379999999999981</v>
      </c>
      <c r="BI1018" s="62">
        <v>54.139999999999937</v>
      </c>
      <c r="BJ1018" s="70"/>
      <c r="BK1018" s="51"/>
    </row>
    <row r="1019" spans="1:63" ht="17.25" customHeight="1" thickBot="1" x14ac:dyDescent="0.45">
      <c r="A1019" s="16" t="s">
        <v>1096</v>
      </c>
      <c r="B1019" s="4"/>
      <c r="C1019" s="4"/>
      <c r="D1019" s="4"/>
      <c r="E1019" s="12"/>
      <c r="G1019" s="147" t="s">
        <v>1096</v>
      </c>
      <c r="H1019" s="159">
        <v>70.049000000000007</v>
      </c>
      <c r="I1019" s="153">
        <v>70.37</v>
      </c>
      <c r="J1019" s="153">
        <v>70.38</v>
      </c>
      <c r="K1019" s="153">
        <v>70.319999999999993</v>
      </c>
      <c r="L1019" s="153">
        <v>70.31</v>
      </c>
      <c r="M1019" s="80">
        <f t="shared" si="30"/>
        <v>70.38</v>
      </c>
      <c r="N1019" s="80">
        <f t="shared" si="31"/>
        <v>70.31</v>
      </c>
      <c r="O1019" s="153">
        <v>21.21</v>
      </c>
      <c r="P1019" s="153">
        <v>21.04</v>
      </c>
      <c r="Q1019" s="153">
        <v>21.11</v>
      </c>
      <c r="R1019" s="153">
        <v>21.01</v>
      </c>
      <c r="S1019" s="4"/>
      <c r="U1019" s="147" t="s">
        <v>1096</v>
      </c>
      <c r="V1019" s="11"/>
      <c r="W1019" s="4"/>
      <c r="X1019" s="18"/>
      <c r="Y1019" s="14"/>
      <c r="Z1019" s="4"/>
      <c r="AA1019" s="13"/>
      <c r="AB1019" s="11"/>
      <c r="AC1019" s="4"/>
      <c r="AD1019" s="12"/>
      <c r="AE1019" s="13"/>
      <c r="AF1019" s="14">
        <v>5.0141</v>
      </c>
      <c r="AG1019" s="133"/>
      <c r="AI1019" s="96"/>
      <c r="AL1019" s="64">
        <v>4.1708395500000002</v>
      </c>
      <c r="AM1019" s="56">
        <v>14.219999999999899</v>
      </c>
      <c r="AN1019" s="56">
        <v>16.119999999999909</v>
      </c>
      <c r="AO1019" s="62">
        <v>22.299999999999901</v>
      </c>
      <c r="AQ1019" s="64">
        <v>4.0814342500000009</v>
      </c>
      <c r="AR1019" s="56">
        <v>13.76000000000008</v>
      </c>
      <c r="AS1019" s="56">
        <v>15.16000000000002</v>
      </c>
      <c r="AT1019" s="62">
        <v>19.32</v>
      </c>
      <c r="AV1019" s="64">
        <v>3.727476816666667</v>
      </c>
      <c r="AW1019" s="56">
        <v>13.319999999999951</v>
      </c>
      <c r="AX1019" s="56">
        <v>14.699999999999941</v>
      </c>
      <c r="AY1019" s="62">
        <v>19.47999999999999</v>
      </c>
      <c r="BA1019" s="64">
        <v>3.187640266666667</v>
      </c>
      <c r="BB1019" s="56">
        <v>15.460000000000029</v>
      </c>
      <c r="BC1019" s="56">
        <v>17.819999999999951</v>
      </c>
      <c r="BD1019" s="62">
        <v>29.499999999999989</v>
      </c>
      <c r="BF1019" s="64">
        <v>2.9429143666666659</v>
      </c>
      <c r="BG1019" s="56">
        <v>18.87999999999996</v>
      </c>
      <c r="BH1019" s="56">
        <v>25.499999999999989</v>
      </c>
      <c r="BI1019" s="62">
        <v>53.099999999999973</v>
      </c>
      <c r="BJ1019" s="70"/>
      <c r="BK1019" s="51"/>
    </row>
    <row r="1020" spans="1:63" ht="17.25" customHeight="1" thickBot="1" x14ac:dyDescent="0.45">
      <c r="A1020" s="16" t="s">
        <v>1097</v>
      </c>
      <c r="B1020" s="4"/>
      <c r="C1020" s="4"/>
      <c r="D1020" s="4"/>
      <c r="E1020" s="12"/>
      <c r="G1020" s="147" t="s">
        <v>1097</v>
      </c>
      <c r="H1020" s="159">
        <v>69.974000000000004</v>
      </c>
      <c r="I1020" s="153">
        <v>70.31</v>
      </c>
      <c r="J1020" s="153">
        <v>70.36</v>
      </c>
      <c r="K1020" s="153">
        <v>70.38</v>
      </c>
      <c r="L1020" s="153">
        <v>70.290000000000006</v>
      </c>
      <c r="M1020" s="80">
        <f t="shared" si="30"/>
        <v>70.38</v>
      </c>
      <c r="N1020" s="80">
        <f t="shared" si="31"/>
        <v>70.290000000000006</v>
      </c>
      <c r="O1020" s="153">
        <v>21.15</v>
      </c>
      <c r="P1020" s="153">
        <v>21.04</v>
      </c>
      <c r="Q1020" s="153">
        <v>21.14</v>
      </c>
      <c r="R1020" s="153">
        <v>21.04</v>
      </c>
      <c r="S1020" s="4"/>
      <c r="U1020" s="147" t="s">
        <v>1097</v>
      </c>
      <c r="V1020" s="11"/>
      <c r="W1020" s="4"/>
      <c r="X1020" s="12"/>
      <c r="Y1020" s="14"/>
      <c r="Z1020" s="4"/>
      <c r="AA1020" s="13"/>
      <c r="AB1020" s="11"/>
      <c r="AC1020" s="4"/>
      <c r="AD1020" s="12"/>
      <c r="AE1020" s="13"/>
      <c r="AF1020" s="14">
        <v>5.0319000000000003</v>
      </c>
      <c r="AG1020" s="133"/>
      <c r="AI1020" s="96"/>
      <c r="AL1020" s="64">
        <v>4.1705061666666658</v>
      </c>
      <c r="AM1020" s="56">
        <v>14.43999999999992</v>
      </c>
      <c r="AN1020" s="56">
        <v>16.41999999999992</v>
      </c>
      <c r="AO1020" s="62">
        <v>22.65999999999995</v>
      </c>
      <c r="AQ1020" s="64">
        <v>4.0826726833333344</v>
      </c>
      <c r="AR1020" s="56">
        <v>14.220000000000081</v>
      </c>
      <c r="AS1020" s="56">
        <v>15.62000000000001</v>
      </c>
      <c r="AT1020" s="62">
        <v>19.859999999999989</v>
      </c>
      <c r="AV1020" s="64">
        <v>3.72920965</v>
      </c>
      <c r="AW1020" s="56">
        <v>13.77999999999995</v>
      </c>
      <c r="AX1020" s="56">
        <v>15.199999999999919</v>
      </c>
      <c r="AY1020" s="62">
        <v>20.039999999999921</v>
      </c>
      <c r="BA1020" s="64">
        <v>3.186071716666667</v>
      </c>
      <c r="BB1020" s="56">
        <v>16.080000000000009</v>
      </c>
      <c r="BC1020" s="56">
        <v>18.52</v>
      </c>
      <c r="BD1020" s="62">
        <v>30.43999999999993</v>
      </c>
      <c r="BF1020" s="64">
        <v>2.9391541499999998</v>
      </c>
      <c r="BG1020" s="56">
        <v>19.54000000000002</v>
      </c>
      <c r="BH1020" s="56">
        <v>26.18</v>
      </c>
      <c r="BI1020" s="62">
        <v>54.260000000000019</v>
      </c>
      <c r="BJ1020" s="70"/>
      <c r="BK1020" s="51"/>
    </row>
    <row r="1021" spans="1:63" ht="17.25" customHeight="1" thickBot="1" x14ac:dyDescent="0.45">
      <c r="A1021" s="16" t="s">
        <v>1098</v>
      </c>
      <c r="B1021" s="4"/>
      <c r="C1021" s="4"/>
      <c r="D1021" s="4"/>
      <c r="E1021" s="12"/>
      <c r="G1021" s="147" t="s">
        <v>1098</v>
      </c>
      <c r="H1021" s="159">
        <v>69.991</v>
      </c>
      <c r="I1021" s="153">
        <v>70.319999999999993</v>
      </c>
      <c r="J1021" s="153">
        <v>70.39</v>
      </c>
      <c r="K1021" s="153">
        <v>70.37</v>
      </c>
      <c r="L1021" s="153">
        <v>70.400000000000006</v>
      </c>
      <c r="M1021" s="80">
        <f t="shared" si="30"/>
        <v>70.400000000000006</v>
      </c>
      <c r="N1021" s="80">
        <f t="shared" si="31"/>
        <v>70.319999999999993</v>
      </c>
      <c r="O1021" s="153">
        <v>21.14</v>
      </c>
      <c r="P1021" s="153">
        <v>21.15</v>
      </c>
      <c r="Q1021" s="153">
        <v>21.1</v>
      </c>
      <c r="R1021" s="153">
        <v>21.02</v>
      </c>
      <c r="S1021" s="4"/>
      <c r="U1021" s="147" t="s">
        <v>1098</v>
      </c>
      <c r="V1021" s="11"/>
      <c r="W1021" s="4"/>
      <c r="X1021" s="18"/>
      <c r="Y1021" s="14"/>
      <c r="Z1021" s="4"/>
      <c r="AA1021" s="13"/>
      <c r="AB1021" s="11"/>
      <c r="AC1021" s="4"/>
      <c r="AD1021" s="12"/>
      <c r="AE1021" s="13"/>
      <c r="AF1021" s="14">
        <v>5.0193000000000003</v>
      </c>
      <c r="AG1021" s="133"/>
      <c r="AI1021" s="96"/>
      <c r="AL1021" s="64">
        <v>4.1702698833333338</v>
      </c>
      <c r="AM1021" s="56">
        <v>14.60000000000008</v>
      </c>
      <c r="AN1021" s="56">
        <v>16.520000000000049</v>
      </c>
      <c r="AO1021" s="62">
        <v>22.680000000000081</v>
      </c>
      <c r="AQ1021" s="64">
        <v>4.0807963499999991</v>
      </c>
      <c r="AR1021" s="56">
        <v>13.959999999999971</v>
      </c>
      <c r="AS1021" s="56">
        <v>15.38000000000004</v>
      </c>
      <c r="AT1021" s="62">
        <v>19.559999999999981</v>
      </c>
      <c r="AV1021" s="64">
        <v>3.7263591333333328</v>
      </c>
      <c r="AW1021" s="56">
        <v>13.520000000000019</v>
      </c>
      <c r="AX1021" s="56">
        <v>14.920000000000041</v>
      </c>
      <c r="AY1021" s="62">
        <v>19.720000000000049</v>
      </c>
      <c r="BA1021" s="64">
        <v>3.179117966666666</v>
      </c>
      <c r="BB1021" s="56">
        <v>15.80000000000004</v>
      </c>
      <c r="BC1021" s="56">
        <v>18.28000000000003</v>
      </c>
      <c r="BD1021" s="62">
        <v>30.379999999999981</v>
      </c>
      <c r="BF1021" s="64">
        <v>2.9412783999999998</v>
      </c>
      <c r="BG1021" s="56">
        <v>19.179999999999971</v>
      </c>
      <c r="BH1021" s="56">
        <v>25.919999999999991</v>
      </c>
      <c r="BI1021" s="62">
        <v>54.019999999999953</v>
      </c>
      <c r="BJ1021" s="70"/>
      <c r="BK1021" s="51"/>
    </row>
    <row r="1022" spans="1:63" ht="17.25" customHeight="1" thickBot="1" x14ac:dyDescent="0.45">
      <c r="A1022" s="16" t="s">
        <v>1099</v>
      </c>
      <c r="B1022" s="4"/>
      <c r="C1022" s="4"/>
      <c r="D1022" s="4"/>
      <c r="E1022" s="12"/>
      <c r="G1022" s="147" t="s">
        <v>1099</v>
      </c>
      <c r="H1022" s="159">
        <v>69.992000000000004</v>
      </c>
      <c r="I1022" s="153">
        <v>70.37</v>
      </c>
      <c r="J1022" s="153">
        <v>70.319999999999993</v>
      </c>
      <c r="K1022" s="153">
        <v>70.349999999999994</v>
      </c>
      <c r="L1022" s="153">
        <v>70.36</v>
      </c>
      <c r="M1022" s="80">
        <f t="shared" si="30"/>
        <v>70.37</v>
      </c>
      <c r="N1022" s="80">
        <f t="shared" si="31"/>
        <v>70.319999999999993</v>
      </c>
      <c r="O1022" s="153">
        <v>21.22</v>
      </c>
      <c r="P1022" s="153">
        <v>21.12</v>
      </c>
      <c r="Q1022" s="153">
        <v>21.15</v>
      </c>
      <c r="R1022" s="153">
        <v>21.04</v>
      </c>
      <c r="S1022" s="4"/>
      <c r="U1022" s="147" t="s">
        <v>1099</v>
      </c>
      <c r="V1022" s="11"/>
      <c r="W1022" s="4"/>
      <c r="X1022" s="18"/>
      <c r="Y1022" s="14"/>
      <c r="Z1022" s="4"/>
      <c r="AA1022" s="13"/>
      <c r="AB1022" s="11"/>
      <c r="AC1022" s="4"/>
      <c r="AD1022" s="12"/>
      <c r="AE1022" s="13"/>
      <c r="AF1022" s="14">
        <v>5.0378999999999996</v>
      </c>
      <c r="AG1022" s="133"/>
      <c r="AI1022" s="96"/>
      <c r="AL1022" s="64">
        <v>4.1703093000000004</v>
      </c>
      <c r="AM1022" s="56">
        <v>14.57999999999995</v>
      </c>
      <c r="AN1022" s="56">
        <v>16.500000000000089</v>
      </c>
      <c r="AO1022" s="62">
        <v>22.700000000000031</v>
      </c>
      <c r="AQ1022" s="64">
        <v>4.0808736999999997</v>
      </c>
      <c r="AR1022" s="56">
        <v>14.1</v>
      </c>
      <c r="AS1022" s="56">
        <v>15.519999999999889</v>
      </c>
      <c r="AT1022" s="62">
        <v>19.73999999999991</v>
      </c>
      <c r="AV1022" s="64">
        <v>3.7266563833333342</v>
      </c>
      <c r="AW1022" s="56">
        <v>13.79999999999999</v>
      </c>
      <c r="AX1022" s="56">
        <v>15.20000000000001</v>
      </c>
      <c r="AY1022" s="62">
        <v>20.04000000000001</v>
      </c>
      <c r="BA1022" s="64">
        <v>3.1789034833333329</v>
      </c>
      <c r="BB1022" s="56">
        <v>16.139999999999951</v>
      </c>
      <c r="BC1022" s="56">
        <v>18.599999999999991</v>
      </c>
      <c r="BD1022" s="62">
        <v>30.739999999999949</v>
      </c>
      <c r="BF1022" s="64">
        <v>2.93293055</v>
      </c>
      <c r="BG1022" s="56">
        <v>19.759999999999959</v>
      </c>
      <c r="BH1022" s="56">
        <v>26.719999999999992</v>
      </c>
      <c r="BI1022" s="62">
        <v>55.78000000000003</v>
      </c>
      <c r="BJ1022" s="70"/>
      <c r="BK1022" s="51"/>
    </row>
    <row r="1023" spans="1:63" ht="17.25" customHeight="1" thickBot="1" x14ac:dyDescent="0.45">
      <c r="A1023" s="16" t="s">
        <v>1100</v>
      </c>
      <c r="B1023" s="4"/>
      <c r="C1023" s="4"/>
      <c r="D1023" s="4"/>
      <c r="E1023" s="12"/>
      <c r="G1023" s="147" t="s">
        <v>1100</v>
      </c>
      <c r="H1023" s="159">
        <v>70.075999999999993</v>
      </c>
      <c r="I1023" s="153">
        <v>70.28</v>
      </c>
      <c r="J1023" s="153">
        <v>70.34</v>
      </c>
      <c r="K1023" s="153">
        <v>70.36</v>
      </c>
      <c r="L1023" s="153">
        <v>70.290000000000006</v>
      </c>
      <c r="M1023" s="80">
        <f t="shared" si="30"/>
        <v>70.36</v>
      </c>
      <c r="N1023" s="80">
        <f t="shared" si="31"/>
        <v>70.28</v>
      </c>
      <c r="O1023" s="153">
        <v>21.2</v>
      </c>
      <c r="P1023" s="153">
        <v>21.13</v>
      </c>
      <c r="Q1023" s="153">
        <v>21.12</v>
      </c>
      <c r="R1023" s="153">
        <v>21.03</v>
      </c>
      <c r="S1023" s="4"/>
      <c r="U1023" s="147" t="s">
        <v>1100</v>
      </c>
      <c r="V1023" s="11"/>
      <c r="W1023" s="4"/>
      <c r="X1023" s="12"/>
      <c r="Y1023" s="14"/>
      <c r="Z1023" s="4"/>
      <c r="AA1023" s="13"/>
      <c r="AB1023" s="11"/>
      <c r="AC1023" s="4"/>
      <c r="AD1023" s="12"/>
      <c r="AE1023" s="13"/>
      <c r="AF1023" s="14">
        <v>5.0387000000000004</v>
      </c>
      <c r="AG1023" s="133"/>
      <c r="AI1023" s="96"/>
      <c r="AL1023" s="64">
        <v>4.1707892166666669</v>
      </c>
      <c r="AM1023" s="56">
        <v>14.719999999999979</v>
      </c>
      <c r="AN1023" s="56">
        <v>16.659999999999901</v>
      </c>
      <c r="AO1023" s="62">
        <v>22.799999999999979</v>
      </c>
      <c r="AQ1023" s="64">
        <v>4.0813854166666683</v>
      </c>
      <c r="AR1023" s="56">
        <v>14.48</v>
      </c>
      <c r="AS1023" s="56">
        <v>15.90000000000007</v>
      </c>
      <c r="AT1023" s="62">
        <v>20.180000000000039</v>
      </c>
      <c r="AV1023" s="64">
        <v>3.727200499999999</v>
      </c>
      <c r="AW1023" s="56">
        <v>13.879999999999979</v>
      </c>
      <c r="AX1023" s="56">
        <v>15.30000000000005</v>
      </c>
      <c r="AY1023" s="62">
        <v>20.16</v>
      </c>
      <c r="BA1023" s="64">
        <v>3.1807411833333332</v>
      </c>
      <c r="BB1023" s="56">
        <v>15.760000000000041</v>
      </c>
      <c r="BC1023" s="56">
        <v>18.219999999999992</v>
      </c>
      <c r="BD1023" s="62">
        <v>30.22</v>
      </c>
      <c r="BF1023" s="64">
        <v>2.9350661499999999</v>
      </c>
      <c r="BG1023" s="56">
        <v>19.460000000000029</v>
      </c>
      <c r="BH1023" s="56">
        <v>26.300000000000079</v>
      </c>
      <c r="BI1023" s="62">
        <v>55.04000000000007</v>
      </c>
      <c r="BJ1023" s="70"/>
      <c r="BK1023" s="51"/>
    </row>
    <row r="1024" spans="1:63" ht="17.25" customHeight="1" thickBot="1" x14ac:dyDescent="0.45">
      <c r="A1024" s="16" t="s">
        <v>1101</v>
      </c>
      <c r="B1024" s="4"/>
      <c r="C1024" s="4"/>
      <c r="D1024" s="4"/>
      <c r="E1024" s="12"/>
      <c r="G1024" s="147" t="s">
        <v>1101</v>
      </c>
      <c r="H1024" s="159">
        <v>69.956000000000003</v>
      </c>
      <c r="I1024" s="153">
        <v>70.37</v>
      </c>
      <c r="J1024" s="153">
        <v>70.349999999999994</v>
      </c>
      <c r="K1024" s="153">
        <v>70.39</v>
      </c>
      <c r="L1024" s="153">
        <v>70.28</v>
      </c>
      <c r="M1024" s="80">
        <f t="shared" si="30"/>
        <v>70.39</v>
      </c>
      <c r="N1024" s="80">
        <f t="shared" si="31"/>
        <v>70.28</v>
      </c>
      <c r="O1024" s="153">
        <v>21.2</v>
      </c>
      <c r="P1024" s="153">
        <v>21.13</v>
      </c>
      <c r="Q1024" s="153">
        <v>21.16</v>
      </c>
      <c r="R1024" s="153">
        <v>21.13</v>
      </c>
      <c r="S1024" s="4"/>
      <c r="U1024" s="147" t="s">
        <v>1101</v>
      </c>
      <c r="V1024" s="11"/>
      <c r="W1024" s="4"/>
      <c r="X1024" s="12"/>
      <c r="Y1024" s="14"/>
      <c r="Z1024" s="4"/>
      <c r="AA1024" s="13"/>
      <c r="AB1024" s="11"/>
      <c r="AC1024" s="4"/>
      <c r="AD1024" s="12"/>
      <c r="AE1024" s="13"/>
      <c r="AF1024" s="14">
        <v>5.0235000000000003</v>
      </c>
      <c r="AG1024" s="133"/>
      <c r="AI1024" s="96"/>
      <c r="AL1024" s="64">
        <v>4.1704566999999999</v>
      </c>
      <c r="AM1024" s="56">
        <v>14.519999999999911</v>
      </c>
      <c r="AN1024" s="56">
        <v>16.41999999999992</v>
      </c>
      <c r="AO1024" s="62">
        <v>22.65999999999995</v>
      </c>
      <c r="AQ1024" s="64">
        <v>4.0818017500000003</v>
      </c>
      <c r="AR1024" s="56">
        <v>14.1</v>
      </c>
      <c r="AS1024" s="56">
        <v>15.520000000000071</v>
      </c>
      <c r="AT1024" s="62">
        <v>19.720000000000049</v>
      </c>
      <c r="AV1024" s="64">
        <v>3.7281664499999998</v>
      </c>
      <c r="AW1024" s="56">
        <v>13.700000000000051</v>
      </c>
      <c r="AX1024" s="56">
        <v>15.100000000000071</v>
      </c>
      <c r="AY1024" s="62">
        <v>19.940000000000069</v>
      </c>
      <c r="BA1024" s="64">
        <v>3.184480366666667</v>
      </c>
      <c r="BB1024" s="56">
        <v>16.239999999999991</v>
      </c>
      <c r="BC1024" s="56">
        <v>18.700000000000031</v>
      </c>
      <c r="BD1024" s="62">
        <v>30.700000000000038</v>
      </c>
      <c r="BF1024" s="64">
        <v>2.9338017999999999</v>
      </c>
      <c r="BG1024" s="56">
        <v>19.93999999999998</v>
      </c>
      <c r="BH1024" s="56">
        <v>26.820000000000022</v>
      </c>
      <c r="BI1024" s="62">
        <v>55.799999999999983</v>
      </c>
      <c r="BJ1024" s="70"/>
      <c r="BK1024" s="51"/>
    </row>
    <row r="1025" spans="1:63" ht="17.25" customHeight="1" thickBot="1" x14ac:dyDescent="0.45">
      <c r="A1025" s="16" t="s">
        <v>1102</v>
      </c>
      <c r="B1025" s="4"/>
      <c r="C1025" s="4"/>
      <c r="D1025" s="4"/>
      <c r="E1025" s="12"/>
      <c r="G1025" s="147" t="s">
        <v>1102</v>
      </c>
      <c r="H1025" s="159">
        <v>70.103999999999999</v>
      </c>
      <c r="I1025" s="153">
        <v>70.3</v>
      </c>
      <c r="J1025" s="153">
        <v>70.349999999999994</v>
      </c>
      <c r="K1025" s="153">
        <v>70.31</v>
      </c>
      <c r="L1025" s="153">
        <v>70.36</v>
      </c>
      <c r="M1025" s="80">
        <f t="shared" si="30"/>
        <v>70.36</v>
      </c>
      <c r="N1025" s="80">
        <f t="shared" si="31"/>
        <v>70.3</v>
      </c>
      <c r="O1025" s="153">
        <v>21.15</v>
      </c>
      <c r="P1025" s="153">
        <v>21.16</v>
      </c>
      <c r="Q1025" s="153">
        <v>21.12</v>
      </c>
      <c r="R1025" s="153">
        <v>21.08</v>
      </c>
      <c r="S1025" s="4"/>
      <c r="U1025" s="147" t="s">
        <v>1102</v>
      </c>
      <c r="V1025" s="11"/>
      <c r="W1025" s="4"/>
      <c r="X1025" s="12"/>
      <c r="Y1025" s="14"/>
      <c r="Z1025" s="4"/>
      <c r="AA1025" s="13"/>
      <c r="AB1025" s="11"/>
      <c r="AC1025" s="4"/>
      <c r="AD1025" s="12"/>
      <c r="AE1025" s="13"/>
      <c r="AF1025" s="14">
        <v>5.0038</v>
      </c>
      <c r="AG1025" s="133"/>
      <c r="AI1025" s="96"/>
      <c r="AL1025" s="64">
        <v>4.1699033500000002</v>
      </c>
      <c r="AM1025" s="56">
        <v>15.140000000000059</v>
      </c>
      <c r="AN1025" s="56">
        <v>17.100000000000119</v>
      </c>
      <c r="AO1025" s="62">
        <v>23.4</v>
      </c>
      <c r="AQ1025" s="64">
        <v>4.0812957833333332</v>
      </c>
      <c r="AR1025" s="56">
        <v>14.89999999999991</v>
      </c>
      <c r="AS1025" s="56">
        <v>16.379999999999932</v>
      </c>
      <c r="AT1025" s="62">
        <v>20.739999999999981</v>
      </c>
      <c r="AV1025" s="64">
        <v>3.726830666666666</v>
      </c>
      <c r="AW1025" s="56">
        <v>14.400000000000009</v>
      </c>
      <c r="AX1025" s="56">
        <v>15.859999999999991</v>
      </c>
      <c r="AY1025" s="62">
        <v>20.820000000000061</v>
      </c>
      <c r="BA1025" s="64">
        <v>3.1820982</v>
      </c>
      <c r="BB1025" s="56">
        <v>16.180000000000039</v>
      </c>
      <c r="BC1025" s="56">
        <v>18.63999999999999</v>
      </c>
      <c r="BD1025" s="62">
        <v>30.799999999999979</v>
      </c>
      <c r="BF1025" s="64">
        <v>2.9379391166666671</v>
      </c>
      <c r="BG1025" s="56">
        <v>19.559999999999981</v>
      </c>
      <c r="BH1025" s="56">
        <v>25.980000000000029</v>
      </c>
      <c r="BI1025" s="62">
        <v>53.720000000000027</v>
      </c>
      <c r="BJ1025" s="70"/>
      <c r="BK1025" s="51"/>
    </row>
    <row r="1026" spans="1:63" ht="17.25" customHeight="1" thickBot="1" x14ac:dyDescent="0.45">
      <c r="A1026" s="16" t="s">
        <v>1103</v>
      </c>
      <c r="B1026" s="4"/>
      <c r="C1026" s="4"/>
      <c r="D1026" s="4"/>
      <c r="E1026" s="12"/>
      <c r="G1026" s="147" t="s">
        <v>1103</v>
      </c>
      <c r="H1026" s="159">
        <v>70.033000000000001</v>
      </c>
      <c r="I1026" s="153">
        <v>70.37</v>
      </c>
      <c r="J1026" s="153">
        <v>70.28</v>
      </c>
      <c r="K1026" s="153">
        <v>70.34</v>
      </c>
      <c r="L1026" s="153">
        <v>70.34</v>
      </c>
      <c r="M1026" s="80">
        <f t="shared" si="30"/>
        <v>70.37</v>
      </c>
      <c r="N1026" s="80">
        <f t="shared" si="31"/>
        <v>70.28</v>
      </c>
      <c r="O1026" s="153">
        <v>21.21</v>
      </c>
      <c r="P1026" s="153">
        <v>21.17</v>
      </c>
      <c r="Q1026" s="153">
        <v>21.1</v>
      </c>
      <c r="R1026" s="153">
        <v>21.08</v>
      </c>
      <c r="S1026" s="4"/>
      <c r="U1026" s="147" t="s">
        <v>1103</v>
      </c>
      <c r="V1026" s="11"/>
      <c r="W1026" s="4"/>
      <c r="X1026" s="12"/>
      <c r="Y1026" s="14"/>
      <c r="Z1026" s="4"/>
      <c r="AA1026" s="13"/>
      <c r="AB1026" s="11"/>
      <c r="AC1026" s="4"/>
      <c r="AD1026" s="12"/>
      <c r="AE1026" s="13"/>
      <c r="AF1026" s="14">
        <v>5.008</v>
      </c>
      <c r="AG1026" s="133"/>
      <c r="AI1026" s="96"/>
      <c r="AL1026" s="64">
        <v>4.1708194333333326</v>
      </c>
      <c r="AM1026" s="56">
        <v>14.54000000000004</v>
      </c>
      <c r="AN1026" s="56">
        <v>16.479999999999961</v>
      </c>
      <c r="AO1026" s="62">
        <v>22.719999999999981</v>
      </c>
      <c r="AQ1026" s="64">
        <v>4.0810740499999998</v>
      </c>
      <c r="AR1026" s="56">
        <v>14.00000000000006</v>
      </c>
      <c r="AS1026" s="56">
        <v>15.420000000000121</v>
      </c>
      <c r="AT1026" s="62">
        <v>19.640000000000061</v>
      </c>
      <c r="AV1026" s="64">
        <v>3.7261730333333332</v>
      </c>
      <c r="AW1026" s="56">
        <v>13.57999999999997</v>
      </c>
      <c r="AX1026" s="56">
        <v>14.97999999999999</v>
      </c>
      <c r="AY1026" s="62">
        <v>19.78</v>
      </c>
      <c r="BA1026" s="64">
        <v>3.181552916666667</v>
      </c>
      <c r="BB1026" s="56">
        <v>16.14000000000004</v>
      </c>
      <c r="BC1026" s="56">
        <v>18.62000000000004</v>
      </c>
      <c r="BD1026" s="62">
        <v>30.74000000000003</v>
      </c>
      <c r="BF1026" s="64">
        <v>2.9455578500000001</v>
      </c>
      <c r="BG1026" s="56">
        <v>19.640000000000061</v>
      </c>
      <c r="BH1026" s="56">
        <v>26.259999999999991</v>
      </c>
      <c r="BI1026" s="62">
        <v>53.980000000000047</v>
      </c>
      <c r="BJ1026" s="70"/>
      <c r="BK1026" s="51"/>
    </row>
    <row r="1027" spans="1:63" ht="17.25" customHeight="1" thickBot="1" x14ac:dyDescent="0.45">
      <c r="A1027" s="16" t="s">
        <v>1104</v>
      </c>
      <c r="B1027" s="4"/>
      <c r="C1027" s="4"/>
      <c r="D1027" s="4"/>
      <c r="E1027" s="12"/>
      <c r="G1027" s="147" t="s">
        <v>1104</v>
      </c>
      <c r="H1027" s="159">
        <v>70.105999999999995</v>
      </c>
      <c r="I1027" s="153">
        <v>70.319999999999993</v>
      </c>
      <c r="J1027" s="153">
        <v>70.39</v>
      </c>
      <c r="K1027" s="153">
        <v>70.38</v>
      </c>
      <c r="L1027" s="153">
        <v>70.36</v>
      </c>
      <c r="M1027" s="80">
        <f t="shared" si="30"/>
        <v>70.39</v>
      </c>
      <c r="N1027" s="80">
        <f t="shared" si="31"/>
        <v>70.319999999999993</v>
      </c>
      <c r="O1027" s="153">
        <v>21.2</v>
      </c>
      <c r="P1027" s="153">
        <v>21.04</v>
      </c>
      <c r="Q1027" s="153">
        <v>21.16</v>
      </c>
      <c r="R1027" s="153">
        <v>21.09</v>
      </c>
      <c r="S1027" s="4"/>
      <c r="U1027" s="147" t="s">
        <v>1104</v>
      </c>
      <c r="V1027" s="11"/>
      <c r="W1027" s="4"/>
      <c r="X1027" s="12"/>
      <c r="Y1027" s="14"/>
      <c r="Z1027" s="4"/>
      <c r="AA1027" s="13"/>
      <c r="AB1027" s="11"/>
      <c r="AC1027" s="4"/>
      <c r="AD1027" s="12"/>
      <c r="AE1027" s="13"/>
      <c r="AF1027" s="14">
        <v>5.0023</v>
      </c>
      <c r="AG1027" s="133"/>
      <c r="AI1027" s="96"/>
      <c r="AL1027" s="64">
        <v>4.1709043166666673</v>
      </c>
      <c r="AM1027" s="56">
        <v>14.739999999999929</v>
      </c>
      <c r="AN1027" s="56">
        <v>16.63999999999994</v>
      </c>
      <c r="AO1027" s="62">
        <v>22.91999999999987</v>
      </c>
      <c r="AQ1027" s="64">
        <v>4.0802436333333327</v>
      </c>
      <c r="AR1027" s="56">
        <v>14.060000000000089</v>
      </c>
      <c r="AS1027" s="56">
        <v>15.460000000000029</v>
      </c>
      <c r="AT1027" s="62">
        <v>19.680000000000049</v>
      </c>
      <c r="AV1027" s="64">
        <v>3.726270083333334</v>
      </c>
      <c r="AW1027" s="56">
        <v>13.640000000000009</v>
      </c>
      <c r="AX1027" s="56">
        <v>15.040000000000029</v>
      </c>
      <c r="AY1027" s="62">
        <v>19.859999999999989</v>
      </c>
      <c r="BA1027" s="64">
        <v>3.1871415999999999</v>
      </c>
      <c r="BB1027" s="56">
        <v>16.000000000000011</v>
      </c>
      <c r="BC1027" s="56">
        <v>18.40000000000002</v>
      </c>
      <c r="BD1027" s="62">
        <v>30.140000000000011</v>
      </c>
      <c r="BF1027" s="64">
        <v>2.9418498166666671</v>
      </c>
      <c r="BG1027" s="56">
        <v>19.559999999999981</v>
      </c>
      <c r="BH1027" s="56">
        <v>26.140000000000011</v>
      </c>
      <c r="BI1027" s="62">
        <v>53.719999999999949</v>
      </c>
      <c r="BJ1027" s="70"/>
      <c r="BK1027" s="51"/>
    </row>
    <row r="1028" spans="1:63" ht="17.25" customHeight="1" thickBot="1" x14ac:dyDescent="0.45">
      <c r="A1028" s="16" t="s">
        <v>1105</v>
      </c>
      <c r="B1028" s="4"/>
      <c r="C1028" s="4"/>
      <c r="D1028" s="4"/>
      <c r="E1028" s="12"/>
      <c r="G1028" s="147" t="s">
        <v>1105</v>
      </c>
      <c r="H1028" s="159">
        <v>70.057000000000002</v>
      </c>
      <c r="I1028" s="153">
        <v>70.36</v>
      </c>
      <c r="J1028" s="153">
        <v>70.33</v>
      </c>
      <c r="K1028" s="153">
        <v>70.39</v>
      </c>
      <c r="L1028" s="153">
        <v>70.36</v>
      </c>
      <c r="M1028" s="80">
        <f t="shared" si="30"/>
        <v>70.39</v>
      </c>
      <c r="N1028" s="80">
        <f t="shared" si="31"/>
        <v>70.33</v>
      </c>
      <c r="O1028" s="153">
        <v>21.19</v>
      </c>
      <c r="P1028" s="153">
        <v>21.12</v>
      </c>
      <c r="Q1028" s="153">
        <v>21.09</v>
      </c>
      <c r="R1028" s="153">
        <v>21.06</v>
      </c>
      <c r="S1028" s="4"/>
      <c r="U1028" s="147" t="s">
        <v>1105</v>
      </c>
      <c r="V1028" s="11"/>
      <c r="W1028" s="4"/>
      <c r="X1028" s="12"/>
      <c r="Y1028" s="14"/>
      <c r="Z1028" s="4"/>
      <c r="AA1028" s="13"/>
      <c r="AB1028" s="11"/>
      <c r="AC1028" s="4"/>
      <c r="AD1028" s="12"/>
      <c r="AE1028" s="13"/>
      <c r="AF1028" s="14">
        <v>5.0102000000000002</v>
      </c>
      <c r="AG1028" s="133"/>
      <c r="AI1028" s="96"/>
      <c r="AL1028" s="64">
        <v>4.1711114333333326</v>
      </c>
      <c r="AM1028" s="56">
        <v>14.440000000000101</v>
      </c>
      <c r="AN1028" s="56">
        <v>16.339999999999929</v>
      </c>
      <c r="AO1028" s="62">
        <v>22.60000000000009</v>
      </c>
      <c r="AQ1028" s="64">
        <v>4.0824050666666656</v>
      </c>
      <c r="AR1028" s="56">
        <v>14.1</v>
      </c>
      <c r="AS1028" s="56">
        <v>15.49999999999994</v>
      </c>
      <c r="AT1028" s="62">
        <v>19.71999999999996</v>
      </c>
      <c r="AV1028" s="64">
        <v>3.7283847666666659</v>
      </c>
      <c r="AW1028" s="56">
        <v>13.659999999999959</v>
      </c>
      <c r="AX1028" s="56">
        <v>15.039999999999941</v>
      </c>
      <c r="AY1028" s="62">
        <v>19.859999999999989</v>
      </c>
      <c r="BA1028" s="64">
        <v>3.188350666666667</v>
      </c>
      <c r="BB1028" s="56">
        <v>16.05999999999996</v>
      </c>
      <c r="BC1028" s="56">
        <v>18.459999999999969</v>
      </c>
      <c r="BD1028" s="62">
        <v>30.239999999999959</v>
      </c>
      <c r="BF1028" s="64">
        <v>2.9418738166666669</v>
      </c>
      <c r="BG1028" s="56">
        <v>19.620000000000019</v>
      </c>
      <c r="BH1028" s="56">
        <v>26.240000000000041</v>
      </c>
      <c r="BI1028" s="62">
        <v>54.060000000000038</v>
      </c>
      <c r="BJ1028" s="70"/>
      <c r="BK1028" s="51"/>
    </row>
    <row r="1029" spans="1:63" ht="17.25" customHeight="1" thickBot="1" x14ac:dyDescent="0.45">
      <c r="A1029" s="16" t="s">
        <v>1106</v>
      </c>
      <c r="B1029" s="4"/>
      <c r="C1029" s="4"/>
      <c r="D1029" s="4"/>
      <c r="E1029" s="12"/>
      <c r="G1029" s="147" t="s">
        <v>1106</v>
      </c>
      <c r="H1029" s="159">
        <v>69.963999999999999</v>
      </c>
      <c r="I1029" s="153">
        <v>70.36</v>
      </c>
      <c r="J1029" s="153">
        <v>70.38</v>
      </c>
      <c r="K1029" s="153">
        <v>70.31</v>
      </c>
      <c r="L1029" s="153">
        <v>70.37</v>
      </c>
      <c r="M1029" s="80">
        <f t="shared" si="30"/>
        <v>70.38</v>
      </c>
      <c r="N1029" s="80">
        <f t="shared" si="31"/>
        <v>70.31</v>
      </c>
      <c r="O1029" s="153">
        <v>21.19</v>
      </c>
      <c r="P1029" s="153">
        <v>21.14</v>
      </c>
      <c r="Q1029" s="153">
        <v>21.12</v>
      </c>
      <c r="R1029" s="153">
        <v>21.05</v>
      </c>
      <c r="S1029" s="4"/>
      <c r="U1029" s="147" t="s">
        <v>1106</v>
      </c>
      <c r="V1029" s="11"/>
      <c r="W1029" s="4"/>
      <c r="X1029" s="12"/>
      <c r="Y1029" s="14"/>
      <c r="Z1029" s="4"/>
      <c r="AA1029" s="13"/>
      <c r="AB1029" s="11"/>
      <c r="AC1029" s="4"/>
      <c r="AD1029" s="12"/>
      <c r="AE1029" s="13"/>
      <c r="AF1029" s="14">
        <v>5.0090000000000003</v>
      </c>
      <c r="AG1029" s="133"/>
      <c r="AI1029" s="96"/>
      <c r="AL1029" s="64">
        <v>4.1710497333333336</v>
      </c>
      <c r="AM1029" s="56">
        <v>14.48</v>
      </c>
      <c r="AN1029" s="56">
        <v>16.38000000000002</v>
      </c>
      <c r="AO1029" s="62">
        <v>22.63999999999999</v>
      </c>
      <c r="AQ1029" s="64">
        <v>4.0815501999999997</v>
      </c>
      <c r="AR1029" s="56">
        <v>14.1</v>
      </c>
      <c r="AS1029" s="56">
        <v>15.49999999999994</v>
      </c>
      <c r="AT1029" s="62">
        <v>19.679999999999961</v>
      </c>
      <c r="AV1029" s="64">
        <v>3.7273425166666669</v>
      </c>
      <c r="AW1029" s="56">
        <v>13.659999999999959</v>
      </c>
      <c r="AX1029" s="56">
        <v>15.059999999999979</v>
      </c>
      <c r="AY1029" s="62">
        <v>19.879999999999939</v>
      </c>
      <c r="BA1029" s="64">
        <v>3.1857069999999998</v>
      </c>
      <c r="BB1029" s="56">
        <v>16.340000000000021</v>
      </c>
      <c r="BC1029" s="56">
        <v>18.799999999999969</v>
      </c>
      <c r="BD1029" s="62">
        <v>30.799999999999979</v>
      </c>
      <c r="BF1029" s="64">
        <v>2.9440187500000001</v>
      </c>
      <c r="BG1029" s="56">
        <v>19.859999999999989</v>
      </c>
      <c r="BH1029" s="56">
        <v>26.41999999999998</v>
      </c>
      <c r="BI1029" s="62">
        <v>54.020000000000053</v>
      </c>
      <c r="BJ1029" s="70"/>
      <c r="BK1029" s="51"/>
    </row>
    <row r="1030" spans="1:63" ht="17.25" customHeight="1" thickBot="1" x14ac:dyDescent="0.45">
      <c r="A1030" s="16" t="s">
        <v>1107</v>
      </c>
      <c r="B1030" s="4"/>
      <c r="C1030" s="4"/>
      <c r="D1030" s="4"/>
      <c r="E1030" s="12"/>
      <c r="G1030" s="147" t="s">
        <v>1107</v>
      </c>
      <c r="H1030" s="159">
        <v>70.001999999999995</v>
      </c>
      <c r="I1030" s="153">
        <v>70.3</v>
      </c>
      <c r="J1030" s="153">
        <v>70.31</v>
      </c>
      <c r="K1030" s="153">
        <v>70.31</v>
      </c>
      <c r="L1030" s="153">
        <v>70.400000000000006</v>
      </c>
      <c r="M1030" s="80">
        <f t="shared" ref="M1030:M1093" si="32">MAX(I1030:L1030)</f>
        <v>70.400000000000006</v>
      </c>
      <c r="N1030" s="80">
        <f t="shared" ref="N1030:N1093" si="33">MIN(I1030:L1030)</f>
        <v>70.3</v>
      </c>
      <c r="O1030" s="153">
        <v>21.2</v>
      </c>
      <c r="P1030" s="153">
        <v>21.13</v>
      </c>
      <c r="Q1030" s="153">
        <v>21.15</v>
      </c>
      <c r="R1030" s="153">
        <v>21.08</v>
      </c>
      <c r="S1030" s="4"/>
      <c r="U1030" s="147" t="s">
        <v>1107</v>
      </c>
      <c r="V1030" s="11"/>
      <c r="W1030" s="4"/>
      <c r="X1030" s="12"/>
      <c r="Y1030" s="14"/>
      <c r="Z1030" s="4"/>
      <c r="AA1030" s="13"/>
      <c r="AB1030" s="11"/>
      <c r="AC1030" s="4"/>
      <c r="AD1030" s="12"/>
      <c r="AE1030" s="13"/>
      <c r="AF1030" s="14">
        <v>5.0233999999999996</v>
      </c>
      <c r="AG1030" s="133"/>
      <c r="AI1030" s="96"/>
      <c r="AL1030" s="64">
        <v>4.1710129833333331</v>
      </c>
      <c r="AM1030" s="56">
        <v>14.700000000000021</v>
      </c>
      <c r="AN1030" s="56">
        <v>16.61999999999999</v>
      </c>
      <c r="AO1030" s="62">
        <v>22.86000000000001</v>
      </c>
      <c r="AQ1030" s="64">
        <v>4.0820781333333329</v>
      </c>
      <c r="AR1030" s="56">
        <v>14.239999999999849</v>
      </c>
      <c r="AS1030" s="56">
        <v>15.65999999999992</v>
      </c>
      <c r="AT1030" s="62">
        <v>19.899999999999899</v>
      </c>
      <c r="AV1030" s="64">
        <v>3.7286245833333331</v>
      </c>
      <c r="AW1030" s="56">
        <v>13.839999999999989</v>
      </c>
      <c r="AX1030" s="56">
        <v>15.240000000000011</v>
      </c>
      <c r="AY1030" s="62">
        <v>20.080000000000009</v>
      </c>
      <c r="BA1030" s="64">
        <v>3.1873711</v>
      </c>
      <c r="BB1030" s="56">
        <v>16.39999999999997</v>
      </c>
      <c r="BC1030" s="56">
        <v>18.86000000000001</v>
      </c>
      <c r="BD1030" s="62">
        <v>30.799999999999979</v>
      </c>
      <c r="BF1030" s="64">
        <v>2.9406516666666662</v>
      </c>
      <c r="BG1030" s="56">
        <v>20.000000000000021</v>
      </c>
      <c r="BH1030" s="56">
        <v>26.580000000000052</v>
      </c>
      <c r="BI1030" s="62">
        <v>54.539999999999992</v>
      </c>
      <c r="BJ1030" s="70"/>
      <c r="BK1030" s="51"/>
    </row>
    <row r="1031" spans="1:63" ht="17.25" customHeight="1" thickBot="1" x14ac:dyDescent="0.45">
      <c r="A1031" s="16" t="s">
        <v>1108</v>
      </c>
      <c r="B1031" s="4"/>
      <c r="C1031" s="4"/>
      <c r="D1031" s="4"/>
      <c r="E1031" s="12"/>
      <c r="G1031" s="147" t="s">
        <v>1108</v>
      </c>
      <c r="H1031" s="159">
        <v>69.942999999999998</v>
      </c>
      <c r="I1031" s="153">
        <v>70.38</v>
      </c>
      <c r="J1031" s="153">
        <v>70.36</v>
      </c>
      <c r="K1031" s="153">
        <v>70.36</v>
      </c>
      <c r="L1031" s="153">
        <v>70.34</v>
      </c>
      <c r="M1031" s="80">
        <f t="shared" si="32"/>
        <v>70.38</v>
      </c>
      <c r="N1031" s="80">
        <f t="shared" si="33"/>
        <v>70.34</v>
      </c>
      <c r="O1031" s="153">
        <v>21.17</v>
      </c>
      <c r="P1031" s="153">
        <v>21.06</v>
      </c>
      <c r="Q1031" s="153">
        <v>21.12</v>
      </c>
      <c r="R1031" s="153">
        <v>21.07</v>
      </c>
      <c r="S1031" s="4"/>
      <c r="U1031" s="147" t="s">
        <v>1108</v>
      </c>
      <c r="V1031" s="11"/>
      <c r="W1031" s="4"/>
      <c r="X1031" s="12"/>
      <c r="Y1031" s="14"/>
      <c r="Z1031" s="4"/>
      <c r="AA1031" s="13"/>
      <c r="AB1031" s="11"/>
      <c r="AC1031" s="4"/>
      <c r="AD1031" s="12"/>
      <c r="AE1031" s="13"/>
      <c r="AF1031" s="14">
        <v>5.0217000000000001</v>
      </c>
      <c r="AG1031" s="133"/>
      <c r="AI1031" s="96"/>
      <c r="AL1031" s="64">
        <v>4.1720586666666666</v>
      </c>
      <c r="AM1031" s="56">
        <v>14.1</v>
      </c>
      <c r="AN1031" s="56">
        <v>16.019999999999971</v>
      </c>
      <c r="AO1031" s="62">
        <v>22.119999999999958</v>
      </c>
      <c r="AQ1031" s="64">
        <v>4.0815515666666666</v>
      </c>
      <c r="AR1031" s="56">
        <v>13.679999999999909</v>
      </c>
      <c r="AS1031" s="56">
        <v>15.059999999999899</v>
      </c>
      <c r="AT1031" s="62">
        <v>19.139999999999979</v>
      </c>
      <c r="AV1031" s="64">
        <v>3.72778995</v>
      </c>
      <c r="AW1031" s="56">
        <v>13.239999999999959</v>
      </c>
      <c r="AX1031" s="56">
        <v>14.63999999999999</v>
      </c>
      <c r="AY1031" s="62">
        <v>19.339999999999961</v>
      </c>
      <c r="BA1031" s="64">
        <v>3.1814847500000001</v>
      </c>
      <c r="BB1031" s="56">
        <v>16.340000000000021</v>
      </c>
      <c r="BC1031" s="56">
        <v>18.820000000000011</v>
      </c>
      <c r="BD1031" s="62">
        <v>31.03999999999996</v>
      </c>
      <c r="BF1031" s="64">
        <v>2.948405866666667</v>
      </c>
      <c r="BG1031" s="56">
        <v>19.45999999999994</v>
      </c>
      <c r="BH1031" s="56">
        <v>26.22</v>
      </c>
      <c r="BI1031" s="62">
        <v>54.04</v>
      </c>
      <c r="BJ1031" s="70"/>
      <c r="BK1031" s="51"/>
    </row>
    <row r="1032" spans="1:63" ht="17.25" customHeight="1" thickBot="1" x14ac:dyDescent="0.45">
      <c r="A1032" s="16" t="s">
        <v>1109</v>
      </c>
      <c r="B1032" s="4"/>
      <c r="C1032" s="4"/>
      <c r="D1032" s="4"/>
      <c r="E1032" s="12"/>
      <c r="G1032" s="147" t="s">
        <v>1109</v>
      </c>
      <c r="H1032" s="159">
        <v>70.027000000000001</v>
      </c>
      <c r="I1032" s="153">
        <v>70.39</v>
      </c>
      <c r="J1032" s="153">
        <v>70.33</v>
      </c>
      <c r="K1032" s="153">
        <v>70.319999999999993</v>
      </c>
      <c r="L1032" s="153">
        <v>70.290000000000006</v>
      </c>
      <c r="M1032" s="80">
        <f t="shared" si="32"/>
        <v>70.39</v>
      </c>
      <c r="N1032" s="80">
        <f t="shared" si="33"/>
        <v>70.290000000000006</v>
      </c>
      <c r="O1032" s="153">
        <v>21.1</v>
      </c>
      <c r="P1032" s="153">
        <v>21.14</v>
      </c>
      <c r="Q1032" s="153">
        <v>21.11</v>
      </c>
      <c r="R1032" s="153">
        <v>21.1</v>
      </c>
      <c r="S1032" s="4"/>
      <c r="U1032" s="147" t="s">
        <v>1109</v>
      </c>
      <c r="V1032" s="11"/>
      <c r="W1032" s="4"/>
      <c r="X1032" s="12"/>
      <c r="Y1032" s="14"/>
      <c r="Z1032" s="4"/>
      <c r="AA1032" s="13"/>
      <c r="AB1032" s="11"/>
      <c r="AC1032" s="4"/>
      <c r="AD1032" s="12"/>
      <c r="AE1032" s="13"/>
      <c r="AF1032" s="14">
        <v>5.0128000000000004</v>
      </c>
      <c r="AG1032" s="133"/>
      <c r="AI1032" s="96"/>
      <c r="AL1032" s="64">
        <v>4.1717879499999997</v>
      </c>
      <c r="AM1032" s="56">
        <v>14.719999999999979</v>
      </c>
      <c r="AN1032" s="56">
        <v>16.660000000000071</v>
      </c>
      <c r="AO1032" s="62">
        <v>22.84000000000006</v>
      </c>
      <c r="AQ1032" s="64">
        <v>4.0812189999999999</v>
      </c>
      <c r="AR1032" s="56">
        <v>14.37999999999988</v>
      </c>
      <c r="AS1032" s="56">
        <v>15.819999999999901</v>
      </c>
      <c r="AT1032" s="62">
        <v>19.999999999999929</v>
      </c>
      <c r="AV1032" s="64">
        <v>3.72729965</v>
      </c>
      <c r="AW1032" s="56">
        <v>13.839999999999989</v>
      </c>
      <c r="AX1032" s="56">
        <v>15.28</v>
      </c>
      <c r="AY1032" s="62">
        <v>20.099999999999959</v>
      </c>
      <c r="BA1032" s="64">
        <v>3.1795917500000002</v>
      </c>
      <c r="BB1032" s="56">
        <v>16.5</v>
      </c>
      <c r="BC1032" s="56">
        <v>18.98</v>
      </c>
      <c r="BD1032" s="62">
        <v>31.219999999999981</v>
      </c>
      <c r="BF1032" s="64">
        <v>2.945917566666667</v>
      </c>
      <c r="BG1032" s="56">
        <v>19.639999999999969</v>
      </c>
      <c r="BH1032" s="56">
        <v>26.499999999999972</v>
      </c>
      <c r="BI1032" s="62">
        <v>54.499999999999993</v>
      </c>
      <c r="BJ1032" s="70"/>
      <c r="BK1032" s="51"/>
    </row>
    <row r="1033" spans="1:63" ht="17.25" customHeight="1" thickBot="1" x14ac:dyDescent="0.45">
      <c r="A1033" s="16" t="s">
        <v>1110</v>
      </c>
      <c r="B1033" s="4"/>
      <c r="C1033" s="4"/>
      <c r="D1033" s="4"/>
      <c r="E1033" s="12"/>
      <c r="G1033" s="147" t="s">
        <v>1110</v>
      </c>
      <c r="H1033" s="159">
        <v>69.956999999999994</v>
      </c>
      <c r="I1033" s="153">
        <v>70.37</v>
      </c>
      <c r="J1033" s="153">
        <v>70.37</v>
      </c>
      <c r="K1033" s="153">
        <v>70.319999999999993</v>
      </c>
      <c r="L1033" s="153">
        <v>70.27</v>
      </c>
      <c r="M1033" s="80">
        <f t="shared" si="32"/>
        <v>70.37</v>
      </c>
      <c r="N1033" s="80">
        <f t="shared" si="33"/>
        <v>70.27</v>
      </c>
      <c r="O1033" s="153">
        <v>21.21</v>
      </c>
      <c r="P1033" s="153">
        <v>21.03</v>
      </c>
      <c r="Q1033" s="153">
        <v>21.15</v>
      </c>
      <c r="R1033" s="153">
        <v>21.01</v>
      </c>
      <c r="S1033" s="4"/>
      <c r="U1033" s="147" t="s">
        <v>1110</v>
      </c>
      <c r="V1033" s="11"/>
      <c r="W1033" s="4"/>
      <c r="X1033" s="12"/>
      <c r="Y1033" s="14"/>
      <c r="Z1033" s="4"/>
      <c r="AA1033" s="13"/>
      <c r="AB1033" s="11"/>
      <c r="AC1033" s="4"/>
      <c r="AD1033" s="12"/>
      <c r="AE1033" s="13"/>
      <c r="AF1033" s="14">
        <v>5.0086000000000004</v>
      </c>
      <c r="AG1033" s="133"/>
      <c r="AI1033" s="96"/>
      <c r="AL1033" s="64">
        <v>4.1718194000000004</v>
      </c>
      <c r="AM1033" s="56">
        <v>14.440000000000101</v>
      </c>
      <c r="AN1033" s="56">
        <v>16.34000000000011</v>
      </c>
      <c r="AO1033" s="62">
        <v>22.460000000000061</v>
      </c>
      <c r="AQ1033" s="64">
        <v>4.0811724500000004</v>
      </c>
      <c r="AR1033" s="56">
        <v>13.840000000000069</v>
      </c>
      <c r="AS1033" s="56">
        <v>15.240000000000011</v>
      </c>
      <c r="AT1033" s="62">
        <v>19.339999999999961</v>
      </c>
      <c r="AV1033" s="64">
        <v>3.7270782166666661</v>
      </c>
      <c r="AW1033" s="56">
        <v>13.45999999999998</v>
      </c>
      <c r="AX1033" s="56">
        <v>14.87999999999996</v>
      </c>
      <c r="AY1033" s="62">
        <v>19.61999999999993</v>
      </c>
      <c r="BA1033" s="64">
        <v>3.1804872166666671</v>
      </c>
      <c r="BB1033" s="56">
        <v>16.39999999999997</v>
      </c>
      <c r="BC1033" s="56">
        <v>18.900000000000009</v>
      </c>
      <c r="BD1033" s="62">
        <v>31.080000000000041</v>
      </c>
      <c r="BF1033" s="64">
        <v>2.9473721333333338</v>
      </c>
      <c r="BG1033" s="56">
        <v>19.480000000000079</v>
      </c>
      <c r="BH1033" s="56">
        <v>26.340000000000071</v>
      </c>
      <c r="BI1033" s="62">
        <v>54.120000000000083</v>
      </c>
      <c r="BJ1033" s="70"/>
      <c r="BK1033" s="51"/>
    </row>
    <row r="1034" spans="1:63" ht="17.25" customHeight="1" thickBot="1" x14ac:dyDescent="0.45">
      <c r="A1034" s="16" t="s">
        <v>1111</v>
      </c>
      <c r="B1034" s="4"/>
      <c r="C1034" s="4"/>
      <c r="D1034" s="4"/>
      <c r="E1034" s="12"/>
      <c r="G1034" s="147" t="s">
        <v>1111</v>
      </c>
      <c r="H1034" s="159">
        <v>69.948999999999998</v>
      </c>
      <c r="I1034" s="153">
        <v>70.38</v>
      </c>
      <c r="J1034" s="153">
        <v>70.27</v>
      </c>
      <c r="K1034" s="153">
        <v>70.36</v>
      </c>
      <c r="L1034" s="153">
        <v>70.400000000000006</v>
      </c>
      <c r="M1034" s="80">
        <f t="shared" si="32"/>
        <v>70.400000000000006</v>
      </c>
      <c r="N1034" s="80">
        <f t="shared" si="33"/>
        <v>70.27</v>
      </c>
      <c r="O1034" s="153">
        <v>21.17</v>
      </c>
      <c r="P1034" s="153">
        <v>21.11</v>
      </c>
      <c r="Q1034" s="153">
        <v>21.13</v>
      </c>
      <c r="R1034" s="153">
        <v>21.07</v>
      </c>
      <c r="S1034" s="4"/>
      <c r="U1034" s="147" t="s">
        <v>1111</v>
      </c>
      <c r="V1034" s="11"/>
      <c r="W1034" s="4"/>
      <c r="X1034" s="12"/>
      <c r="Y1034" s="14"/>
      <c r="Z1034" s="4"/>
      <c r="AA1034" s="13"/>
      <c r="AB1034" s="11"/>
      <c r="AC1034" s="4"/>
      <c r="AD1034" s="12"/>
      <c r="AE1034" s="13"/>
      <c r="AF1034" s="14">
        <v>5.0061</v>
      </c>
      <c r="AG1034" s="133"/>
      <c r="AI1034" s="96"/>
      <c r="AL1034" s="64">
        <v>4.1715274833333327</v>
      </c>
      <c r="AM1034" s="56">
        <v>15.38000000000004</v>
      </c>
      <c r="AN1034" s="56">
        <v>17.38</v>
      </c>
      <c r="AO1034" s="62">
        <v>23.70000000000001</v>
      </c>
      <c r="AQ1034" s="64">
        <v>4.0815616833333337</v>
      </c>
      <c r="AR1034" s="56">
        <v>14.920000000000041</v>
      </c>
      <c r="AS1034" s="56">
        <v>16.39999999999997</v>
      </c>
      <c r="AT1034" s="62">
        <v>20.679999999999939</v>
      </c>
      <c r="AV1034" s="64">
        <v>3.7270338166666659</v>
      </c>
      <c r="AW1034" s="56">
        <v>14.54000000000004</v>
      </c>
      <c r="AX1034" s="56">
        <v>16.04000000000001</v>
      </c>
      <c r="AY1034" s="62">
        <v>20.98000000000004</v>
      </c>
      <c r="BA1034" s="64">
        <v>3.178229050000001</v>
      </c>
      <c r="BB1034" s="56">
        <v>17.620000000000061</v>
      </c>
      <c r="BC1034" s="56">
        <v>20.239999999999991</v>
      </c>
      <c r="BD1034" s="62">
        <v>32.800000000000033</v>
      </c>
      <c r="BF1034" s="64">
        <v>2.9454724166666661</v>
      </c>
      <c r="BG1034" s="56">
        <v>20.820000000000061</v>
      </c>
      <c r="BH1034" s="56">
        <v>27.840000000000039</v>
      </c>
      <c r="BI1034" s="62">
        <v>56.02</v>
      </c>
      <c r="BJ1034" s="70"/>
      <c r="BK1034" s="51"/>
    </row>
    <row r="1035" spans="1:63" ht="17.25" customHeight="1" thickBot="1" x14ac:dyDescent="0.45">
      <c r="A1035" s="16" t="s">
        <v>1112</v>
      </c>
      <c r="B1035" s="4"/>
      <c r="C1035" s="4"/>
      <c r="D1035" s="4"/>
      <c r="E1035" s="12"/>
      <c r="G1035" s="147" t="s">
        <v>1112</v>
      </c>
      <c r="H1035" s="159">
        <v>70.072000000000003</v>
      </c>
      <c r="I1035" s="153">
        <v>70.33</v>
      </c>
      <c r="J1035" s="153">
        <v>70.3</v>
      </c>
      <c r="K1035" s="153">
        <v>70.36</v>
      </c>
      <c r="L1035" s="153">
        <v>70.38</v>
      </c>
      <c r="M1035" s="80">
        <f t="shared" si="32"/>
        <v>70.38</v>
      </c>
      <c r="N1035" s="80">
        <f t="shared" si="33"/>
        <v>70.3</v>
      </c>
      <c r="O1035" s="153">
        <v>21.19</v>
      </c>
      <c r="P1035" s="153">
        <v>21.06</v>
      </c>
      <c r="Q1035" s="153">
        <v>21.14</v>
      </c>
      <c r="R1035" s="153">
        <v>21.07</v>
      </c>
      <c r="S1035" s="4"/>
      <c r="U1035" s="147" t="s">
        <v>1112</v>
      </c>
      <c r="V1035" s="11"/>
      <c r="W1035" s="4"/>
      <c r="X1035" s="12"/>
      <c r="Y1035" s="14"/>
      <c r="Z1035" s="4"/>
      <c r="AA1035" s="13"/>
      <c r="AB1035" s="11"/>
      <c r="AC1035" s="4"/>
      <c r="AD1035" s="12"/>
      <c r="AE1035" s="13"/>
      <c r="AF1035" s="14">
        <v>5.0106999999999999</v>
      </c>
      <c r="AG1035" s="133"/>
      <c r="AI1035" s="96"/>
      <c r="AL1035" s="64">
        <v>4.1710572499999996</v>
      </c>
      <c r="AM1035" s="56">
        <v>15.72000000000013</v>
      </c>
      <c r="AN1035" s="56">
        <v>17.780000000000129</v>
      </c>
      <c r="AO1035" s="62">
        <v>24.200000000000092</v>
      </c>
      <c r="AQ1035" s="64">
        <v>4.0820289499999998</v>
      </c>
      <c r="AR1035" s="56">
        <v>15.32</v>
      </c>
      <c r="AS1035" s="56">
        <v>16.839999999999922</v>
      </c>
      <c r="AT1035" s="62">
        <v>21.15999999999989</v>
      </c>
      <c r="AV1035" s="64">
        <v>3.7278846666666658</v>
      </c>
      <c r="AW1035" s="56">
        <v>14.800000000000059</v>
      </c>
      <c r="AX1035" s="56">
        <v>16.320000000000071</v>
      </c>
      <c r="AY1035" s="62">
        <v>21.360000000000049</v>
      </c>
      <c r="BA1035" s="64">
        <v>3.1832737999999998</v>
      </c>
      <c r="BB1035" s="56">
        <v>17.72</v>
      </c>
      <c r="BC1035" s="56">
        <v>20.340000000000021</v>
      </c>
      <c r="BD1035" s="62">
        <v>32.880000000000017</v>
      </c>
      <c r="BF1035" s="64">
        <v>2.9456405499999998</v>
      </c>
      <c r="BG1035" s="56">
        <v>20.840000000000011</v>
      </c>
      <c r="BH1035" s="56">
        <v>27.299999999999969</v>
      </c>
      <c r="BI1035" s="62">
        <v>54.779999999999959</v>
      </c>
      <c r="BJ1035" s="70"/>
      <c r="BK1035" s="51"/>
    </row>
    <row r="1036" spans="1:63" ht="17.25" customHeight="1" thickBot="1" x14ac:dyDescent="0.45">
      <c r="A1036" s="16" t="s">
        <v>1113</v>
      </c>
      <c r="B1036" s="4"/>
      <c r="C1036" s="4"/>
      <c r="D1036" s="4"/>
      <c r="E1036" s="12"/>
      <c r="G1036" s="147" t="s">
        <v>1113</v>
      </c>
      <c r="H1036" s="159">
        <v>70.016000000000005</v>
      </c>
      <c r="I1036" s="153">
        <v>70.34</v>
      </c>
      <c r="J1036" s="153">
        <v>70.400000000000006</v>
      </c>
      <c r="K1036" s="153">
        <v>70.28</v>
      </c>
      <c r="L1036" s="153">
        <v>70.34</v>
      </c>
      <c r="M1036" s="80">
        <f t="shared" si="32"/>
        <v>70.400000000000006</v>
      </c>
      <c r="N1036" s="80">
        <f t="shared" si="33"/>
        <v>70.28</v>
      </c>
      <c r="O1036" s="153">
        <v>21.15</v>
      </c>
      <c r="P1036" s="153">
        <v>20.99</v>
      </c>
      <c r="Q1036" s="153">
        <v>21.16</v>
      </c>
      <c r="R1036" s="153">
        <v>21.05</v>
      </c>
      <c r="S1036" s="4"/>
      <c r="U1036" s="147" t="s">
        <v>1113</v>
      </c>
      <c r="V1036" s="11"/>
      <c r="W1036" s="4"/>
      <c r="X1036" s="12"/>
      <c r="Y1036" s="14"/>
      <c r="Z1036" s="4"/>
      <c r="AA1036" s="13"/>
      <c r="AB1036" s="11"/>
      <c r="AC1036" s="4"/>
      <c r="AD1036" s="12"/>
      <c r="AE1036" s="13"/>
      <c r="AF1036" s="14">
        <v>5.0427999999999997</v>
      </c>
      <c r="AG1036" s="133"/>
      <c r="AI1036" s="96"/>
      <c r="AL1036" s="64">
        <v>4.1724640666666666</v>
      </c>
      <c r="AM1036" s="56">
        <v>14.13999999999991</v>
      </c>
      <c r="AN1036" s="56">
        <v>16.039999999999921</v>
      </c>
      <c r="AO1036" s="62">
        <v>22.21999999999991</v>
      </c>
      <c r="AQ1036" s="64">
        <v>4.0808438666666662</v>
      </c>
      <c r="AR1036" s="56">
        <v>13.51999999999993</v>
      </c>
      <c r="AS1036" s="56">
        <v>14.89999999999991</v>
      </c>
      <c r="AT1036" s="62">
        <v>18.959999999999951</v>
      </c>
      <c r="AV1036" s="64">
        <v>3.7270003333333328</v>
      </c>
      <c r="AW1036" s="56">
        <v>13.100000000000019</v>
      </c>
      <c r="AX1036" s="56">
        <v>14.50000000000005</v>
      </c>
      <c r="AY1036" s="62">
        <v>19.200000000000021</v>
      </c>
      <c r="BA1036" s="64">
        <v>3.187411383333334</v>
      </c>
      <c r="BB1036" s="56">
        <v>16.05999999999996</v>
      </c>
      <c r="BC1036" s="56">
        <v>18.480000000000011</v>
      </c>
      <c r="BD1036" s="62">
        <v>30.379999999999981</v>
      </c>
      <c r="BF1036" s="64">
        <v>2.953548633333333</v>
      </c>
      <c r="BG1036" s="56">
        <v>19.179999999999971</v>
      </c>
      <c r="BH1036" s="56">
        <v>25.739999999999959</v>
      </c>
      <c r="BI1036" s="62">
        <v>52.660000000000018</v>
      </c>
      <c r="BJ1036" s="70"/>
      <c r="BK1036" s="51"/>
    </row>
    <row r="1037" spans="1:63" ht="17.25" customHeight="1" thickBot="1" x14ac:dyDescent="0.45">
      <c r="A1037" s="16" t="s">
        <v>1114</v>
      </c>
      <c r="B1037" s="4"/>
      <c r="C1037" s="4"/>
      <c r="D1037" s="4"/>
      <c r="E1037" s="12"/>
      <c r="G1037" s="147" t="s">
        <v>1114</v>
      </c>
      <c r="H1037" s="159">
        <v>70.063999999999993</v>
      </c>
      <c r="I1037" s="153">
        <v>70.36</v>
      </c>
      <c r="J1037" s="153">
        <v>70.38</v>
      </c>
      <c r="K1037" s="153">
        <v>70.290000000000006</v>
      </c>
      <c r="L1037" s="153">
        <v>70.37</v>
      </c>
      <c r="M1037" s="80">
        <f t="shared" si="32"/>
        <v>70.38</v>
      </c>
      <c r="N1037" s="80">
        <f t="shared" si="33"/>
        <v>70.290000000000006</v>
      </c>
      <c r="O1037" s="153">
        <v>21.1</v>
      </c>
      <c r="P1037" s="153">
        <v>21.1</v>
      </c>
      <c r="Q1037" s="153">
        <v>21.11</v>
      </c>
      <c r="R1037" s="153">
        <v>21.01</v>
      </c>
      <c r="S1037" s="4"/>
      <c r="U1037" s="147" t="s">
        <v>1114</v>
      </c>
      <c r="V1037" s="11"/>
      <c r="W1037" s="4"/>
      <c r="X1037" s="12"/>
      <c r="Y1037" s="14"/>
      <c r="Z1037" s="4"/>
      <c r="AA1037" s="13"/>
      <c r="AB1037" s="11"/>
      <c r="AC1037" s="4"/>
      <c r="AD1037" s="12"/>
      <c r="AE1037" s="13"/>
      <c r="AF1037" s="14">
        <v>5.0296000000000003</v>
      </c>
      <c r="AG1037" s="133"/>
      <c r="AI1037" s="96"/>
      <c r="AL1037" s="64">
        <v>4.1724436833333334</v>
      </c>
      <c r="AM1037" s="56">
        <v>14.19999999999995</v>
      </c>
      <c r="AN1037" s="56">
        <v>16.119999999999909</v>
      </c>
      <c r="AO1037" s="62">
        <v>22.320000000000029</v>
      </c>
      <c r="AQ1037" s="64">
        <v>4.0819091999999992</v>
      </c>
      <c r="AR1037" s="56">
        <v>13.81999999999994</v>
      </c>
      <c r="AS1037" s="56">
        <v>15.220000000000059</v>
      </c>
      <c r="AT1037" s="62">
        <v>19.32</v>
      </c>
      <c r="AV1037" s="64">
        <v>3.7278653666666659</v>
      </c>
      <c r="AW1037" s="56">
        <v>13.400000000000031</v>
      </c>
      <c r="AX1037" s="56">
        <v>14.799999999999971</v>
      </c>
      <c r="AY1037" s="62">
        <v>19.54000000000002</v>
      </c>
      <c r="BA1037" s="64">
        <v>3.1852974166666659</v>
      </c>
      <c r="BB1037" s="56">
        <v>16.54</v>
      </c>
      <c r="BC1037" s="56">
        <v>19.019999999999989</v>
      </c>
      <c r="BD1037" s="62">
        <v>31.12000000000004</v>
      </c>
      <c r="BF1037" s="64">
        <v>2.9546065666666661</v>
      </c>
      <c r="BG1037" s="56">
        <v>19.620000000000019</v>
      </c>
      <c r="BH1037" s="56">
        <v>26.28000000000004</v>
      </c>
      <c r="BI1037" s="62">
        <v>53.380000000000017</v>
      </c>
      <c r="BJ1037" s="70"/>
      <c r="BK1037" s="51"/>
    </row>
    <row r="1038" spans="1:63" ht="17.25" customHeight="1" thickBot="1" x14ac:dyDescent="0.45">
      <c r="A1038" s="16" t="s">
        <v>1115</v>
      </c>
      <c r="B1038" s="4"/>
      <c r="C1038" s="4"/>
      <c r="D1038" s="4"/>
      <c r="E1038" s="12"/>
      <c r="G1038" s="147" t="s">
        <v>1115</v>
      </c>
      <c r="H1038" s="159">
        <v>70.138999999999996</v>
      </c>
      <c r="I1038" s="153">
        <v>70.34</v>
      </c>
      <c r="J1038" s="153">
        <v>70.319999999999993</v>
      </c>
      <c r="K1038" s="153">
        <v>70.290000000000006</v>
      </c>
      <c r="L1038" s="153">
        <v>70.38</v>
      </c>
      <c r="M1038" s="80">
        <f t="shared" si="32"/>
        <v>70.38</v>
      </c>
      <c r="N1038" s="80">
        <f t="shared" si="33"/>
        <v>70.290000000000006</v>
      </c>
      <c r="O1038" s="153">
        <v>21.18</v>
      </c>
      <c r="P1038" s="153">
        <v>21.12</v>
      </c>
      <c r="Q1038" s="153">
        <v>21.16</v>
      </c>
      <c r="R1038" s="153">
        <v>21.14</v>
      </c>
      <c r="S1038" s="4"/>
      <c r="U1038" s="147" t="s">
        <v>1115</v>
      </c>
      <c r="V1038" s="11"/>
      <c r="W1038" s="4"/>
      <c r="X1038" s="12"/>
      <c r="Y1038" s="14"/>
      <c r="Z1038" s="4"/>
      <c r="AA1038" s="13"/>
      <c r="AB1038" s="11"/>
      <c r="AC1038" s="4"/>
      <c r="AD1038" s="12"/>
      <c r="AE1038" s="13"/>
      <c r="AF1038" s="14">
        <v>5.0286999999999997</v>
      </c>
      <c r="AG1038" s="133"/>
      <c r="AI1038" s="96"/>
      <c r="AL1038" s="64">
        <v>4.1723001833333333</v>
      </c>
      <c r="AM1038" s="56">
        <v>14.1</v>
      </c>
      <c r="AN1038" s="56">
        <v>16.060000000000048</v>
      </c>
      <c r="AO1038" s="62">
        <v>22.240000000000041</v>
      </c>
      <c r="AQ1038" s="64">
        <v>4.0816626499999993</v>
      </c>
      <c r="AR1038" s="56">
        <v>13.79999999999999</v>
      </c>
      <c r="AS1038" s="56">
        <v>15.199999999999919</v>
      </c>
      <c r="AT1038" s="62">
        <v>19.279999999999919</v>
      </c>
      <c r="AV1038" s="64">
        <v>3.7284107333333329</v>
      </c>
      <c r="AW1038" s="56">
        <v>13.439999999999941</v>
      </c>
      <c r="AX1038" s="56">
        <v>14.86000000000001</v>
      </c>
      <c r="AY1038" s="62">
        <v>19.58000000000002</v>
      </c>
      <c r="BA1038" s="64">
        <v>3.1908800833333339</v>
      </c>
      <c r="BB1038" s="56">
        <v>16.54</v>
      </c>
      <c r="BC1038" s="56">
        <v>18.99999999999995</v>
      </c>
      <c r="BD1038" s="62">
        <v>30.899999999999931</v>
      </c>
      <c r="BF1038" s="64">
        <v>2.953441133333333</v>
      </c>
      <c r="BG1038" s="56">
        <v>19.680000000000049</v>
      </c>
      <c r="BH1038" s="56">
        <v>26.06000000000002</v>
      </c>
      <c r="BI1038" s="62">
        <v>52.840000000000039</v>
      </c>
      <c r="BJ1038" s="70"/>
      <c r="BK1038" s="51"/>
    </row>
    <row r="1039" spans="1:63" ht="17.25" customHeight="1" thickBot="1" x14ac:dyDescent="0.45">
      <c r="A1039" s="16" t="s">
        <v>1116</v>
      </c>
      <c r="B1039" s="4"/>
      <c r="C1039" s="4"/>
      <c r="D1039" s="4"/>
      <c r="E1039" s="12"/>
      <c r="G1039" s="147" t="s">
        <v>1116</v>
      </c>
      <c r="H1039" s="159">
        <v>70.114999999999995</v>
      </c>
      <c r="I1039" s="153">
        <v>70.290000000000006</v>
      </c>
      <c r="J1039" s="153">
        <v>70.31</v>
      </c>
      <c r="K1039" s="153">
        <v>70.31</v>
      </c>
      <c r="L1039" s="153">
        <v>70.38</v>
      </c>
      <c r="M1039" s="80">
        <f t="shared" si="32"/>
        <v>70.38</v>
      </c>
      <c r="N1039" s="80">
        <f t="shared" si="33"/>
        <v>70.290000000000006</v>
      </c>
      <c r="O1039" s="153">
        <v>21.15</v>
      </c>
      <c r="P1039" s="153">
        <v>21.13</v>
      </c>
      <c r="Q1039" s="153">
        <v>21.11</v>
      </c>
      <c r="R1039" s="153">
        <v>21.03</v>
      </c>
      <c r="S1039" s="4"/>
      <c r="U1039" s="147" t="s">
        <v>1116</v>
      </c>
      <c r="V1039" s="11"/>
      <c r="W1039" s="4"/>
      <c r="X1039" s="12"/>
      <c r="Y1039" s="14"/>
      <c r="Z1039" s="4"/>
      <c r="AA1039" s="13"/>
      <c r="AB1039" s="11"/>
      <c r="AC1039" s="4"/>
      <c r="AD1039" s="12"/>
      <c r="AE1039" s="13"/>
      <c r="AF1039" s="14">
        <v>5.0064000000000002</v>
      </c>
      <c r="AG1039" s="133"/>
      <c r="AI1039" s="96"/>
      <c r="AL1039" s="64">
        <v>4.1718523999999997</v>
      </c>
      <c r="AM1039" s="56">
        <v>13.56000000000002</v>
      </c>
      <c r="AN1039" s="56">
        <v>15.460000000000029</v>
      </c>
      <c r="AO1039" s="62">
        <v>21.59999999999993</v>
      </c>
      <c r="AQ1039" s="64">
        <v>4.0831699333333322</v>
      </c>
      <c r="AR1039" s="56">
        <v>13.480000000000031</v>
      </c>
      <c r="AS1039" s="56">
        <v>14.87999999999996</v>
      </c>
      <c r="AT1039" s="62">
        <v>18.89999999999992</v>
      </c>
      <c r="AV1039" s="64">
        <v>3.7297642500000001</v>
      </c>
      <c r="AW1039" s="56">
        <v>13.080000000000069</v>
      </c>
      <c r="AX1039" s="56">
        <v>14.460000000000051</v>
      </c>
      <c r="AY1039" s="62">
        <v>19.140000000000072</v>
      </c>
      <c r="BA1039" s="64">
        <v>3.1918699166666671</v>
      </c>
      <c r="BB1039" s="56">
        <v>15.96000000000002</v>
      </c>
      <c r="BC1039" s="56">
        <v>18.380000000000059</v>
      </c>
      <c r="BD1039" s="62">
        <v>30.18000000000001</v>
      </c>
      <c r="BF1039" s="64">
        <v>2.9556695166666671</v>
      </c>
      <c r="BG1039" s="56">
        <v>19.039999999999949</v>
      </c>
      <c r="BH1039" s="56">
        <v>25.499999999999989</v>
      </c>
      <c r="BI1039" s="62">
        <v>52.320000000000007</v>
      </c>
      <c r="BJ1039" s="70"/>
      <c r="BK1039" s="51"/>
    </row>
    <row r="1040" spans="1:63" ht="17.25" customHeight="1" thickBot="1" x14ac:dyDescent="0.45">
      <c r="A1040" s="16" t="s">
        <v>1117</v>
      </c>
      <c r="B1040" s="4"/>
      <c r="C1040" s="4"/>
      <c r="D1040" s="4"/>
      <c r="E1040" s="12"/>
      <c r="G1040" s="147" t="s">
        <v>1117</v>
      </c>
      <c r="H1040" s="159">
        <v>70.046000000000006</v>
      </c>
      <c r="I1040" s="153">
        <v>70.36</v>
      </c>
      <c r="J1040" s="153">
        <v>70.37</v>
      </c>
      <c r="K1040" s="153">
        <v>70.3</v>
      </c>
      <c r="L1040" s="153">
        <v>70.349999999999994</v>
      </c>
      <c r="M1040" s="80">
        <f t="shared" si="32"/>
        <v>70.37</v>
      </c>
      <c r="N1040" s="80">
        <f t="shared" si="33"/>
        <v>70.3</v>
      </c>
      <c r="O1040" s="153">
        <v>21.16</v>
      </c>
      <c r="P1040" s="153">
        <v>21.04</v>
      </c>
      <c r="Q1040" s="153">
        <v>21.1</v>
      </c>
      <c r="R1040" s="153">
        <v>21.08</v>
      </c>
      <c r="S1040" s="4"/>
      <c r="U1040" s="147" t="s">
        <v>1117</v>
      </c>
      <c r="V1040" s="11"/>
      <c r="W1040" s="4"/>
      <c r="X1040" s="12"/>
      <c r="Y1040" s="14"/>
      <c r="Z1040" s="4"/>
      <c r="AA1040" s="13"/>
      <c r="AB1040" s="11"/>
      <c r="AC1040" s="4"/>
      <c r="AD1040" s="12"/>
      <c r="AE1040" s="13"/>
      <c r="AF1040" s="14">
        <v>5.0045999999999999</v>
      </c>
      <c r="AG1040" s="133"/>
      <c r="AI1040" s="96"/>
      <c r="AL1040" s="64">
        <v>4.1717875166666669</v>
      </c>
      <c r="AM1040" s="56">
        <v>14.460000000000051</v>
      </c>
      <c r="AN1040" s="56">
        <v>16.420000000000101</v>
      </c>
      <c r="AO1040" s="62">
        <v>22.579999999999959</v>
      </c>
      <c r="AQ1040" s="64">
        <v>4.080581866666666</v>
      </c>
      <c r="AR1040" s="56">
        <v>13.899999999999929</v>
      </c>
      <c r="AS1040" s="56">
        <v>15.299999999999869</v>
      </c>
      <c r="AT1040" s="62">
        <v>19.419999999999948</v>
      </c>
      <c r="AV1040" s="64">
        <v>3.7274497000000002</v>
      </c>
      <c r="AW1040" s="56">
        <v>13.44000000000003</v>
      </c>
      <c r="AX1040" s="56">
        <v>14.86000000000001</v>
      </c>
      <c r="AY1040" s="62">
        <v>19.620000000000019</v>
      </c>
      <c r="BA1040" s="64">
        <v>3.1856760999999998</v>
      </c>
      <c r="BB1040" s="56">
        <v>16.760000000000019</v>
      </c>
      <c r="BC1040" s="56">
        <v>19.240000000000009</v>
      </c>
      <c r="BD1040" s="62">
        <v>31.320000000000011</v>
      </c>
      <c r="BF1040" s="64">
        <v>2.9506893166666668</v>
      </c>
      <c r="BG1040" s="56">
        <v>19.859999999999989</v>
      </c>
      <c r="BH1040" s="56">
        <v>26.31999999999994</v>
      </c>
      <c r="BI1040" s="62">
        <v>53.379999999999939</v>
      </c>
      <c r="BJ1040" s="70"/>
      <c r="BK1040" s="51"/>
    </row>
    <row r="1041" spans="1:63" ht="17.25" customHeight="1" thickBot="1" x14ac:dyDescent="0.45">
      <c r="A1041" s="16" t="s">
        <v>1118</v>
      </c>
      <c r="B1041" s="4"/>
      <c r="C1041" s="4"/>
      <c r="D1041" s="4"/>
      <c r="E1041" s="12"/>
      <c r="G1041" s="147" t="s">
        <v>1118</v>
      </c>
      <c r="H1041" s="159">
        <v>69.954999999999998</v>
      </c>
      <c r="I1041" s="153">
        <v>70.34</v>
      </c>
      <c r="J1041" s="153">
        <v>70.38</v>
      </c>
      <c r="K1041" s="153">
        <v>70.39</v>
      </c>
      <c r="L1041" s="153">
        <v>70.27</v>
      </c>
      <c r="M1041" s="80">
        <f t="shared" si="32"/>
        <v>70.39</v>
      </c>
      <c r="N1041" s="80">
        <f t="shared" si="33"/>
        <v>70.27</v>
      </c>
      <c r="O1041" s="153">
        <v>21.13</v>
      </c>
      <c r="P1041" s="153">
        <v>21.08</v>
      </c>
      <c r="Q1041" s="153">
        <v>21.16</v>
      </c>
      <c r="R1041" s="153">
        <v>21.1</v>
      </c>
      <c r="S1041" s="4"/>
      <c r="U1041" s="147" t="s">
        <v>1118</v>
      </c>
      <c r="V1041" s="11"/>
      <c r="W1041" s="4"/>
      <c r="X1041" s="12"/>
      <c r="Y1041" s="14"/>
      <c r="Z1041" s="4"/>
      <c r="AA1041" s="13"/>
      <c r="AB1041" s="11"/>
      <c r="AC1041" s="4"/>
      <c r="AD1041" s="12"/>
      <c r="AE1041" s="13"/>
      <c r="AF1041" s="14">
        <v>5.0133000000000001</v>
      </c>
      <c r="AG1041" s="133"/>
      <c r="AI1041" s="96"/>
      <c r="AL1041" s="64">
        <v>4.1714067166666666</v>
      </c>
      <c r="AM1041" s="56">
        <v>14.30000000000007</v>
      </c>
      <c r="AN1041" s="56">
        <v>16.239999999999991</v>
      </c>
      <c r="AO1041" s="62">
        <v>22.339999999999979</v>
      </c>
      <c r="AQ1041" s="64">
        <v>4.0806133999999989</v>
      </c>
      <c r="AR1041" s="56">
        <v>13.659999999999959</v>
      </c>
      <c r="AS1041" s="56">
        <v>15.04000000000012</v>
      </c>
      <c r="AT1041" s="62">
        <v>19.140000000000072</v>
      </c>
      <c r="AV1041" s="64">
        <v>3.7265909000000002</v>
      </c>
      <c r="AW1041" s="56">
        <v>13.22000000000001</v>
      </c>
      <c r="AX1041" s="56">
        <v>14.599999999999991</v>
      </c>
      <c r="AY1041" s="62">
        <v>19.30000000000005</v>
      </c>
      <c r="BA1041" s="64">
        <v>3.1782751166666658</v>
      </c>
      <c r="BB1041" s="56">
        <v>16.319999999999979</v>
      </c>
      <c r="BC1041" s="56">
        <v>18.839999999999971</v>
      </c>
      <c r="BD1041" s="62">
        <v>31.219999999999981</v>
      </c>
      <c r="BF1041" s="64">
        <v>2.9515268333333329</v>
      </c>
      <c r="BG1041" s="56">
        <v>19.32</v>
      </c>
      <c r="BH1041" s="56">
        <v>26.020000000000021</v>
      </c>
      <c r="BI1041" s="62">
        <v>53.460000000000022</v>
      </c>
      <c r="BJ1041" s="70"/>
      <c r="BK1041" s="51"/>
    </row>
    <row r="1042" spans="1:63" ht="17.25" customHeight="1" thickBot="1" x14ac:dyDescent="0.45">
      <c r="A1042" s="16" t="s">
        <v>1119</v>
      </c>
      <c r="B1042" s="4"/>
      <c r="C1042" s="4"/>
      <c r="D1042" s="4"/>
      <c r="E1042" s="12"/>
      <c r="G1042" s="147" t="s">
        <v>1119</v>
      </c>
      <c r="H1042" s="159">
        <v>69.914000000000001</v>
      </c>
      <c r="I1042" s="153">
        <v>70.36</v>
      </c>
      <c r="J1042" s="153">
        <v>70.28</v>
      </c>
      <c r="K1042" s="153">
        <v>70.34</v>
      </c>
      <c r="L1042" s="153">
        <v>70.31</v>
      </c>
      <c r="M1042" s="80">
        <f t="shared" si="32"/>
        <v>70.36</v>
      </c>
      <c r="N1042" s="80">
        <f t="shared" si="33"/>
        <v>70.28</v>
      </c>
      <c r="O1042" s="153">
        <v>21.17</v>
      </c>
      <c r="P1042" s="153">
        <v>21.09</v>
      </c>
      <c r="Q1042" s="153">
        <v>21.08</v>
      </c>
      <c r="R1042" s="153">
        <v>21.07</v>
      </c>
      <c r="S1042" s="4"/>
      <c r="U1042" s="147" t="s">
        <v>1119</v>
      </c>
      <c r="V1042" s="11"/>
      <c r="W1042" s="4"/>
      <c r="X1042" s="12"/>
      <c r="Y1042" s="14"/>
      <c r="Z1042" s="4"/>
      <c r="AA1042" s="13"/>
      <c r="AB1042" s="11"/>
      <c r="AC1042" s="4"/>
      <c r="AD1042" s="12"/>
      <c r="AE1042" s="13"/>
      <c r="AF1042" s="14">
        <v>5.0072999999999999</v>
      </c>
      <c r="AG1042" s="133"/>
      <c r="AI1042" s="96"/>
      <c r="AL1042" s="64">
        <v>4.1716731833333327</v>
      </c>
      <c r="AM1042" s="56">
        <v>14.459999999999869</v>
      </c>
      <c r="AN1042" s="56">
        <v>16.379999999999839</v>
      </c>
      <c r="AO1042" s="62">
        <v>22.499999999999961</v>
      </c>
      <c r="AQ1042" s="64">
        <v>4.0807289999999989</v>
      </c>
      <c r="AR1042" s="56">
        <v>13.879999999999979</v>
      </c>
      <c r="AS1042" s="56">
        <v>15.279999999999919</v>
      </c>
      <c r="AT1042" s="62">
        <v>19.399999999999999</v>
      </c>
      <c r="AV1042" s="64">
        <v>3.726347716666667</v>
      </c>
      <c r="AW1042" s="56">
        <v>13.56000000000002</v>
      </c>
      <c r="AX1042" s="56">
        <v>14.959999999999949</v>
      </c>
      <c r="AY1042" s="62">
        <v>19.71999999999996</v>
      </c>
      <c r="BA1042" s="64">
        <v>3.1792644833333328</v>
      </c>
      <c r="BB1042" s="56">
        <v>16.300000000000029</v>
      </c>
      <c r="BC1042" s="56">
        <v>18.799999999999969</v>
      </c>
      <c r="BD1042" s="62">
        <v>31.03999999999996</v>
      </c>
      <c r="BF1042" s="64">
        <v>2.9510796500000001</v>
      </c>
      <c r="BG1042" s="56">
        <v>19.380000000000042</v>
      </c>
      <c r="BH1042" s="56">
        <v>26.06000000000002</v>
      </c>
      <c r="BI1042" s="62">
        <v>53.519999999999968</v>
      </c>
      <c r="BJ1042" s="70"/>
      <c r="BK1042" s="51"/>
    </row>
    <row r="1043" spans="1:63" ht="17.25" customHeight="1" thickBot="1" x14ac:dyDescent="0.45">
      <c r="A1043" s="16" t="s">
        <v>1120</v>
      </c>
      <c r="B1043" s="4"/>
      <c r="C1043" s="4"/>
      <c r="D1043" s="4"/>
      <c r="E1043" s="12"/>
      <c r="G1043" s="147" t="s">
        <v>1120</v>
      </c>
      <c r="H1043" s="159">
        <v>70.001000000000005</v>
      </c>
      <c r="I1043" s="153">
        <v>70.31</v>
      </c>
      <c r="J1043" s="153">
        <v>70.319999999999993</v>
      </c>
      <c r="K1043" s="153">
        <v>70.349999999999994</v>
      </c>
      <c r="L1043" s="153">
        <v>70.31</v>
      </c>
      <c r="M1043" s="80">
        <f t="shared" si="32"/>
        <v>70.349999999999994</v>
      </c>
      <c r="N1043" s="80">
        <f t="shared" si="33"/>
        <v>70.31</v>
      </c>
      <c r="O1043" s="153">
        <v>21.18</v>
      </c>
      <c r="P1043" s="153">
        <v>21.08</v>
      </c>
      <c r="Q1043" s="153">
        <v>21.1</v>
      </c>
      <c r="R1043" s="153">
        <v>21.05</v>
      </c>
      <c r="S1043" s="4"/>
      <c r="U1043" s="147" t="s">
        <v>1120</v>
      </c>
      <c r="V1043" s="11"/>
      <c r="W1043" s="4"/>
      <c r="X1043" s="12"/>
      <c r="Y1043" s="14"/>
      <c r="Z1043" s="4"/>
      <c r="AA1043" s="13"/>
      <c r="AB1043" s="11"/>
      <c r="AC1043" s="4"/>
      <c r="AD1043" s="12"/>
      <c r="AE1043" s="13"/>
      <c r="AF1043" s="14">
        <v>5.0027999999999997</v>
      </c>
      <c r="AG1043" s="133"/>
      <c r="AI1043" s="96"/>
      <c r="AL1043" s="64">
        <v>4.1712628333333326</v>
      </c>
      <c r="AM1043" s="56">
        <v>15.11999999999993</v>
      </c>
      <c r="AN1043" s="56">
        <v>17.119999999999891</v>
      </c>
      <c r="AO1043" s="62">
        <v>23.419999999999948</v>
      </c>
      <c r="AQ1043" s="64">
        <v>4.0812791666666657</v>
      </c>
      <c r="AR1043" s="56">
        <v>14.86000000000001</v>
      </c>
      <c r="AS1043" s="56">
        <v>16.319999999999979</v>
      </c>
      <c r="AT1043" s="62">
        <v>20.599999999999952</v>
      </c>
      <c r="AV1043" s="64">
        <v>3.7268422833333328</v>
      </c>
      <c r="AW1043" s="56">
        <v>14.28000000000003</v>
      </c>
      <c r="AX1043" s="56">
        <v>15.74</v>
      </c>
      <c r="AY1043" s="62">
        <v>20.61999999999999</v>
      </c>
      <c r="BA1043" s="64">
        <v>3.178912466666667</v>
      </c>
      <c r="BB1043" s="56">
        <v>17.539999999999981</v>
      </c>
      <c r="BC1043" s="56">
        <v>20.119999999999919</v>
      </c>
      <c r="BD1043" s="62">
        <v>32.659999999999997</v>
      </c>
      <c r="BF1043" s="64">
        <v>2.9481498166666671</v>
      </c>
      <c r="BG1043" s="56">
        <v>20.58</v>
      </c>
      <c r="BH1043" s="56">
        <v>27.559999999999981</v>
      </c>
      <c r="BI1043" s="62">
        <v>55.480000000000018</v>
      </c>
      <c r="BJ1043" s="70"/>
      <c r="BK1043" s="51"/>
    </row>
    <row r="1044" spans="1:63" ht="17.25" customHeight="1" thickBot="1" x14ac:dyDescent="0.45">
      <c r="A1044" s="16" t="s">
        <v>1121</v>
      </c>
      <c r="B1044" s="4"/>
      <c r="C1044" s="4"/>
      <c r="D1044" s="4"/>
      <c r="E1044" s="12"/>
      <c r="G1044" s="147" t="s">
        <v>1121</v>
      </c>
      <c r="H1044" s="159">
        <v>70.012</v>
      </c>
      <c r="I1044" s="153">
        <v>70.37</v>
      </c>
      <c r="J1044" s="153">
        <v>70.319999999999993</v>
      </c>
      <c r="K1044" s="153">
        <v>70.28</v>
      </c>
      <c r="L1044" s="153">
        <v>70.37</v>
      </c>
      <c r="M1044" s="80">
        <f t="shared" si="32"/>
        <v>70.37</v>
      </c>
      <c r="N1044" s="80">
        <f t="shared" si="33"/>
        <v>70.28</v>
      </c>
      <c r="O1044" s="153">
        <v>21.12</v>
      </c>
      <c r="P1044" s="153">
        <v>21.09</v>
      </c>
      <c r="Q1044" s="153">
        <v>21.13</v>
      </c>
      <c r="R1044" s="153">
        <v>21.09</v>
      </c>
      <c r="S1044" s="4"/>
      <c r="U1044" s="147" t="s">
        <v>1121</v>
      </c>
      <c r="V1044" s="11"/>
      <c r="W1044" s="4"/>
      <c r="X1044" s="12"/>
      <c r="Y1044" s="14"/>
      <c r="Z1044" s="4"/>
      <c r="AA1044" s="13"/>
      <c r="AB1044" s="11"/>
      <c r="AC1044" s="4"/>
      <c r="AD1044" s="12"/>
      <c r="AE1044" s="13"/>
      <c r="AF1044" s="14">
        <v>5.0063000000000004</v>
      </c>
      <c r="AG1044" s="133"/>
      <c r="AI1044" s="96"/>
      <c r="AL1044" s="64">
        <v>4.1717042833333329</v>
      </c>
      <c r="AM1044" s="56">
        <v>14.179999999999991</v>
      </c>
      <c r="AN1044" s="56">
        <v>16.119999999999909</v>
      </c>
      <c r="AO1044" s="62">
        <v>22.21999999999991</v>
      </c>
      <c r="AQ1044" s="64">
        <v>4.0822955000000016</v>
      </c>
      <c r="AR1044" s="56">
        <v>14.19999999999995</v>
      </c>
      <c r="AS1044" s="56">
        <v>15.62000000000001</v>
      </c>
      <c r="AT1044" s="62">
        <v>19.739999999999998</v>
      </c>
      <c r="AV1044" s="64">
        <v>3.7285412999999989</v>
      </c>
      <c r="AW1044" s="56">
        <v>13.58000000000006</v>
      </c>
      <c r="AX1044" s="56">
        <v>14.97999999999999</v>
      </c>
      <c r="AY1044" s="62">
        <v>19.720000000000049</v>
      </c>
      <c r="BA1044" s="64">
        <v>3.182665833333334</v>
      </c>
      <c r="BB1044" s="56">
        <v>16.439999999999969</v>
      </c>
      <c r="BC1044" s="56">
        <v>18.919999999999959</v>
      </c>
      <c r="BD1044" s="62">
        <v>31.03999999999996</v>
      </c>
      <c r="BF1044" s="64">
        <v>2.9476599999999999</v>
      </c>
      <c r="BG1044" s="56">
        <v>19.58000000000002</v>
      </c>
      <c r="BH1044" s="56">
        <v>26.360000000000031</v>
      </c>
      <c r="BI1044" s="62">
        <v>54.139999999999937</v>
      </c>
      <c r="BJ1044" s="70"/>
      <c r="BK1044" s="51"/>
    </row>
    <row r="1045" spans="1:63" ht="17.25" customHeight="1" thickBot="1" x14ac:dyDescent="0.45">
      <c r="A1045" s="16" t="s">
        <v>1122</v>
      </c>
      <c r="B1045" s="4"/>
      <c r="C1045" s="4"/>
      <c r="D1045" s="4"/>
      <c r="E1045" s="12"/>
      <c r="G1045" s="147" t="s">
        <v>1122</v>
      </c>
      <c r="H1045" s="159">
        <v>70.006</v>
      </c>
      <c r="I1045" s="153">
        <v>70.31</v>
      </c>
      <c r="J1045" s="153">
        <v>70.33</v>
      </c>
      <c r="K1045" s="153">
        <v>70.36</v>
      </c>
      <c r="L1045" s="153">
        <v>70.31</v>
      </c>
      <c r="M1045" s="80">
        <f t="shared" si="32"/>
        <v>70.36</v>
      </c>
      <c r="N1045" s="80">
        <f t="shared" si="33"/>
        <v>70.31</v>
      </c>
      <c r="O1045" s="153">
        <v>21.22</v>
      </c>
      <c r="P1045" s="153">
        <v>21.06</v>
      </c>
      <c r="Q1045" s="153">
        <v>21.14</v>
      </c>
      <c r="R1045" s="153">
        <v>21.1</v>
      </c>
      <c r="S1045" s="4"/>
      <c r="U1045" s="147" t="s">
        <v>1122</v>
      </c>
      <c r="V1045" s="11"/>
      <c r="W1045" s="4"/>
      <c r="X1045" s="12"/>
      <c r="Y1045" s="14"/>
      <c r="Z1045" s="4"/>
      <c r="AA1045" s="13"/>
      <c r="AB1045" s="11"/>
      <c r="AC1045" s="4"/>
      <c r="AD1045" s="12"/>
      <c r="AE1045" s="13"/>
      <c r="AF1045" s="14">
        <v>4.9911000000000003</v>
      </c>
      <c r="AG1045" s="133"/>
      <c r="AI1045" s="96"/>
      <c r="AL1045" s="64">
        <v>4.171177983333334</v>
      </c>
      <c r="AM1045" s="56">
        <v>14.920000000000041</v>
      </c>
      <c r="AN1045" s="56">
        <v>16.900000000000048</v>
      </c>
      <c r="AO1045" s="62">
        <v>23.199999999999928</v>
      </c>
      <c r="AQ1045" s="64">
        <v>4.0817961666666669</v>
      </c>
      <c r="AR1045" s="56">
        <v>14.48</v>
      </c>
      <c r="AS1045" s="56">
        <v>15.920000000000019</v>
      </c>
      <c r="AT1045" s="62">
        <v>20.100000000000051</v>
      </c>
      <c r="AV1045" s="64">
        <v>3.7277732833333328</v>
      </c>
      <c r="AW1045" s="56">
        <v>14.03999999999996</v>
      </c>
      <c r="AX1045" s="56">
        <v>15.49999999999994</v>
      </c>
      <c r="AY1045" s="62">
        <v>20.379999999999932</v>
      </c>
      <c r="BA1045" s="64">
        <v>3.183687733333334</v>
      </c>
      <c r="BB1045" s="56">
        <v>16.96</v>
      </c>
      <c r="BC1045" s="56">
        <v>19.500000000000028</v>
      </c>
      <c r="BD1045" s="62">
        <v>31.86</v>
      </c>
      <c r="BF1045" s="64">
        <v>2.9500434333333341</v>
      </c>
      <c r="BG1045" s="56">
        <v>20.080000000000009</v>
      </c>
      <c r="BH1045" s="56">
        <v>26.480000000000011</v>
      </c>
      <c r="BI1045" s="62">
        <v>53.580000000000013</v>
      </c>
      <c r="BJ1045" s="70"/>
      <c r="BK1045" s="51"/>
    </row>
    <row r="1046" spans="1:63" ht="18" thickTop="1" x14ac:dyDescent="0.4">
      <c r="A1046" s="167" t="s">
        <v>1123</v>
      </c>
      <c r="B1046" s="168"/>
      <c r="C1046" s="168"/>
      <c r="D1046" s="168"/>
      <c r="E1046" s="168"/>
      <c r="G1046" s="147" t="s">
        <v>1123</v>
      </c>
      <c r="H1046" s="159">
        <v>69.959000000000003</v>
      </c>
      <c r="I1046" s="153">
        <v>70.28</v>
      </c>
      <c r="J1046" s="153">
        <v>70.319999999999993</v>
      </c>
      <c r="K1046" s="153">
        <v>70.39</v>
      </c>
      <c r="L1046" s="153">
        <v>70.349999999999994</v>
      </c>
      <c r="M1046" s="80">
        <f t="shared" si="32"/>
        <v>70.39</v>
      </c>
      <c r="N1046" s="80">
        <f t="shared" si="33"/>
        <v>70.28</v>
      </c>
      <c r="O1046" s="153">
        <v>21.16</v>
      </c>
      <c r="P1046" s="153">
        <v>21.15</v>
      </c>
      <c r="Q1046" s="153">
        <v>21.1</v>
      </c>
      <c r="R1046" s="153">
        <v>21.06</v>
      </c>
      <c r="S1046" s="4"/>
      <c r="U1046" s="147" t="s">
        <v>1123</v>
      </c>
      <c r="V1046" s="11"/>
      <c r="W1046" s="4"/>
      <c r="X1046" s="12"/>
      <c r="Y1046" s="14"/>
      <c r="Z1046" s="4"/>
      <c r="AA1046" s="13"/>
      <c r="AB1046" s="11"/>
      <c r="AC1046" s="4"/>
      <c r="AD1046" s="12"/>
      <c r="AE1046" s="13"/>
      <c r="AF1046" s="14">
        <v>5.0141</v>
      </c>
      <c r="AG1046" s="133"/>
      <c r="AI1046" s="96"/>
      <c r="AL1046" s="64">
        <v>4.1718826166666672</v>
      </c>
      <c r="AM1046" s="56">
        <v>14.35999999999993</v>
      </c>
      <c r="AN1046" s="56">
        <v>16.300000000000029</v>
      </c>
      <c r="AO1046" s="62">
        <v>22.460000000000061</v>
      </c>
      <c r="AQ1046" s="64">
        <v>4.0807930666666659</v>
      </c>
      <c r="AR1046" s="56">
        <v>13.78000000000004</v>
      </c>
      <c r="AS1046" s="56">
        <v>15.17999999999997</v>
      </c>
      <c r="AT1046" s="62">
        <v>19.240000000000009</v>
      </c>
      <c r="AV1046" s="64">
        <v>3.7270899499999999</v>
      </c>
      <c r="AW1046" s="56">
        <v>13.399999999999951</v>
      </c>
      <c r="AX1046" s="56">
        <v>14.77999999999993</v>
      </c>
      <c r="AY1046" s="62">
        <v>19.47999999999999</v>
      </c>
      <c r="BA1046" s="64">
        <v>3.1859467833333328</v>
      </c>
      <c r="BB1046" s="56">
        <v>16.359999999999971</v>
      </c>
      <c r="BC1046" s="56">
        <v>18.820000000000011</v>
      </c>
      <c r="BD1046" s="62">
        <v>30.81999999999994</v>
      </c>
      <c r="BF1046" s="64">
        <v>2.9524557333333341</v>
      </c>
      <c r="BG1046" s="56">
        <v>19.399999999999999</v>
      </c>
      <c r="BH1046" s="56">
        <v>25.820000000000039</v>
      </c>
      <c r="BI1046" s="62">
        <v>52.639999999999979</v>
      </c>
      <c r="BJ1046" s="70"/>
      <c r="BK1046" s="51"/>
    </row>
    <row r="1047" spans="1:63" x14ac:dyDescent="0.4">
      <c r="A1047" s="147" t="s">
        <v>1124</v>
      </c>
      <c r="G1047" s="147" t="s">
        <v>1124</v>
      </c>
      <c r="H1047" s="159">
        <v>69.971999999999994</v>
      </c>
      <c r="I1047" s="153">
        <v>70.36</v>
      </c>
      <c r="J1047" s="153">
        <v>70.349999999999994</v>
      </c>
      <c r="K1047" s="153">
        <v>70.3</v>
      </c>
      <c r="L1047" s="153">
        <v>70.319999999999993</v>
      </c>
      <c r="M1047" s="80">
        <f t="shared" si="32"/>
        <v>70.36</v>
      </c>
      <c r="N1047" s="80">
        <f t="shared" si="33"/>
        <v>70.3</v>
      </c>
      <c r="O1047" s="153">
        <v>21.17</v>
      </c>
      <c r="P1047" s="153">
        <v>21.15</v>
      </c>
      <c r="Q1047" s="153">
        <v>21.17</v>
      </c>
      <c r="R1047" s="153">
        <v>21.11</v>
      </c>
      <c r="S1047" s="4"/>
      <c r="U1047" s="147" t="s">
        <v>1124</v>
      </c>
      <c r="V1047" s="11"/>
      <c r="W1047" s="4"/>
      <c r="X1047" s="12"/>
      <c r="Y1047" s="14"/>
      <c r="Z1047" s="4"/>
      <c r="AA1047" s="13"/>
      <c r="AB1047" s="11"/>
      <c r="AC1047" s="4"/>
      <c r="AD1047" s="12"/>
      <c r="AE1047" s="13"/>
      <c r="AF1047" s="14">
        <v>5.0301999999999998</v>
      </c>
      <c r="AG1047" s="133"/>
      <c r="AI1047" s="96"/>
      <c r="AL1047" s="64">
        <v>4.1713015000000002</v>
      </c>
      <c r="AM1047" s="56">
        <v>15.89999999999989</v>
      </c>
      <c r="AN1047" s="56">
        <v>17.93999999999993</v>
      </c>
      <c r="AO1047" s="62">
        <v>24.359999999999889</v>
      </c>
      <c r="AQ1047" s="64">
        <v>4.0810555333333332</v>
      </c>
      <c r="AR1047" s="56">
        <v>15.28000000000009</v>
      </c>
      <c r="AS1047" s="56">
        <v>16.780000000000062</v>
      </c>
      <c r="AT1047" s="62">
        <v>21.10000000000003</v>
      </c>
      <c r="AV1047" s="64">
        <v>3.7272375999999992</v>
      </c>
      <c r="AW1047" s="56">
        <v>14.75999999999997</v>
      </c>
      <c r="AX1047" s="56">
        <v>16.27999999999998</v>
      </c>
      <c r="AY1047" s="62">
        <v>21.32000000000005</v>
      </c>
      <c r="BA1047" s="64">
        <v>3.185071166666666</v>
      </c>
      <c r="BB1047" s="56">
        <v>17.580000000000059</v>
      </c>
      <c r="BC1047" s="56">
        <v>20.16</v>
      </c>
      <c r="BD1047" s="62">
        <v>32.52000000000006</v>
      </c>
      <c r="BF1047" s="64">
        <v>2.9456546333333331</v>
      </c>
      <c r="BG1047" s="56">
        <v>20.679999999999939</v>
      </c>
      <c r="BH1047" s="56">
        <v>27.099999999999991</v>
      </c>
      <c r="BI1047" s="62">
        <v>54.199999999999982</v>
      </c>
      <c r="BJ1047" s="70"/>
      <c r="BK1047" s="51"/>
    </row>
    <row r="1048" spans="1:63" x14ac:dyDescent="0.4">
      <c r="A1048" s="147" t="s">
        <v>1125</v>
      </c>
      <c r="G1048" s="147" t="s">
        <v>1125</v>
      </c>
      <c r="H1048" s="159">
        <v>70.028000000000006</v>
      </c>
      <c r="I1048" s="153">
        <v>70.37</v>
      </c>
      <c r="J1048" s="153">
        <v>70.28</v>
      </c>
      <c r="K1048" s="153">
        <v>70.31</v>
      </c>
      <c r="L1048" s="153">
        <v>70.31</v>
      </c>
      <c r="M1048" s="80">
        <f t="shared" si="32"/>
        <v>70.37</v>
      </c>
      <c r="N1048" s="80">
        <f t="shared" si="33"/>
        <v>70.28</v>
      </c>
      <c r="O1048" s="153">
        <v>21.16</v>
      </c>
      <c r="P1048" s="153">
        <v>21.07</v>
      </c>
      <c r="Q1048" s="153">
        <v>21.16</v>
      </c>
      <c r="R1048" s="153">
        <v>21.04</v>
      </c>
      <c r="S1048" s="4"/>
      <c r="U1048" s="147" t="s">
        <v>1125</v>
      </c>
      <c r="V1048" s="11"/>
      <c r="W1048" s="4"/>
      <c r="X1048" s="12"/>
      <c r="Y1048" s="14"/>
      <c r="Z1048" s="4"/>
      <c r="AA1048" s="13"/>
      <c r="AB1048" s="11"/>
      <c r="AC1048" s="4"/>
      <c r="AD1048" s="12"/>
      <c r="AE1048" s="13"/>
      <c r="AF1048" s="14">
        <v>5.0293999999999999</v>
      </c>
      <c r="AG1048" s="133"/>
      <c r="AI1048" s="96"/>
      <c r="AL1048" s="64">
        <v>4.1718374833333316</v>
      </c>
      <c r="AM1048" s="56">
        <v>15.30000000000005</v>
      </c>
      <c r="AN1048" s="56">
        <v>17.3</v>
      </c>
      <c r="AO1048" s="62">
        <v>23.68000000000006</v>
      </c>
      <c r="AQ1048" s="64">
        <v>4.0811176666666666</v>
      </c>
      <c r="AR1048" s="56">
        <v>14.86000000000001</v>
      </c>
      <c r="AS1048" s="56">
        <v>16.359999999999971</v>
      </c>
      <c r="AT1048" s="62">
        <v>20.639999999999951</v>
      </c>
      <c r="AV1048" s="64">
        <v>3.7275839333333338</v>
      </c>
      <c r="AW1048" s="56">
        <v>14.45999999999996</v>
      </c>
      <c r="AX1048" s="56">
        <v>15.96000000000002</v>
      </c>
      <c r="AY1048" s="62">
        <v>20.939999999999959</v>
      </c>
      <c r="BA1048" s="64">
        <v>3.182983633333333</v>
      </c>
      <c r="BB1048" s="56">
        <v>17.45999999999999</v>
      </c>
      <c r="BC1048" s="56">
        <v>20.019999999999971</v>
      </c>
      <c r="BD1048" s="62">
        <v>32.399999999999977</v>
      </c>
      <c r="BF1048" s="64">
        <v>2.9518817333333338</v>
      </c>
      <c r="BG1048" s="56">
        <v>20.520000000000049</v>
      </c>
      <c r="BH1048" s="56">
        <v>27.280000000000019</v>
      </c>
      <c r="BI1048" s="62">
        <v>54.560000000000031</v>
      </c>
      <c r="BJ1048" s="70"/>
      <c r="BK1048" s="51"/>
    </row>
    <row r="1049" spans="1:63" x14ac:dyDescent="0.4">
      <c r="A1049" s="147" t="s">
        <v>1126</v>
      </c>
      <c r="G1049" s="147" t="s">
        <v>1126</v>
      </c>
      <c r="H1049" s="159">
        <v>69.959999999999994</v>
      </c>
      <c r="I1049" s="153">
        <v>70.33</v>
      </c>
      <c r="J1049" s="153">
        <v>70.400000000000006</v>
      </c>
      <c r="K1049" s="153">
        <v>70.28</v>
      </c>
      <c r="L1049" s="153">
        <v>70.34</v>
      </c>
      <c r="M1049" s="80">
        <f t="shared" si="32"/>
        <v>70.400000000000006</v>
      </c>
      <c r="N1049" s="80">
        <f t="shared" si="33"/>
        <v>70.28</v>
      </c>
      <c r="O1049" s="153">
        <v>21.13</v>
      </c>
      <c r="P1049" s="153">
        <v>21.1</v>
      </c>
      <c r="Q1049" s="153">
        <v>21.11</v>
      </c>
      <c r="R1049" s="153">
        <v>21.09</v>
      </c>
      <c r="S1049" s="4"/>
      <c r="U1049" s="147" t="s">
        <v>1126</v>
      </c>
      <c r="V1049" s="11"/>
      <c r="W1049" s="4"/>
      <c r="X1049" s="12"/>
      <c r="Y1049" s="14"/>
      <c r="Z1049" s="4"/>
      <c r="AA1049" s="13"/>
      <c r="AB1049" s="11"/>
      <c r="AC1049" s="4"/>
      <c r="AD1049" s="12"/>
      <c r="AE1049" s="13"/>
      <c r="AF1049" s="14">
        <v>5.0250000000000004</v>
      </c>
      <c r="AG1049" s="133"/>
      <c r="AI1049" s="96"/>
      <c r="AL1049" s="64">
        <v>4.1717549833333338</v>
      </c>
      <c r="AM1049" s="56">
        <v>15.54000000000002</v>
      </c>
      <c r="AN1049" s="56">
        <v>17.580000000000059</v>
      </c>
      <c r="AO1049" s="62">
        <v>23.960000000000111</v>
      </c>
      <c r="AQ1049" s="64">
        <v>4.081430833333334</v>
      </c>
      <c r="AR1049" s="56">
        <v>15.000000000000041</v>
      </c>
      <c r="AS1049" s="56">
        <v>16.500000000000089</v>
      </c>
      <c r="AT1049" s="62">
        <v>20.820000000000061</v>
      </c>
      <c r="AV1049" s="64">
        <v>3.728028516666666</v>
      </c>
      <c r="AW1049" s="56">
        <v>14.56</v>
      </c>
      <c r="AX1049" s="56">
        <v>16.04000000000001</v>
      </c>
      <c r="AY1049" s="62">
        <v>21.039999999999988</v>
      </c>
      <c r="BA1049" s="64">
        <v>3.1832042666666669</v>
      </c>
      <c r="BB1049" s="56">
        <v>17.400000000000041</v>
      </c>
      <c r="BC1049" s="56">
        <v>19.960000000000019</v>
      </c>
      <c r="BD1049" s="62">
        <v>32.319999999999993</v>
      </c>
      <c r="BF1049" s="64">
        <v>2.953559316666666</v>
      </c>
      <c r="BG1049" s="56">
        <v>20.420000000000019</v>
      </c>
      <c r="BH1049" s="56">
        <v>27.120000000000029</v>
      </c>
      <c r="BI1049" s="62">
        <v>54.200000000000067</v>
      </c>
      <c r="BJ1049" s="70"/>
      <c r="BK1049" s="51"/>
    </row>
    <row r="1050" spans="1:63" x14ac:dyDescent="0.4">
      <c r="A1050" s="147" t="s">
        <v>1127</v>
      </c>
      <c r="G1050" s="147" t="s">
        <v>1127</v>
      </c>
      <c r="H1050" s="159">
        <v>70.045000000000002</v>
      </c>
      <c r="I1050" s="153">
        <v>70.290000000000006</v>
      </c>
      <c r="J1050" s="153">
        <v>70.400000000000006</v>
      </c>
      <c r="K1050" s="153">
        <v>70.28</v>
      </c>
      <c r="L1050" s="153">
        <v>70.319999999999993</v>
      </c>
      <c r="M1050" s="80">
        <f t="shared" si="32"/>
        <v>70.400000000000006</v>
      </c>
      <c r="N1050" s="80">
        <f t="shared" si="33"/>
        <v>70.28</v>
      </c>
      <c r="O1050" s="153">
        <v>21.14</v>
      </c>
      <c r="P1050" s="153">
        <v>21.05</v>
      </c>
      <c r="Q1050" s="153">
        <v>21.13</v>
      </c>
      <c r="R1050" s="153">
        <v>21.06</v>
      </c>
      <c r="S1050" s="4"/>
      <c r="U1050" s="147" t="s">
        <v>1127</v>
      </c>
      <c r="V1050" s="11"/>
      <c r="W1050" s="4"/>
      <c r="X1050" s="12"/>
      <c r="Y1050" s="14"/>
      <c r="Z1050" s="4"/>
      <c r="AA1050" s="13"/>
      <c r="AB1050" s="11"/>
      <c r="AC1050" s="4"/>
      <c r="AD1050" s="12"/>
      <c r="AE1050" s="13"/>
      <c r="AF1050" s="14">
        <v>5.0155000000000003</v>
      </c>
      <c r="AG1050" s="133"/>
      <c r="AI1050" s="96"/>
      <c r="AL1050" s="64">
        <v>4.1718857666666667</v>
      </c>
      <c r="AM1050" s="56">
        <v>15.17999999999997</v>
      </c>
      <c r="AN1050" s="56">
        <v>17.20000000000006</v>
      </c>
      <c r="AO1050" s="62">
        <v>23.47999999999999</v>
      </c>
      <c r="AQ1050" s="64">
        <v>4.0821760833333327</v>
      </c>
      <c r="AR1050" s="56">
        <v>14.94</v>
      </c>
      <c r="AS1050" s="56">
        <v>16.440000000000051</v>
      </c>
      <c r="AT1050" s="62">
        <v>20.760000000000019</v>
      </c>
      <c r="AV1050" s="64">
        <v>3.7284759166666661</v>
      </c>
      <c r="AW1050" s="56">
        <v>14.45999999999996</v>
      </c>
      <c r="AX1050" s="56">
        <v>15.96000000000002</v>
      </c>
      <c r="AY1050" s="62">
        <v>20.939999999999959</v>
      </c>
      <c r="BA1050" s="64">
        <v>3.1828582499999998</v>
      </c>
      <c r="BB1050" s="56">
        <v>17.480000000000029</v>
      </c>
      <c r="BC1050" s="56">
        <v>20.080000000000009</v>
      </c>
      <c r="BD1050" s="62">
        <v>32.519999999999968</v>
      </c>
      <c r="BF1050" s="64">
        <v>2.9537504499999989</v>
      </c>
      <c r="BG1050" s="56">
        <v>20.58</v>
      </c>
      <c r="BH1050" s="56">
        <v>27.299999999999969</v>
      </c>
      <c r="BI1050" s="62">
        <v>54.559999999999953</v>
      </c>
      <c r="BJ1050" s="70"/>
      <c r="BK1050" s="51"/>
    </row>
    <row r="1051" spans="1:63" x14ac:dyDescent="0.4">
      <c r="A1051" s="147" t="s">
        <v>1128</v>
      </c>
      <c r="G1051" s="147" t="s">
        <v>1128</v>
      </c>
      <c r="H1051" s="159">
        <v>70.081999999999994</v>
      </c>
      <c r="I1051" s="153">
        <v>70.37</v>
      </c>
      <c r="J1051" s="153">
        <v>70.36</v>
      </c>
      <c r="K1051" s="153">
        <v>70.319999999999993</v>
      </c>
      <c r="L1051" s="153">
        <v>70.319999999999993</v>
      </c>
      <c r="M1051" s="80">
        <f t="shared" si="32"/>
        <v>70.37</v>
      </c>
      <c r="N1051" s="80">
        <f t="shared" si="33"/>
        <v>70.319999999999993</v>
      </c>
      <c r="O1051" s="153">
        <v>21.14</v>
      </c>
      <c r="P1051" s="153">
        <v>21.09</v>
      </c>
      <c r="Q1051" s="153">
        <v>21.14</v>
      </c>
      <c r="R1051" s="153">
        <v>21.12</v>
      </c>
      <c r="S1051" s="4"/>
      <c r="U1051" s="147" t="s">
        <v>1128</v>
      </c>
      <c r="V1051" s="11"/>
      <c r="W1051" s="4"/>
      <c r="X1051" s="12"/>
      <c r="Y1051" s="14"/>
      <c r="Z1051" s="4"/>
      <c r="AA1051" s="13"/>
      <c r="AB1051" s="11"/>
      <c r="AC1051" s="4"/>
      <c r="AD1051" s="12"/>
      <c r="AE1051" s="13"/>
      <c r="AF1051" s="14">
        <v>5.0049999999999999</v>
      </c>
      <c r="AG1051" s="133"/>
      <c r="AI1051" s="96"/>
      <c r="AL1051" s="64">
        <v>4.172045616666666</v>
      </c>
      <c r="AM1051" s="56">
        <v>15.41999999999994</v>
      </c>
      <c r="AN1051" s="56">
        <v>17.44000000000003</v>
      </c>
      <c r="AO1051" s="62">
        <v>23.819999999999911</v>
      </c>
      <c r="AQ1051" s="64">
        <v>4.0810474166666673</v>
      </c>
      <c r="AR1051" s="56">
        <v>15.06000000000007</v>
      </c>
      <c r="AS1051" s="56">
        <v>16.560000000000041</v>
      </c>
      <c r="AT1051" s="62">
        <v>20.840000000000011</v>
      </c>
      <c r="AV1051" s="64">
        <v>3.7275848666666671</v>
      </c>
      <c r="AW1051" s="56">
        <v>14.56</v>
      </c>
      <c r="AX1051" s="56">
        <v>16.05999999999996</v>
      </c>
      <c r="AY1051" s="62">
        <v>21.020000000000039</v>
      </c>
      <c r="BA1051" s="64">
        <v>3.180824316666667</v>
      </c>
      <c r="BB1051" s="56">
        <v>17.279999999999959</v>
      </c>
      <c r="BC1051" s="56">
        <v>19.81999999999999</v>
      </c>
      <c r="BD1051" s="62">
        <v>32.119999999999933</v>
      </c>
      <c r="BF1051" s="64">
        <v>2.9355032333333329</v>
      </c>
      <c r="BG1051" s="56">
        <v>20.26000000000003</v>
      </c>
      <c r="BH1051" s="56">
        <v>26.78000000000003</v>
      </c>
      <c r="BI1051" s="62">
        <v>54.600000000000023</v>
      </c>
      <c r="BJ1051" s="70"/>
      <c r="BK1051" s="51"/>
    </row>
    <row r="1052" spans="1:63" x14ac:dyDescent="0.4">
      <c r="A1052" s="147" t="s">
        <v>1129</v>
      </c>
      <c r="G1052" s="147" t="s">
        <v>1129</v>
      </c>
      <c r="H1052" s="159">
        <v>70.034000000000006</v>
      </c>
      <c r="I1052" s="153">
        <v>70.319999999999993</v>
      </c>
      <c r="J1052" s="153">
        <v>70.3</v>
      </c>
      <c r="K1052" s="153">
        <v>70.3</v>
      </c>
      <c r="L1052" s="153">
        <v>70.33</v>
      </c>
      <c r="M1052" s="80">
        <f t="shared" si="32"/>
        <v>70.33</v>
      </c>
      <c r="N1052" s="80">
        <f t="shared" si="33"/>
        <v>70.3</v>
      </c>
      <c r="O1052" s="153">
        <v>21.18</v>
      </c>
      <c r="P1052" s="153">
        <v>21.09</v>
      </c>
      <c r="Q1052" s="153">
        <v>21.12</v>
      </c>
      <c r="R1052" s="153">
        <v>21.05</v>
      </c>
      <c r="S1052" s="4"/>
      <c r="U1052" s="147" t="s">
        <v>1129</v>
      </c>
      <c r="V1052" s="11"/>
      <c r="W1052" s="4"/>
      <c r="X1052" s="12"/>
      <c r="Y1052" s="14"/>
      <c r="Z1052" s="4"/>
      <c r="AA1052" s="13"/>
      <c r="AB1052" s="11"/>
      <c r="AC1052" s="4"/>
      <c r="AD1052" s="12"/>
      <c r="AE1052" s="13"/>
      <c r="AF1052" s="14">
        <v>5.0002000000000004</v>
      </c>
      <c r="AG1052" s="133"/>
      <c r="AI1052" s="96"/>
      <c r="AL1052" s="64">
        <v>4.1721372166666661</v>
      </c>
      <c r="AM1052" s="56">
        <v>14.32000000000002</v>
      </c>
      <c r="AN1052" s="56">
        <v>16.240000000000169</v>
      </c>
      <c r="AO1052" s="62">
        <v>22.40000000000002</v>
      </c>
      <c r="AQ1052" s="64">
        <v>4.0810650499999994</v>
      </c>
      <c r="AR1052" s="56">
        <v>13.79999999999999</v>
      </c>
      <c r="AS1052" s="56">
        <v>15.17999999999997</v>
      </c>
      <c r="AT1052" s="62">
        <v>19.260000000000051</v>
      </c>
      <c r="AV1052" s="64">
        <v>3.7282159666666672</v>
      </c>
      <c r="AW1052" s="56">
        <v>13.419999999999989</v>
      </c>
      <c r="AX1052" s="56">
        <v>14.820000000000009</v>
      </c>
      <c r="AY1052" s="62">
        <v>19.519999999999978</v>
      </c>
      <c r="BA1052" s="64">
        <v>3.1912467666666671</v>
      </c>
      <c r="BB1052" s="56">
        <v>16.579999999999991</v>
      </c>
      <c r="BC1052" s="56">
        <v>19.019999999999989</v>
      </c>
      <c r="BD1052" s="62">
        <v>30.799999999999979</v>
      </c>
      <c r="BF1052" s="64">
        <v>2.9508324666666672</v>
      </c>
      <c r="BG1052" s="56">
        <v>19.760000000000041</v>
      </c>
      <c r="BH1052" s="56">
        <v>26.039999999999971</v>
      </c>
      <c r="BI1052" s="62">
        <v>52.71999999999997</v>
      </c>
      <c r="BJ1052" s="70"/>
      <c r="BK1052" s="51"/>
    </row>
    <row r="1053" spans="1:63" x14ac:dyDescent="0.4">
      <c r="A1053" s="147" t="s">
        <v>1130</v>
      </c>
      <c r="G1053" s="147" t="s">
        <v>1130</v>
      </c>
      <c r="H1053" s="159">
        <v>70.010999999999996</v>
      </c>
      <c r="I1053" s="153">
        <v>70.3</v>
      </c>
      <c r="J1053" s="153">
        <v>70.31</v>
      </c>
      <c r="K1053" s="153">
        <v>70.36</v>
      </c>
      <c r="L1053" s="153">
        <v>70.400000000000006</v>
      </c>
      <c r="M1053" s="80">
        <f t="shared" si="32"/>
        <v>70.400000000000006</v>
      </c>
      <c r="N1053" s="80">
        <f t="shared" si="33"/>
        <v>70.3</v>
      </c>
      <c r="O1053" s="153">
        <v>21.11</v>
      </c>
      <c r="P1053" s="153">
        <v>21.14</v>
      </c>
      <c r="Q1053" s="153">
        <v>21.14</v>
      </c>
      <c r="R1053" s="153">
        <v>21.08</v>
      </c>
      <c r="S1053" s="4"/>
      <c r="U1053" s="147" t="s">
        <v>1130</v>
      </c>
      <c r="V1053" s="11"/>
      <c r="W1053" s="4"/>
      <c r="X1053" s="12"/>
      <c r="Y1053" s="14"/>
      <c r="Z1053" s="4"/>
      <c r="AA1053" s="13"/>
      <c r="AB1053" s="11"/>
      <c r="AC1053" s="4"/>
      <c r="AD1053" s="12"/>
      <c r="AE1053" s="13"/>
      <c r="AF1053" s="14">
        <v>5.0022000000000002</v>
      </c>
      <c r="AG1053" s="133"/>
      <c r="AI1053" s="96"/>
      <c r="AL1053" s="64">
        <v>4.1718556333333341</v>
      </c>
      <c r="AM1053" s="56">
        <v>14.120000000000131</v>
      </c>
      <c r="AN1053" s="56">
        <v>16.040000000000099</v>
      </c>
      <c r="AO1053" s="62">
        <v>22.18</v>
      </c>
      <c r="AQ1053" s="64">
        <v>4.0824828333333318</v>
      </c>
      <c r="AR1053" s="56">
        <v>13.79999999999999</v>
      </c>
      <c r="AS1053" s="56">
        <v>15.21999999999988</v>
      </c>
      <c r="AT1053" s="62">
        <v>19.299999999999869</v>
      </c>
      <c r="AV1053" s="64">
        <v>3.7290399500000002</v>
      </c>
      <c r="AW1053" s="56">
        <v>13.45999999999998</v>
      </c>
      <c r="AX1053" s="56">
        <v>14.87999999999996</v>
      </c>
      <c r="AY1053" s="62">
        <v>19.599999999999969</v>
      </c>
      <c r="BA1053" s="64">
        <v>3.1892626166666669</v>
      </c>
      <c r="BB1053" s="56">
        <v>16.54</v>
      </c>
      <c r="BC1053" s="56">
        <v>19.020000000000081</v>
      </c>
      <c r="BD1053" s="62">
        <v>31.02</v>
      </c>
      <c r="BF1053" s="64">
        <v>2.9565435</v>
      </c>
      <c r="BG1053" s="56">
        <v>19.660000000000011</v>
      </c>
      <c r="BH1053" s="56">
        <v>25.999999999999979</v>
      </c>
      <c r="BI1053" s="62">
        <v>52.740000000000009</v>
      </c>
      <c r="BJ1053" s="70"/>
      <c r="BK1053" s="51"/>
    </row>
    <row r="1054" spans="1:63" x14ac:dyDescent="0.4">
      <c r="A1054" s="147" t="s">
        <v>1131</v>
      </c>
      <c r="G1054" s="147" t="s">
        <v>1131</v>
      </c>
      <c r="H1054" s="159">
        <v>69.948999999999998</v>
      </c>
      <c r="I1054" s="153">
        <v>70.349999999999994</v>
      </c>
      <c r="J1054" s="153">
        <v>70.28</v>
      </c>
      <c r="K1054" s="153">
        <v>70.28</v>
      </c>
      <c r="L1054" s="153">
        <v>70.39</v>
      </c>
      <c r="M1054" s="80">
        <f t="shared" si="32"/>
        <v>70.39</v>
      </c>
      <c r="N1054" s="80">
        <f t="shared" si="33"/>
        <v>70.28</v>
      </c>
      <c r="O1054" s="153">
        <v>21.17</v>
      </c>
      <c r="P1054" s="153">
        <v>21.15</v>
      </c>
      <c r="Q1054" s="153">
        <v>21.08</v>
      </c>
      <c r="R1054" s="153">
        <v>21.07</v>
      </c>
      <c r="S1054" s="4"/>
      <c r="U1054" s="147" t="s">
        <v>1131</v>
      </c>
      <c r="V1054" s="11"/>
      <c r="W1054" s="4"/>
      <c r="X1054" s="12"/>
      <c r="Y1054" s="14"/>
      <c r="Z1054" s="4"/>
      <c r="AA1054" s="13"/>
      <c r="AB1054" s="11"/>
      <c r="AC1054" s="4"/>
      <c r="AD1054" s="12"/>
      <c r="AE1054" s="13"/>
      <c r="AF1054" s="14">
        <v>5.0099</v>
      </c>
      <c r="AG1054" s="133"/>
      <c r="AI1054" s="96"/>
      <c r="AL1054" s="64">
        <v>4.1719707333333327</v>
      </c>
      <c r="AM1054" s="56">
        <v>13.959999999999971</v>
      </c>
      <c r="AN1054" s="56">
        <v>15.87999999999994</v>
      </c>
      <c r="AO1054" s="62">
        <v>22.020000000000021</v>
      </c>
      <c r="AQ1054" s="64">
        <v>4.0821613833333332</v>
      </c>
      <c r="AR1054" s="56">
        <v>13.700000000000051</v>
      </c>
      <c r="AS1054" s="56">
        <v>15.08000000000003</v>
      </c>
      <c r="AT1054" s="62">
        <v>19.120000000000029</v>
      </c>
      <c r="AV1054" s="64">
        <v>3.7292636333333329</v>
      </c>
      <c r="AW1054" s="56">
        <v>13.239999999999959</v>
      </c>
      <c r="AX1054" s="56">
        <v>14.63999999999999</v>
      </c>
      <c r="AY1054" s="62">
        <v>19.339999999999961</v>
      </c>
      <c r="BA1054" s="64">
        <v>3.1892987833333328</v>
      </c>
      <c r="BB1054" s="56">
        <v>16.220000000000031</v>
      </c>
      <c r="BC1054" s="56">
        <v>18.640000000000079</v>
      </c>
      <c r="BD1054" s="62">
        <v>30.54000000000006</v>
      </c>
      <c r="BF1054" s="64">
        <v>2.9533745833333329</v>
      </c>
      <c r="BG1054" s="56">
        <v>19.280000000000008</v>
      </c>
      <c r="BH1054" s="56">
        <v>25.640000000000018</v>
      </c>
      <c r="BI1054" s="62">
        <v>52.400000000000013</v>
      </c>
      <c r="BJ1054" s="70"/>
      <c r="BK1054" s="51"/>
    </row>
    <row r="1055" spans="1:63" x14ac:dyDescent="0.4">
      <c r="A1055" s="147" t="s">
        <v>1132</v>
      </c>
      <c r="G1055" s="147" t="s">
        <v>1132</v>
      </c>
      <c r="H1055" s="159">
        <v>70.031999999999996</v>
      </c>
      <c r="I1055" s="153">
        <v>70.31</v>
      </c>
      <c r="J1055" s="153">
        <v>70.28</v>
      </c>
      <c r="K1055" s="153">
        <v>70.349999999999994</v>
      </c>
      <c r="L1055" s="153">
        <v>70.349999999999994</v>
      </c>
      <c r="M1055" s="80">
        <f t="shared" si="32"/>
        <v>70.349999999999994</v>
      </c>
      <c r="N1055" s="80">
        <f t="shared" si="33"/>
        <v>70.28</v>
      </c>
      <c r="O1055" s="153">
        <v>21.16</v>
      </c>
      <c r="P1055" s="153">
        <v>21.09</v>
      </c>
      <c r="Q1055" s="153">
        <v>21.16</v>
      </c>
      <c r="R1055" s="153">
        <v>21.06</v>
      </c>
      <c r="S1055" s="4"/>
      <c r="U1055" s="147" t="s">
        <v>1132</v>
      </c>
      <c r="V1055" s="11"/>
      <c r="W1055" s="4"/>
      <c r="X1055" s="12"/>
      <c r="Y1055" s="14"/>
      <c r="Z1055" s="4"/>
      <c r="AA1055" s="13"/>
      <c r="AB1055" s="11"/>
      <c r="AC1055" s="4"/>
      <c r="AD1055" s="12"/>
      <c r="AE1055" s="13"/>
      <c r="AF1055" s="14">
        <v>4.9833999999999996</v>
      </c>
      <c r="AG1055" s="133"/>
      <c r="AI1055" s="96"/>
      <c r="AL1055" s="64">
        <v>4.1713877166666666</v>
      </c>
      <c r="AM1055" s="56">
        <v>15.34000000000013</v>
      </c>
      <c r="AN1055" s="56">
        <v>17.360000000000039</v>
      </c>
      <c r="AO1055" s="62">
        <v>23.740000000000091</v>
      </c>
      <c r="AQ1055" s="64">
        <v>4.0817062166666647</v>
      </c>
      <c r="AR1055" s="56">
        <v>14.84000000000005</v>
      </c>
      <c r="AS1055" s="56">
        <v>16.34000000000011</v>
      </c>
      <c r="AT1055" s="62">
        <v>20.64000000000004</v>
      </c>
      <c r="AV1055" s="64">
        <v>3.7277923333333329</v>
      </c>
      <c r="AW1055" s="56">
        <v>14.45999999999996</v>
      </c>
      <c r="AX1055" s="56">
        <v>15.95999999999993</v>
      </c>
      <c r="AY1055" s="62">
        <v>20.939999999999959</v>
      </c>
      <c r="BA1055" s="64">
        <v>3.181592133333333</v>
      </c>
      <c r="BB1055" s="56">
        <v>17.45999999999999</v>
      </c>
      <c r="BC1055" s="56">
        <v>20.080000000000009</v>
      </c>
      <c r="BD1055" s="62">
        <v>32.580000000000013</v>
      </c>
      <c r="BF1055" s="64">
        <v>2.9547145333333331</v>
      </c>
      <c r="BG1055" s="56">
        <v>20.51999999999996</v>
      </c>
      <c r="BH1055" s="56">
        <v>27.25999999999997</v>
      </c>
      <c r="BI1055" s="62">
        <v>54.459999999999987</v>
      </c>
      <c r="BJ1055" s="70"/>
      <c r="BK1055" s="51"/>
    </row>
    <row r="1056" spans="1:63" x14ac:dyDescent="0.4">
      <c r="A1056" s="147" t="s">
        <v>1133</v>
      </c>
      <c r="G1056" s="147" t="s">
        <v>1133</v>
      </c>
      <c r="H1056" s="159">
        <v>69.992999999999995</v>
      </c>
      <c r="I1056" s="153">
        <v>70.349999999999994</v>
      </c>
      <c r="J1056" s="153">
        <v>70.3</v>
      </c>
      <c r="K1056" s="153">
        <v>70.27</v>
      </c>
      <c r="L1056" s="153">
        <v>70.400000000000006</v>
      </c>
      <c r="M1056" s="80">
        <f t="shared" si="32"/>
        <v>70.400000000000006</v>
      </c>
      <c r="N1056" s="80">
        <f t="shared" si="33"/>
        <v>70.27</v>
      </c>
      <c r="O1056" s="153">
        <v>21.18</v>
      </c>
      <c r="P1056" s="153">
        <v>21.09</v>
      </c>
      <c r="Q1056" s="153">
        <v>21.08</v>
      </c>
      <c r="R1056" s="153">
        <v>21.04</v>
      </c>
      <c r="S1056" s="4"/>
      <c r="U1056" s="147" t="s">
        <v>1133</v>
      </c>
      <c r="V1056" s="11"/>
      <c r="W1056" s="4"/>
      <c r="X1056" s="12"/>
      <c r="Y1056" s="14"/>
      <c r="Z1056" s="4"/>
      <c r="AA1056" s="13"/>
      <c r="AB1056" s="11"/>
      <c r="AC1056" s="4"/>
      <c r="AD1056" s="12"/>
      <c r="AE1056" s="13"/>
      <c r="AF1056" s="14">
        <v>5.0420999999999996</v>
      </c>
      <c r="AG1056" s="133"/>
      <c r="AI1056" s="96"/>
      <c r="AL1056" s="64">
        <v>4.1710992833333336</v>
      </c>
      <c r="AM1056" s="56">
        <v>15.30000000000005</v>
      </c>
      <c r="AN1056" s="56">
        <v>17.3</v>
      </c>
      <c r="AO1056" s="62">
        <v>23.6600000000001</v>
      </c>
      <c r="AQ1056" s="64">
        <v>4.0827105833333333</v>
      </c>
      <c r="AR1056" s="56">
        <v>14.94</v>
      </c>
      <c r="AS1056" s="56">
        <v>16.41999999999992</v>
      </c>
      <c r="AT1056" s="62">
        <v>20.719999999999938</v>
      </c>
      <c r="AV1056" s="64">
        <v>3.7285920666666672</v>
      </c>
      <c r="AW1056" s="56">
        <v>14.48</v>
      </c>
      <c r="AX1056" s="56">
        <v>15.97999999999997</v>
      </c>
      <c r="AY1056" s="62">
        <v>20.96</v>
      </c>
      <c r="BA1056" s="64">
        <v>3.183443183333333</v>
      </c>
      <c r="BB1056" s="56">
        <v>17.22000000000001</v>
      </c>
      <c r="BC1056" s="56">
        <v>19.78</v>
      </c>
      <c r="BD1056" s="62">
        <v>32.260000000000048</v>
      </c>
      <c r="BF1056" s="64">
        <v>2.9511212499999999</v>
      </c>
      <c r="BG1056" s="56">
        <v>20.17999999999995</v>
      </c>
      <c r="BH1056" s="56">
        <v>26.560000000000009</v>
      </c>
      <c r="BI1056" s="62">
        <v>53.55999999999996</v>
      </c>
      <c r="BJ1056" s="70"/>
      <c r="BK1056" s="51"/>
    </row>
    <row r="1057" spans="1:63" x14ac:dyDescent="0.4">
      <c r="A1057" s="147" t="s">
        <v>1134</v>
      </c>
      <c r="G1057" s="147" t="s">
        <v>1134</v>
      </c>
      <c r="H1057" s="159">
        <v>70.016999999999996</v>
      </c>
      <c r="I1057" s="153">
        <v>70.3</v>
      </c>
      <c r="J1057" s="153">
        <v>70.36</v>
      </c>
      <c r="K1057" s="153">
        <v>70.36</v>
      </c>
      <c r="L1057" s="153">
        <v>70.349999999999994</v>
      </c>
      <c r="M1057" s="80">
        <f t="shared" si="32"/>
        <v>70.36</v>
      </c>
      <c r="N1057" s="80">
        <f t="shared" si="33"/>
        <v>70.3</v>
      </c>
      <c r="O1057" s="153">
        <v>21.19</v>
      </c>
      <c r="P1057" s="153">
        <v>21.12</v>
      </c>
      <c r="Q1057" s="153">
        <v>21.14</v>
      </c>
      <c r="R1057" s="153">
        <v>21.07</v>
      </c>
      <c r="S1057" s="4"/>
      <c r="U1057" s="147" t="s">
        <v>1134</v>
      </c>
      <c r="V1057" s="11"/>
      <c r="W1057" s="4"/>
      <c r="X1057" s="12"/>
      <c r="Y1057" s="14"/>
      <c r="Z1057" s="4"/>
      <c r="AA1057" s="13"/>
      <c r="AB1057" s="11"/>
      <c r="AC1057" s="4"/>
      <c r="AD1057" s="12"/>
      <c r="AE1057" s="13"/>
      <c r="AF1057" s="14">
        <v>5.0236000000000001</v>
      </c>
      <c r="AG1057" s="133"/>
      <c r="AI1057" s="96"/>
      <c r="AL1057" s="64">
        <v>4.1713885666666668</v>
      </c>
      <c r="AM1057" s="56">
        <v>14.56</v>
      </c>
      <c r="AN1057" s="56">
        <v>16.54</v>
      </c>
      <c r="AO1057" s="62">
        <v>22.82000000000011</v>
      </c>
      <c r="AQ1057" s="64">
        <v>4.0831542999999986</v>
      </c>
      <c r="AR1057" s="56">
        <v>14.57999999999995</v>
      </c>
      <c r="AS1057" s="56">
        <v>16.039999999999921</v>
      </c>
      <c r="AT1057" s="62">
        <v>20.319999999999979</v>
      </c>
      <c r="AV1057" s="64">
        <v>3.7300917</v>
      </c>
      <c r="AW1057" s="56">
        <v>14.32000000000002</v>
      </c>
      <c r="AX1057" s="56">
        <v>15.78</v>
      </c>
      <c r="AY1057" s="62">
        <v>20.699999999999989</v>
      </c>
      <c r="BA1057" s="64">
        <v>3.187834183333333</v>
      </c>
      <c r="BB1057" s="56">
        <v>17.499999999999979</v>
      </c>
      <c r="BC1057" s="56">
        <v>20.05999999999997</v>
      </c>
      <c r="BD1057" s="62">
        <v>32.339999999999947</v>
      </c>
      <c r="BF1057" s="64">
        <v>2.9588934500000001</v>
      </c>
      <c r="BG1057" s="56">
        <v>20.55999999999996</v>
      </c>
      <c r="BH1057" s="56">
        <v>27.199999999999939</v>
      </c>
      <c r="BI1057" s="62">
        <v>54.059999999999953</v>
      </c>
      <c r="BJ1057" s="70"/>
      <c r="BK1057" s="51"/>
    </row>
    <row r="1058" spans="1:63" x14ac:dyDescent="0.4">
      <c r="A1058" s="147" t="s">
        <v>1135</v>
      </c>
      <c r="G1058" s="147" t="s">
        <v>1135</v>
      </c>
      <c r="H1058" s="159">
        <v>69.989999999999995</v>
      </c>
      <c r="I1058" s="153">
        <v>70.31</v>
      </c>
      <c r="J1058" s="153">
        <v>70.31</v>
      </c>
      <c r="K1058" s="153">
        <v>70.349999999999994</v>
      </c>
      <c r="L1058" s="153">
        <v>70.38</v>
      </c>
      <c r="M1058" s="80">
        <f t="shared" si="32"/>
        <v>70.38</v>
      </c>
      <c r="N1058" s="80">
        <f t="shared" si="33"/>
        <v>70.31</v>
      </c>
      <c r="O1058" s="153">
        <v>21.14</v>
      </c>
      <c r="P1058" s="153">
        <v>21.13</v>
      </c>
      <c r="Q1058" s="153">
        <v>21.12</v>
      </c>
      <c r="R1058" s="153">
        <v>21.01</v>
      </c>
      <c r="S1058" s="4"/>
      <c r="U1058" s="147" t="s">
        <v>1135</v>
      </c>
      <c r="V1058" s="11"/>
      <c r="W1058" s="4"/>
      <c r="X1058" s="12"/>
      <c r="Y1058" s="14"/>
      <c r="Z1058" s="4"/>
      <c r="AA1058" s="13"/>
      <c r="AB1058" s="11"/>
      <c r="AC1058" s="4"/>
      <c r="AD1058" s="12"/>
      <c r="AE1058" s="13"/>
      <c r="AF1058" s="14">
        <v>5.0202</v>
      </c>
      <c r="AG1058" s="133"/>
      <c r="AI1058" s="96"/>
      <c r="AL1058" s="64">
        <v>4.1712579166666668</v>
      </c>
      <c r="AM1058" s="56">
        <v>15.39999999999999</v>
      </c>
      <c r="AN1058" s="56">
        <v>17.439999999999859</v>
      </c>
      <c r="AO1058" s="62">
        <v>23.839999999999861</v>
      </c>
      <c r="AQ1058" s="64">
        <v>4.0825830333333339</v>
      </c>
      <c r="AR1058" s="56">
        <v>14.98000000000008</v>
      </c>
      <c r="AS1058" s="56">
        <v>16.479999999999961</v>
      </c>
      <c r="AT1058" s="62">
        <v>20.820000000000061</v>
      </c>
      <c r="AV1058" s="64">
        <v>3.7290213333333329</v>
      </c>
      <c r="AW1058" s="56">
        <v>14.499999999999959</v>
      </c>
      <c r="AX1058" s="56">
        <v>16.000000000000011</v>
      </c>
      <c r="AY1058" s="62">
        <v>20.979999999999951</v>
      </c>
      <c r="BA1058" s="64">
        <v>3.183623766666666</v>
      </c>
      <c r="BB1058" s="56">
        <v>17.35999999999995</v>
      </c>
      <c r="BC1058" s="56">
        <v>19.92000000000003</v>
      </c>
      <c r="BD1058" s="62">
        <v>32.299999999999947</v>
      </c>
      <c r="BF1058" s="64">
        <v>2.9518262333333332</v>
      </c>
      <c r="BG1058" s="56">
        <v>20.420000000000019</v>
      </c>
      <c r="BH1058" s="56">
        <v>27.099999999999991</v>
      </c>
      <c r="BI1058" s="62">
        <v>54.359999999999957</v>
      </c>
      <c r="BJ1058" s="70"/>
      <c r="BK1058" s="51"/>
    </row>
    <row r="1059" spans="1:63" x14ac:dyDescent="0.4">
      <c r="A1059" s="147" t="s">
        <v>1136</v>
      </c>
      <c r="G1059" s="147" t="s">
        <v>1136</v>
      </c>
      <c r="H1059" s="159">
        <v>70.013000000000005</v>
      </c>
      <c r="I1059" s="153">
        <v>70.39</v>
      </c>
      <c r="J1059" s="153">
        <v>70.28</v>
      </c>
      <c r="K1059" s="153">
        <v>70.290000000000006</v>
      </c>
      <c r="L1059" s="153">
        <v>70.39</v>
      </c>
      <c r="M1059" s="80">
        <f t="shared" si="32"/>
        <v>70.39</v>
      </c>
      <c r="N1059" s="80">
        <f t="shared" si="33"/>
        <v>70.28</v>
      </c>
      <c r="O1059" s="153">
        <v>21.16</v>
      </c>
      <c r="P1059" s="153">
        <v>21.08</v>
      </c>
      <c r="Q1059" s="153">
        <v>21.16</v>
      </c>
      <c r="R1059" s="153">
        <v>21.05</v>
      </c>
      <c r="S1059" s="4"/>
      <c r="U1059" s="147" t="s">
        <v>1136</v>
      </c>
      <c r="V1059" s="11"/>
      <c r="W1059" s="4"/>
      <c r="X1059" s="12"/>
      <c r="Y1059" s="14"/>
      <c r="Z1059" s="4"/>
      <c r="AA1059" s="13"/>
      <c r="AB1059" s="11"/>
      <c r="AC1059" s="4"/>
      <c r="AD1059" s="12"/>
      <c r="AE1059" s="13"/>
      <c r="AF1059" s="14">
        <v>5.0185000000000004</v>
      </c>
      <c r="AG1059" s="133"/>
      <c r="AI1059" s="96"/>
      <c r="AL1059" s="64">
        <v>4.1712106333333336</v>
      </c>
      <c r="AM1059" s="56">
        <v>15.479999999999981</v>
      </c>
      <c r="AN1059" s="56">
        <v>17.49999999999989</v>
      </c>
      <c r="AO1059" s="62">
        <v>23.78</v>
      </c>
      <c r="AQ1059" s="64">
        <v>4.0807049500000003</v>
      </c>
      <c r="AR1059" s="56">
        <v>14.84000000000005</v>
      </c>
      <c r="AS1059" s="56">
        <v>16.320000000000071</v>
      </c>
      <c r="AT1059" s="62">
        <v>20.660000000000078</v>
      </c>
      <c r="AV1059" s="64">
        <v>3.7267852000000001</v>
      </c>
      <c r="AW1059" s="56">
        <v>14.279999999999941</v>
      </c>
      <c r="AX1059" s="56">
        <v>15.75999999999995</v>
      </c>
      <c r="AY1059" s="62">
        <v>20.739999999999981</v>
      </c>
      <c r="BA1059" s="64">
        <v>3.1807315666666671</v>
      </c>
      <c r="BB1059" s="56">
        <v>17.400000000000041</v>
      </c>
      <c r="BC1059" s="56">
        <v>20.000000000000021</v>
      </c>
      <c r="BD1059" s="62">
        <v>32.479999999999983</v>
      </c>
      <c r="BF1059" s="64">
        <v>2.955089266666667</v>
      </c>
      <c r="BG1059" s="56">
        <v>20.300000000000029</v>
      </c>
      <c r="BH1059" s="56">
        <v>27.02</v>
      </c>
      <c r="BI1059" s="62">
        <v>53.880000000000017</v>
      </c>
      <c r="BJ1059" s="70"/>
      <c r="BK1059" s="51"/>
    </row>
    <row r="1060" spans="1:63" x14ac:dyDescent="0.4">
      <c r="A1060" s="147" t="s">
        <v>1137</v>
      </c>
      <c r="G1060" s="147" t="s">
        <v>1137</v>
      </c>
      <c r="H1060" s="159">
        <v>69.965000000000003</v>
      </c>
      <c r="I1060" s="153">
        <v>70.37</v>
      </c>
      <c r="J1060" s="153">
        <v>70.38</v>
      </c>
      <c r="K1060" s="153">
        <v>70.3</v>
      </c>
      <c r="L1060" s="153">
        <v>70.349999999999994</v>
      </c>
      <c r="M1060" s="80">
        <f t="shared" si="32"/>
        <v>70.38</v>
      </c>
      <c r="N1060" s="80">
        <f t="shared" si="33"/>
        <v>70.3</v>
      </c>
      <c r="O1060" s="153">
        <v>21.19</v>
      </c>
      <c r="P1060" s="153">
        <v>21.08</v>
      </c>
      <c r="Q1060" s="153">
        <v>21.16</v>
      </c>
      <c r="R1060" s="153">
        <v>21.05</v>
      </c>
      <c r="S1060" s="4"/>
      <c r="U1060" s="147" t="s">
        <v>1137</v>
      </c>
      <c r="V1060" s="11"/>
      <c r="W1060" s="4"/>
      <c r="X1060" s="12"/>
      <c r="Y1060" s="14"/>
      <c r="Z1060" s="4"/>
      <c r="AA1060" s="13"/>
      <c r="AB1060" s="11"/>
      <c r="AC1060" s="4"/>
      <c r="AD1060" s="12"/>
      <c r="AE1060" s="13"/>
      <c r="AF1060" s="14">
        <v>5.0063000000000004</v>
      </c>
      <c r="AG1060" s="133"/>
      <c r="AI1060" s="96"/>
      <c r="AL1060" s="64">
        <v>4.1714196166666664</v>
      </c>
      <c r="AM1060" s="56">
        <v>14.58000000000013</v>
      </c>
      <c r="AN1060" s="56">
        <v>16.54</v>
      </c>
      <c r="AO1060" s="62">
        <v>22.84000000000006</v>
      </c>
      <c r="AQ1060" s="64">
        <v>4.08134525</v>
      </c>
      <c r="AR1060" s="56">
        <v>14.340000000000151</v>
      </c>
      <c r="AS1060" s="56">
        <v>15.82000000000008</v>
      </c>
      <c r="AT1060" s="62">
        <v>20.080000000000101</v>
      </c>
      <c r="AV1060" s="64">
        <v>3.7279658333333332</v>
      </c>
      <c r="AW1060" s="56">
        <v>14.02000000000001</v>
      </c>
      <c r="AX1060" s="56">
        <v>15.48000000000007</v>
      </c>
      <c r="AY1060" s="62">
        <v>20.420000000000019</v>
      </c>
      <c r="BA1060" s="64">
        <v>3.1838392500000001</v>
      </c>
      <c r="BB1060" s="56">
        <v>16.819999999999968</v>
      </c>
      <c r="BC1060" s="56">
        <v>19.32</v>
      </c>
      <c r="BD1060" s="62">
        <v>31.579999999999941</v>
      </c>
      <c r="BF1060" s="64">
        <v>2.9516532166666658</v>
      </c>
      <c r="BG1060" s="56">
        <v>19.78</v>
      </c>
      <c r="BH1060" s="56">
        <v>26.18</v>
      </c>
      <c r="BI1060" s="62">
        <v>53.120000000000012</v>
      </c>
      <c r="BJ1060" s="70"/>
      <c r="BK1060" s="51"/>
    </row>
    <row r="1061" spans="1:63" x14ac:dyDescent="0.4">
      <c r="A1061" s="147" t="s">
        <v>1138</v>
      </c>
      <c r="G1061" s="147" t="s">
        <v>1138</v>
      </c>
      <c r="H1061" s="159">
        <v>69.957999999999998</v>
      </c>
      <c r="I1061" s="153">
        <v>70.36</v>
      </c>
      <c r="J1061" s="153">
        <v>70.36</v>
      </c>
      <c r="K1061" s="153">
        <v>70.319999999999993</v>
      </c>
      <c r="L1061" s="153">
        <v>70.27</v>
      </c>
      <c r="M1061" s="80">
        <f t="shared" si="32"/>
        <v>70.36</v>
      </c>
      <c r="N1061" s="80">
        <f t="shared" si="33"/>
        <v>70.27</v>
      </c>
      <c r="O1061" s="153">
        <v>21.15</v>
      </c>
      <c r="P1061" s="153">
        <v>21.14</v>
      </c>
      <c r="Q1061" s="153">
        <v>21.13</v>
      </c>
      <c r="R1061" s="153">
        <v>21.08</v>
      </c>
      <c r="S1061" s="4"/>
      <c r="U1061" s="147" t="s">
        <v>1138</v>
      </c>
      <c r="V1061" s="11"/>
      <c r="W1061" s="4"/>
      <c r="X1061" s="12"/>
      <c r="Y1061" s="14"/>
      <c r="Z1061" s="4"/>
      <c r="AA1061" s="13"/>
      <c r="AB1061" s="11"/>
      <c r="AC1061" s="4"/>
      <c r="AD1061" s="12"/>
      <c r="AE1061" s="13"/>
      <c r="AF1061" s="14">
        <v>5.0076000000000001</v>
      </c>
      <c r="AG1061" s="133"/>
      <c r="AI1061" s="96"/>
      <c r="AL1061" s="64">
        <v>4.1720407833333333</v>
      </c>
      <c r="AM1061" s="56">
        <v>15.599999999999881</v>
      </c>
      <c r="AN1061" s="56">
        <v>17.639999999999919</v>
      </c>
      <c r="AO1061" s="62">
        <v>23.879999999999949</v>
      </c>
      <c r="AQ1061" s="64">
        <v>4.0805163333333336</v>
      </c>
      <c r="AR1061" s="56">
        <v>15.09999999999998</v>
      </c>
      <c r="AS1061" s="56">
        <v>16.619999999999902</v>
      </c>
      <c r="AT1061" s="62">
        <v>20.91999999999992</v>
      </c>
      <c r="AV1061" s="64">
        <v>3.726451116666667</v>
      </c>
      <c r="AW1061" s="56">
        <v>14.76000000000006</v>
      </c>
      <c r="AX1061" s="56">
        <v>16.26000000000003</v>
      </c>
      <c r="AY1061" s="62">
        <v>21.280000000000051</v>
      </c>
      <c r="BA1061" s="64">
        <v>3.1755852500000001</v>
      </c>
      <c r="BB1061" s="56">
        <v>17.68000000000001</v>
      </c>
      <c r="BC1061" s="56">
        <v>20.29999999999994</v>
      </c>
      <c r="BD1061" s="62">
        <v>32.920000000000023</v>
      </c>
      <c r="BF1061" s="64">
        <v>2.936125833333334</v>
      </c>
      <c r="BG1061" s="56">
        <v>20.699999999999989</v>
      </c>
      <c r="BH1061" s="56">
        <v>27.160000000000029</v>
      </c>
      <c r="BI1061" s="62">
        <v>55.079999999999977</v>
      </c>
      <c r="BJ1061" s="70"/>
      <c r="BK1061" s="51"/>
    </row>
    <row r="1062" spans="1:63" x14ac:dyDescent="0.4">
      <c r="A1062" s="147" t="s">
        <v>1139</v>
      </c>
      <c r="G1062" s="147" t="s">
        <v>1139</v>
      </c>
      <c r="H1062" s="159">
        <v>70.046000000000006</v>
      </c>
      <c r="I1062" s="153">
        <v>70.349999999999994</v>
      </c>
      <c r="J1062" s="153">
        <v>70.3</v>
      </c>
      <c r="K1062" s="153">
        <v>70.33</v>
      </c>
      <c r="L1062" s="153">
        <v>70.39</v>
      </c>
      <c r="M1062" s="80">
        <f t="shared" si="32"/>
        <v>70.39</v>
      </c>
      <c r="N1062" s="80">
        <f t="shared" si="33"/>
        <v>70.3</v>
      </c>
      <c r="O1062" s="153">
        <v>21.16</v>
      </c>
      <c r="P1062" s="153">
        <v>21.12</v>
      </c>
      <c r="Q1062" s="153">
        <v>21.12</v>
      </c>
      <c r="R1062" s="153">
        <v>21.11</v>
      </c>
      <c r="S1062" s="4"/>
      <c r="U1062" s="147" t="s">
        <v>1139</v>
      </c>
      <c r="V1062" s="11"/>
      <c r="W1062" s="4"/>
      <c r="X1062" s="12"/>
      <c r="Y1062" s="14"/>
      <c r="Z1062" s="4"/>
      <c r="AA1062" s="13"/>
      <c r="AB1062" s="11"/>
      <c r="AC1062" s="4"/>
      <c r="AD1062" s="12"/>
      <c r="AE1062" s="13"/>
      <c r="AF1062" s="14">
        <v>5.0153999999999996</v>
      </c>
      <c r="AG1062" s="133"/>
      <c r="AI1062" s="96"/>
      <c r="AL1062" s="64">
        <v>4.1715638166666658</v>
      </c>
      <c r="AM1062" s="56">
        <v>14.24000000000003</v>
      </c>
      <c r="AN1062" s="56">
        <v>16.16</v>
      </c>
      <c r="AO1062" s="62">
        <v>22.279999999999941</v>
      </c>
      <c r="AQ1062" s="64">
        <v>4.0818130666666672</v>
      </c>
      <c r="AR1062" s="56">
        <v>13.78000000000004</v>
      </c>
      <c r="AS1062" s="56">
        <v>15.17999999999997</v>
      </c>
      <c r="AT1062" s="62">
        <v>19.260000000000051</v>
      </c>
      <c r="AV1062" s="64">
        <v>3.727951416666667</v>
      </c>
      <c r="AW1062" s="56">
        <v>13.36000000000004</v>
      </c>
      <c r="AX1062" s="56">
        <v>14.76000000000006</v>
      </c>
      <c r="AY1062" s="62">
        <v>19.480000000000079</v>
      </c>
      <c r="BA1062" s="64">
        <v>3.1843503333333332</v>
      </c>
      <c r="BB1062" s="56">
        <v>16.560000000000041</v>
      </c>
      <c r="BC1062" s="56">
        <v>19.040000000000031</v>
      </c>
      <c r="BD1062" s="62">
        <v>31.219999999999981</v>
      </c>
      <c r="BF1062" s="64">
        <v>2.9543581666666672</v>
      </c>
      <c r="BG1062" s="56">
        <v>19.559999999999981</v>
      </c>
      <c r="BH1062" s="56">
        <v>25.85999999999995</v>
      </c>
      <c r="BI1062" s="62">
        <v>52.559999999999981</v>
      </c>
      <c r="BJ1062" s="70"/>
      <c r="BK1062" s="51"/>
    </row>
    <row r="1063" spans="1:63" x14ac:dyDescent="0.4">
      <c r="A1063" s="147" t="s">
        <v>1140</v>
      </c>
      <c r="G1063" s="147" t="s">
        <v>1140</v>
      </c>
      <c r="H1063" s="159">
        <v>70.046000000000006</v>
      </c>
      <c r="I1063" s="153">
        <v>70.319999999999993</v>
      </c>
      <c r="J1063" s="153">
        <v>70.38</v>
      </c>
      <c r="K1063" s="153">
        <v>70.290000000000006</v>
      </c>
      <c r="L1063" s="153">
        <v>70.36</v>
      </c>
      <c r="M1063" s="80">
        <f t="shared" si="32"/>
        <v>70.38</v>
      </c>
      <c r="N1063" s="80">
        <f t="shared" si="33"/>
        <v>70.290000000000006</v>
      </c>
      <c r="O1063" s="153">
        <v>21.18</v>
      </c>
      <c r="P1063" s="153">
        <v>21</v>
      </c>
      <c r="Q1063" s="153">
        <v>21.16</v>
      </c>
      <c r="R1063" s="153">
        <v>21.09</v>
      </c>
      <c r="S1063" s="4"/>
      <c r="U1063" s="147" t="s">
        <v>1140</v>
      </c>
      <c r="V1063" s="11"/>
      <c r="W1063" s="4"/>
      <c r="X1063" s="12"/>
      <c r="Y1063" s="14"/>
      <c r="Z1063" s="4"/>
      <c r="AA1063" s="13"/>
      <c r="AB1063" s="11"/>
      <c r="AC1063" s="4"/>
      <c r="AD1063" s="12"/>
      <c r="AE1063" s="13"/>
      <c r="AF1063" s="14">
        <v>5.0084999999999997</v>
      </c>
      <c r="AG1063" s="133"/>
      <c r="AI1063" s="96"/>
      <c r="AL1063" s="64">
        <v>4.1721596666666656</v>
      </c>
      <c r="AM1063" s="56">
        <v>14.380000000000059</v>
      </c>
      <c r="AN1063" s="56">
        <v>16.260000000000119</v>
      </c>
      <c r="AO1063" s="62">
        <v>22.420000000000151</v>
      </c>
      <c r="AQ1063" s="64">
        <v>4.0807300166666662</v>
      </c>
      <c r="AR1063" s="56">
        <v>13.79999999999999</v>
      </c>
      <c r="AS1063" s="56">
        <v>15.17999999999997</v>
      </c>
      <c r="AT1063" s="62">
        <v>19.21999999999997</v>
      </c>
      <c r="AV1063" s="64">
        <v>3.727537383333333</v>
      </c>
      <c r="AW1063" s="56">
        <v>13.399999999999951</v>
      </c>
      <c r="AX1063" s="56">
        <v>14.77999999999993</v>
      </c>
      <c r="AY1063" s="62">
        <v>19.47999999999999</v>
      </c>
      <c r="BA1063" s="64">
        <v>3.1890652166666662</v>
      </c>
      <c r="BB1063" s="56">
        <v>16.439999999999969</v>
      </c>
      <c r="BC1063" s="56">
        <v>18.859999999999921</v>
      </c>
      <c r="BD1063" s="62">
        <v>30.65999999999995</v>
      </c>
      <c r="BF1063" s="64">
        <v>2.9525545499999999</v>
      </c>
      <c r="BG1063" s="56">
        <v>19.399999999999999</v>
      </c>
      <c r="BH1063" s="56">
        <v>25.72000000000001</v>
      </c>
      <c r="BI1063" s="62">
        <v>52.080000000000027</v>
      </c>
      <c r="BJ1063" s="70"/>
      <c r="BK1063" s="51"/>
    </row>
    <row r="1064" spans="1:63" x14ac:dyDescent="0.4">
      <c r="A1064" s="147" t="s">
        <v>1141</v>
      </c>
      <c r="G1064" s="147" t="s">
        <v>1141</v>
      </c>
      <c r="H1064" s="159">
        <v>69.975999999999999</v>
      </c>
      <c r="I1064" s="153">
        <v>70.400000000000006</v>
      </c>
      <c r="J1064" s="153">
        <v>70.28</v>
      </c>
      <c r="K1064" s="153">
        <v>70.27</v>
      </c>
      <c r="L1064" s="153">
        <v>70.33</v>
      </c>
      <c r="M1064" s="80">
        <f t="shared" si="32"/>
        <v>70.400000000000006</v>
      </c>
      <c r="N1064" s="80">
        <f t="shared" si="33"/>
        <v>70.27</v>
      </c>
      <c r="O1064" s="153">
        <v>21.08</v>
      </c>
      <c r="P1064" s="153">
        <v>21.03</v>
      </c>
      <c r="Q1064" s="153">
        <v>21.16</v>
      </c>
      <c r="R1064" s="153">
        <v>21.13</v>
      </c>
      <c r="S1064" s="4"/>
      <c r="U1064" s="147" t="s">
        <v>1141</v>
      </c>
      <c r="V1064" s="11"/>
      <c r="W1064" s="4"/>
      <c r="X1064" s="12"/>
      <c r="Y1064" s="14"/>
      <c r="Z1064" s="4"/>
      <c r="AA1064" s="13"/>
      <c r="AB1064" s="11"/>
      <c r="AC1064" s="4"/>
      <c r="AD1064" s="12"/>
      <c r="AE1064" s="13"/>
      <c r="AF1064" s="14">
        <v>5.0068000000000001</v>
      </c>
      <c r="AG1064" s="133"/>
      <c r="AI1064" s="96"/>
      <c r="AL1064" s="64">
        <v>4.1715209499999997</v>
      </c>
      <c r="AM1064" s="56">
        <v>14.400000000000009</v>
      </c>
      <c r="AN1064" s="56">
        <v>16.319999999999979</v>
      </c>
      <c r="AO1064" s="62">
        <v>22.499999999999961</v>
      </c>
      <c r="AQ1064" s="64">
        <v>4.0806446999999997</v>
      </c>
      <c r="AR1064" s="56">
        <v>13.840000000000069</v>
      </c>
      <c r="AS1064" s="56">
        <v>15.240000000000011</v>
      </c>
      <c r="AT1064" s="62">
        <v>19.32</v>
      </c>
      <c r="AV1064" s="64">
        <v>3.7271575499999989</v>
      </c>
      <c r="AW1064" s="56">
        <v>13.45999999999998</v>
      </c>
      <c r="AX1064" s="56">
        <v>14.87999999999996</v>
      </c>
      <c r="AY1064" s="62">
        <v>19.61999999999993</v>
      </c>
      <c r="BA1064" s="64">
        <v>3.1886223166666672</v>
      </c>
      <c r="BB1064" s="56">
        <v>16.759999999999931</v>
      </c>
      <c r="BC1064" s="56">
        <v>19.199999999999928</v>
      </c>
      <c r="BD1064" s="62">
        <v>31.179999999999989</v>
      </c>
      <c r="BF1064" s="64">
        <v>2.9595939666666671</v>
      </c>
      <c r="BG1064" s="56">
        <v>19.639999999999969</v>
      </c>
      <c r="BH1064" s="56">
        <v>25.899999999999949</v>
      </c>
      <c r="BI1064" s="62">
        <v>51.999999999999957</v>
      </c>
      <c r="BJ1064" s="70"/>
      <c r="BK1064" s="51"/>
    </row>
    <row r="1065" spans="1:63" x14ac:dyDescent="0.4">
      <c r="A1065" s="147" t="s">
        <v>1142</v>
      </c>
      <c r="G1065" s="147" t="s">
        <v>1142</v>
      </c>
      <c r="H1065" s="159">
        <v>70.028999999999996</v>
      </c>
      <c r="I1065" s="153">
        <v>70.28</v>
      </c>
      <c r="J1065" s="153">
        <v>70.37</v>
      </c>
      <c r="K1065" s="153">
        <v>70.39</v>
      </c>
      <c r="L1065" s="153">
        <v>70.33</v>
      </c>
      <c r="M1065" s="80">
        <f t="shared" si="32"/>
        <v>70.39</v>
      </c>
      <c r="N1065" s="80">
        <f t="shared" si="33"/>
        <v>70.28</v>
      </c>
      <c r="O1065" s="153">
        <v>21.22</v>
      </c>
      <c r="P1065" s="153">
        <v>21.06</v>
      </c>
      <c r="Q1065" s="153">
        <v>21.1</v>
      </c>
      <c r="R1065" s="153">
        <v>21.05</v>
      </c>
      <c r="S1065" s="4"/>
      <c r="U1065" s="147" t="s">
        <v>1142</v>
      </c>
      <c r="V1065" s="11"/>
      <c r="W1065" s="4"/>
      <c r="X1065" s="12"/>
      <c r="Y1065" s="14"/>
      <c r="Z1065" s="4"/>
      <c r="AA1065" s="13"/>
      <c r="AB1065" s="11"/>
      <c r="AC1065" s="4"/>
      <c r="AD1065" s="12"/>
      <c r="AE1065" s="13"/>
      <c r="AF1065" s="14">
        <v>4.9893999999999998</v>
      </c>
      <c r="AG1065" s="133"/>
      <c r="AI1065" s="96"/>
      <c r="AL1065" s="64">
        <v>4.1715208666666674</v>
      </c>
      <c r="AM1065" s="56">
        <v>14.41999999999997</v>
      </c>
      <c r="AN1065" s="56">
        <v>16.319999999999979</v>
      </c>
      <c r="AO1065" s="62">
        <v>22.499999999999961</v>
      </c>
      <c r="AQ1065" s="64">
        <v>4.0810148333333336</v>
      </c>
      <c r="AR1065" s="56">
        <v>13.879999999999979</v>
      </c>
      <c r="AS1065" s="56">
        <v>15.30000000000005</v>
      </c>
      <c r="AT1065" s="62">
        <v>19.380000000000042</v>
      </c>
      <c r="AV1065" s="64">
        <v>3.727622783333334</v>
      </c>
      <c r="AW1065" s="56">
        <v>13.480000000000031</v>
      </c>
      <c r="AX1065" s="56">
        <v>14.87999999999996</v>
      </c>
      <c r="AY1065" s="62">
        <v>19.620000000000019</v>
      </c>
      <c r="BA1065" s="64">
        <v>3.1872791</v>
      </c>
      <c r="BB1065" s="56">
        <v>16.559999999999949</v>
      </c>
      <c r="BC1065" s="56">
        <v>19.019999999999989</v>
      </c>
      <c r="BD1065" s="62">
        <v>30.999999999999961</v>
      </c>
      <c r="BF1065" s="64">
        <v>2.9563168000000011</v>
      </c>
      <c r="BG1065" s="56">
        <v>19.36</v>
      </c>
      <c r="BH1065" s="56">
        <v>25.640000000000018</v>
      </c>
      <c r="BI1065" s="62">
        <v>51.820000000000022</v>
      </c>
      <c r="BJ1065" s="70"/>
      <c r="BK1065" s="51"/>
    </row>
    <row r="1066" spans="1:63" x14ac:dyDescent="0.4">
      <c r="A1066" s="147" t="s">
        <v>1143</v>
      </c>
      <c r="G1066" s="147" t="s">
        <v>1143</v>
      </c>
      <c r="H1066" s="159">
        <v>69.989000000000004</v>
      </c>
      <c r="I1066" s="153">
        <v>70.3</v>
      </c>
      <c r="J1066" s="153">
        <v>70.33</v>
      </c>
      <c r="K1066" s="153">
        <v>70.36</v>
      </c>
      <c r="L1066" s="153">
        <v>70.27</v>
      </c>
      <c r="M1066" s="80">
        <f t="shared" si="32"/>
        <v>70.36</v>
      </c>
      <c r="N1066" s="80">
        <f t="shared" si="33"/>
        <v>70.27</v>
      </c>
      <c r="O1066" s="153">
        <v>21.14</v>
      </c>
      <c r="P1066" s="153">
        <v>21.1</v>
      </c>
      <c r="Q1066" s="153">
        <v>21.08</v>
      </c>
      <c r="R1066" s="153">
        <v>20.98</v>
      </c>
      <c r="S1066" s="4"/>
      <c r="U1066" s="147" t="s">
        <v>1143</v>
      </c>
      <c r="V1066" s="11"/>
      <c r="W1066" s="4"/>
      <c r="X1066" s="12"/>
      <c r="Y1066" s="14"/>
      <c r="Z1066" s="4"/>
      <c r="AA1066" s="13"/>
      <c r="AB1066" s="11"/>
      <c r="AC1066" s="4"/>
      <c r="AD1066" s="12"/>
      <c r="AE1066" s="13"/>
      <c r="AF1066" s="14">
        <v>5.0270999999999999</v>
      </c>
      <c r="AG1066" s="133"/>
      <c r="AI1066" s="96"/>
      <c r="AL1066" s="64">
        <v>4.1714577833333344</v>
      </c>
      <c r="AM1066" s="56">
        <v>14.460000000000051</v>
      </c>
      <c r="AN1066" s="56">
        <v>16.38000000000002</v>
      </c>
      <c r="AO1066" s="62">
        <v>22.58000000000013</v>
      </c>
      <c r="AQ1066" s="64">
        <v>4.0810737000000001</v>
      </c>
      <c r="AR1066" s="56">
        <v>13.920000000000069</v>
      </c>
      <c r="AS1066" s="56">
        <v>15.32</v>
      </c>
      <c r="AT1066" s="62">
        <v>19.439999999999991</v>
      </c>
      <c r="AV1066" s="64">
        <v>3.727484</v>
      </c>
      <c r="AW1066" s="56">
        <v>13.59999999999992</v>
      </c>
      <c r="AX1066" s="56">
        <v>15.019999999999991</v>
      </c>
      <c r="AY1066" s="62">
        <v>19.81999999999999</v>
      </c>
      <c r="BA1066" s="64">
        <v>3.1856004833333329</v>
      </c>
      <c r="BB1066" s="56">
        <v>16.98000000000004</v>
      </c>
      <c r="BC1066" s="56">
        <v>19.500000000000028</v>
      </c>
      <c r="BD1066" s="62">
        <v>31.740000000000009</v>
      </c>
      <c r="BF1066" s="64">
        <v>2.9544489666666669</v>
      </c>
      <c r="BG1066" s="56">
        <v>19.93999999999998</v>
      </c>
      <c r="BH1066" s="56">
        <v>26.65999999999995</v>
      </c>
      <c r="BI1066" s="62">
        <v>53.739999999999988</v>
      </c>
      <c r="BJ1066" s="70"/>
      <c r="BK1066" s="51"/>
    </row>
    <row r="1067" spans="1:63" x14ac:dyDescent="0.4">
      <c r="A1067" s="147" t="s">
        <v>1144</v>
      </c>
      <c r="G1067" s="147" t="s">
        <v>1144</v>
      </c>
      <c r="H1067" s="159">
        <v>69.995999999999995</v>
      </c>
      <c r="I1067" s="153">
        <v>70.349999999999994</v>
      </c>
      <c r="J1067" s="153">
        <v>70.349999999999994</v>
      </c>
      <c r="K1067" s="153">
        <v>70.349999999999994</v>
      </c>
      <c r="L1067" s="153">
        <v>70.3</v>
      </c>
      <c r="M1067" s="80">
        <f t="shared" si="32"/>
        <v>70.349999999999994</v>
      </c>
      <c r="N1067" s="80">
        <f t="shared" si="33"/>
        <v>70.3</v>
      </c>
      <c r="O1067" s="153">
        <v>21.19</v>
      </c>
      <c r="P1067" s="153">
        <v>21.11</v>
      </c>
      <c r="Q1067" s="153">
        <v>21.15</v>
      </c>
      <c r="R1067" s="153">
        <v>21.1</v>
      </c>
      <c r="S1067" s="4"/>
      <c r="U1067" s="147" t="s">
        <v>1144</v>
      </c>
      <c r="V1067" s="11"/>
      <c r="W1067" s="4"/>
      <c r="X1067" s="12"/>
      <c r="Y1067" s="14"/>
      <c r="Z1067" s="4"/>
      <c r="AA1067" s="13"/>
      <c r="AB1067" s="11"/>
      <c r="AC1067" s="4"/>
      <c r="AD1067" s="12"/>
      <c r="AE1067" s="13"/>
      <c r="AF1067" s="14">
        <v>5.0270999999999999</v>
      </c>
      <c r="AG1067" s="133"/>
      <c r="AI1067" s="96"/>
      <c r="AL1067" s="64">
        <v>4.1715338499999994</v>
      </c>
      <c r="AM1067" s="56">
        <v>15.30000000000005</v>
      </c>
      <c r="AN1067" s="56">
        <v>17.3</v>
      </c>
      <c r="AO1067" s="62">
        <v>23.659999999999929</v>
      </c>
      <c r="AQ1067" s="64">
        <v>4.0813998666666684</v>
      </c>
      <c r="AR1067" s="56">
        <v>14.94</v>
      </c>
      <c r="AS1067" s="56">
        <v>16.440000000000051</v>
      </c>
      <c r="AT1067" s="62">
        <v>20.740000000000069</v>
      </c>
      <c r="AV1067" s="64">
        <v>3.7281920666666659</v>
      </c>
      <c r="AW1067" s="56">
        <v>14.57999999999995</v>
      </c>
      <c r="AX1067" s="56">
        <v>16.080000000000009</v>
      </c>
      <c r="AY1067" s="62">
        <v>21.079999999999991</v>
      </c>
      <c r="BA1067" s="64">
        <v>3.1854068000000009</v>
      </c>
      <c r="BB1067" s="56">
        <v>17.57999999999997</v>
      </c>
      <c r="BC1067" s="56">
        <v>20.12</v>
      </c>
      <c r="BD1067" s="62">
        <v>32.420000000000023</v>
      </c>
      <c r="BF1067" s="64">
        <v>2.9545089</v>
      </c>
      <c r="BG1067" s="56">
        <v>20.61999999999999</v>
      </c>
      <c r="BH1067" s="56">
        <v>27.179999999999978</v>
      </c>
      <c r="BI1067" s="62">
        <v>53.979999999999961</v>
      </c>
      <c r="BJ1067" s="70"/>
      <c r="BK1067" s="51"/>
    </row>
    <row r="1068" spans="1:63" x14ac:dyDescent="0.4">
      <c r="A1068" s="147" t="s">
        <v>1145</v>
      </c>
      <c r="G1068" s="147" t="s">
        <v>1145</v>
      </c>
      <c r="H1068" s="159">
        <v>70.048000000000002</v>
      </c>
      <c r="I1068" s="153">
        <v>70.36</v>
      </c>
      <c r="J1068" s="153">
        <v>70.28</v>
      </c>
      <c r="K1068" s="153">
        <v>70.3</v>
      </c>
      <c r="L1068" s="153">
        <v>70.38</v>
      </c>
      <c r="M1068" s="80">
        <f t="shared" si="32"/>
        <v>70.38</v>
      </c>
      <c r="N1068" s="80">
        <f t="shared" si="33"/>
        <v>70.28</v>
      </c>
      <c r="O1068" s="153">
        <v>21.17</v>
      </c>
      <c r="P1068" s="153">
        <v>21.01</v>
      </c>
      <c r="Q1068" s="153">
        <v>21.15</v>
      </c>
      <c r="R1068" s="153">
        <v>21.05</v>
      </c>
      <c r="S1068" s="4"/>
      <c r="U1068" s="147" t="s">
        <v>1145</v>
      </c>
      <c r="V1068" s="11"/>
      <c r="W1068" s="4"/>
      <c r="X1068" s="12"/>
      <c r="Y1068" s="14"/>
      <c r="Z1068" s="4"/>
      <c r="AA1068" s="13"/>
      <c r="AB1068" s="11"/>
      <c r="AC1068" s="4"/>
      <c r="AD1068" s="12"/>
      <c r="AE1068" s="13"/>
      <c r="AF1068" s="14">
        <v>5.0358000000000001</v>
      </c>
      <c r="AG1068" s="133"/>
      <c r="AI1068" s="96"/>
      <c r="AL1068" s="64">
        <v>4.171533216666667</v>
      </c>
      <c r="AM1068" s="56">
        <v>15.32</v>
      </c>
      <c r="AN1068" s="56">
        <v>17.319999999999961</v>
      </c>
      <c r="AO1068" s="62">
        <v>23.659999999999929</v>
      </c>
      <c r="AQ1068" s="64">
        <v>4.0826288000000002</v>
      </c>
      <c r="AR1068" s="56">
        <v>15.000000000000041</v>
      </c>
      <c r="AS1068" s="56">
        <v>16.479999999999961</v>
      </c>
      <c r="AT1068" s="62">
        <v>20.819999999999968</v>
      </c>
      <c r="AV1068" s="64">
        <v>3.7289437333333342</v>
      </c>
      <c r="AW1068" s="56">
        <v>14.48</v>
      </c>
      <c r="AX1068" s="56">
        <v>15.939999999999969</v>
      </c>
      <c r="AY1068" s="62">
        <v>20.88000000000001</v>
      </c>
      <c r="BA1068" s="64">
        <v>3.1844025833333331</v>
      </c>
      <c r="BB1068" s="56">
        <v>17.56000000000002</v>
      </c>
      <c r="BC1068" s="56">
        <v>20.12</v>
      </c>
      <c r="BD1068" s="62">
        <v>32.519999999999968</v>
      </c>
      <c r="BF1068" s="64">
        <v>2.9576041000000002</v>
      </c>
      <c r="BG1068" s="56">
        <v>20.500000000000011</v>
      </c>
      <c r="BH1068" s="56">
        <v>27.040000000000038</v>
      </c>
      <c r="BI1068" s="62">
        <v>53.760000000000034</v>
      </c>
      <c r="BJ1068" s="70"/>
      <c r="BK1068" s="51"/>
    </row>
    <row r="1069" spans="1:63" x14ac:dyDescent="0.4">
      <c r="A1069" s="147" t="s">
        <v>1146</v>
      </c>
      <c r="G1069" s="147" t="s">
        <v>1146</v>
      </c>
      <c r="H1069" s="159">
        <v>70.034000000000006</v>
      </c>
      <c r="I1069" s="153">
        <v>70.37</v>
      </c>
      <c r="J1069" s="153">
        <v>70.27</v>
      </c>
      <c r="K1069" s="153">
        <v>70.3</v>
      </c>
      <c r="L1069" s="153">
        <v>70.3</v>
      </c>
      <c r="M1069" s="80">
        <f t="shared" si="32"/>
        <v>70.37</v>
      </c>
      <c r="N1069" s="80">
        <f t="shared" si="33"/>
        <v>70.27</v>
      </c>
      <c r="O1069" s="153">
        <v>21.16</v>
      </c>
      <c r="P1069" s="153">
        <v>21.11</v>
      </c>
      <c r="Q1069" s="153">
        <v>21.14</v>
      </c>
      <c r="R1069" s="153">
        <v>21.13</v>
      </c>
      <c r="S1069" s="4"/>
      <c r="U1069" s="147" t="s">
        <v>1146</v>
      </c>
      <c r="V1069" s="11"/>
      <c r="W1069" s="4"/>
      <c r="X1069" s="12"/>
      <c r="Y1069" s="14"/>
      <c r="Z1069" s="4"/>
      <c r="AA1069" s="13"/>
      <c r="AB1069" s="11"/>
      <c r="AC1069" s="4"/>
      <c r="AD1069" s="12"/>
      <c r="AE1069" s="13"/>
      <c r="AF1069" s="14">
        <v>5.0350000000000001</v>
      </c>
      <c r="AG1069" s="133"/>
      <c r="AI1069" s="96"/>
      <c r="AL1069" s="64">
        <v>4.1716830999999992</v>
      </c>
      <c r="AM1069" s="56">
        <v>14.56</v>
      </c>
      <c r="AN1069" s="56">
        <v>16.519999999999872</v>
      </c>
      <c r="AO1069" s="62">
        <v>22.719999999999981</v>
      </c>
      <c r="AQ1069" s="64">
        <v>4.081876966666667</v>
      </c>
      <c r="AR1069" s="56">
        <v>14.48</v>
      </c>
      <c r="AS1069" s="56">
        <v>15.95999999999993</v>
      </c>
      <c r="AT1069" s="62">
        <v>20.2</v>
      </c>
      <c r="AV1069" s="64">
        <v>3.7283683000000001</v>
      </c>
      <c r="AW1069" s="56">
        <v>13.73999999999995</v>
      </c>
      <c r="AX1069" s="56">
        <v>15.20000000000001</v>
      </c>
      <c r="AY1069" s="62">
        <v>20.019999999999971</v>
      </c>
      <c r="BA1069" s="64">
        <v>3.1834058000000001</v>
      </c>
      <c r="BB1069" s="56">
        <v>16.479999999999961</v>
      </c>
      <c r="BC1069" s="56">
        <v>18.99999999999995</v>
      </c>
      <c r="BD1069" s="62">
        <v>31.119999999999951</v>
      </c>
      <c r="BF1069" s="64">
        <v>2.9541515500000002</v>
      </c>
      <c r="BG1069" s="56">
        <v>19.339999999999961</v>
      </c>
      <c r="BH1069" s="56">
        <v>25.779999999999959</v>
      </c>
      <c r="BI1069" s="62">
        <v>52.400000000000013</v>
      </c>
      <c r="BJ1069" s="70"/>
      <c r="BK1069" s="51"/>
    </row>
    <row r="1070" spans="1:63" x14ac:dyDescent="0.4">
      <c r="A1070" s="147" t="s">
        <v>1147</v>
      </c>
      <c r="G1070" s="147" t="s">
        <v>1147</v>
      </c>
      <c r="H1070" s="159">
        <v>69.959000000000003</v>
      </c>
      <c r="I1070" s="153">
        <v>70.31</v>
      </c>
      <c r="J1070" s="153">
        <v>70.3</v>
      </c>
      <c r="K1070" s="153">
        <v>70.28</v>
      </c>
      <c r="L1070" s="153">
        <v>70.33</v>
      </c>
      <c r="M1070" s="80">
        <f t="shared" si="32"/>
        <v>70.33</v>
      </c>
      <c r="N1070" s="80">
        <f t="shared" si="33"/>
        <v>70.28</v>
      </c>
      <c r="O1070" s="153">
        <v>21.22</v>
      </c>
      <c r="P1070" s="153">
        <v>21.06</v>
      </c>
      <c r="Q1070" s="153">
        <v>21.1</v>
      </c>
      <c r="R1070" s="153">
        <v>21.07</v>
      </c>
      <c r="S1070" s="4"/>
      <c r="U1070" s="147" t="s">
        <v>1147</v>
      </c>
      <c r="V1070" s="11"/>
      <c r="W1070" s="4"/>
      <c r="X1070" s="12"/>
      <c r="Y1070" s="14"/>
      <c r="Z1070" s="4"/>
      <c r="AA1070" s="13"/>
      <c r="AB1070" s="11"/>
      <c r="AC1070" s="4"/>
      <c r="AD1070" s="12"/>
      <c r="AE1070" s="13"/>
      <c r="AF1070" s="14">
        <v>5.0167999999999999</v>
      </c>
      <c r="AG1070" s="133"/>
      <c r="AI1070" s="96"/>
      <c r="AL1070" s="64">
        <v>4.1716064333333334</v>
      </c>
      <c r="AM1070" s="56">
        <v>15.199999999999919</v>
      </c>
      <c r="AN1070" s="56">
        <v>17.199999999999878</v>
      </c>
      <c r="AO1070" s="62">
        <v>23.599999999999891</v>
      </c>
      <c r="AQ1070" s="64">
        <v>4.0816726166666664</v>
      </c>
      <c r="AR1070" s="56">
        <v>14.94</v>
      </c>
      <c r="AS1070" s="56">
        <v>16.439999999999969</v>
      </c>
      <c r="AT1070" s="62">
        <v>20.77999999999998</v>
      </c>
      <c r="AV1070" s="64">
        <v>3.7285405666666671</v>
      </c>
      <c r="AW1070" s="56">
        <v>14.400000000000009</v>
      </c>
      <c r="AX1070" s="56">
        <v>15.90000000000007</v>
      </c>
      <c r="AY1070" s="62">
        <v>20.920000000000009</v>
      </c>
      <c r="BA1070" s="64">
        <v>3.1857815833333341</v>
      </c>
      <c r="BB1070" s="56">
        <v>17.360000000000039</v>
      </c>
      <c r="BC1070" s="56">
        <v>19.899999999999981</v>
      </c>
      <c r="BD1070" s="62">
        <v>32.200000000000003</v>
      </c>
      <c r="BF1070" s="64">
        <v>2.9556555499999999</v>
      </c>
      <c r="BG1070" s="56">
        <v>20.2</v>
      </c>
      <c r="BH1070" s="56">
        <v>26.74000000000003</v>
      </c>
      <c r="BI1070" s="62">
        <v>53.440000000000062</v>
      </c>
      <c r="BJ1070" s="70"/>
      <c r="BK1070" s="51"/>
    </row>
    <row r="1071" spans="1:63" x14ac:dyDescent="0.4">
      <c r="A1071" s="147" t="s">
        <v>1148</v>
      </c>
      <c r="G1071" s="147" t="s">
        <v>1148</v>
      </c>
      <c r="H1071" s="159">
        <v>70.055000000000007</v>
      </c>
      <c r="I1071" s="153">
        <v>70.37</v>
      </c>
      <c r="J1071" s="153">
        <v>70.349999999999994</v>
      </c>
      <c r="K1071" s="153">
        <v>70.36</v>
      </c>
      <c r="L1071" s="153">
        <v>70.28</v>
      </c>
      <c r="M1071" s="80">
        <f t="shared" si="32"/>
        <v>70.37</v>
      </c>
      <c r="N1071" s="80">
        <f t="shared" si="33"/>
        <v>70.28</v>
      </c>
      <c r="O1071" s="153">
        <v>21.11</v>
      </c>
      <c r="P1071" s="153">
        <v>21.06</v>
      </c>
      <c r="Q1071" s="153">
        <v>21.09</v>
      </c>
      <c r="R1071" s="153">
        <v>21.07</v>
      </c>
      <c r="S1071" s="4"/>
      <c r="U1071" s="147" t="s">
        <v>1148</v>
      </c>
      <c r="V1071" s="11"/>
      <c r="W1071" s="4"/>
      <c r="X1071" s="12"/>
      <c r="Y1071" s="14"/>
      <c r="Z1071" s="4"/>
      <c r="AA1071" s="13"/>
      <c r="AB1071" s="11"/>
      <c r="AC1071" s="4"/>
      <c r="AD1071" s="12"/>
      <c r="AE1071" s="13"/>
      <c r="AF1071" s="14">
        <v>5.0244</v>
      </c>
      <c r="AG1071" s="133"/>
      <c r="AI1071" s="96"/>
      <c r="AL1071" s="64">
        <v>4.1714708500000004</v>
      </c>
      <c r="AM1071" s="56">
        <v>15.120000000000109</v>
      </c>
      <c r="AN1071" s="56">
        <v>17.120000000000068</v>
      </c>
      <c r="AO1071" s="62">
        <v>23.440000000000079</v>
      </c>
      <c r="AQ1071" s="64">
        <v>4.0818299333333332</v>
      </c>
      <c r="AR1071" s="56">
        <v>14.920000000000041</v>
      </c>
      <c r="AS1071" s="56">
        <v>16.440000000000051</v>
      </c>
      <c r="AT1071" s="62">
        <v>20.720000000000031</v>
      </c>
      <c r="AV1071" s="64">
        <v>3.7271817166666659</v>
      </c>
      <c r="AW1071" s="56">
        <v>14.539999999999949</v>
      </c>
      <c r="AX1071" s="56">
        <v>16.04000000000001</v>
      </c>
      <c r="AY1071" s="62">
        <v>21.039999999999988</v>
      </c>
      <c r="BA1071" s="64">
        <v>3.1742054333333338</v>
      </c>
      <c r="BB1071" s="56">
        <v>17.760000000000002</v>
      </c>
      <c r="BC1071" s="56">
        <v>20.439999999999969</v>
      </c>
      <c r="BD1071" s="62">
        <v>33.239999999999981</v>
      </c>
      <c r="BF1071" s="64">
        <v>2.936021633333334</v>
      </c>
      <c r="BG1071" s="56">
        <v>20.420000000000019</v>
      </c>
      <c r="BH1071" s="56">
        <v>26.860000000000021</v>
      </c>
      <c r="BI1071" s="62">
        <v>54.85999999999995</v>
      </c>
      <c r="BJ1071" s="70"/>
      <c r="BK1071" s="51"/>
    </row>
    <row r="1072" spans="1:63" x14ac:dyDescent="0.4">
      <c r="A1072" s="147" t="s">
        <v>1149</v>
      </c>
      <c r="G1072" s="147" t="s">
        <v>1149</v>
      </c>
      <c r="H1072" s="159">
        <v>70.069000000000003</v>
      </c>
      <c r="I1072" s="153">
        <v>70.39</v>
      </c>
      <c r="J1072" s="153">
        <v>70.38</v>
      </c>
      <c r="K1072" s="153">
        <v>70.37</v>
      </c>
      <c r="L1072" s="153">
        <v>70.38</v>
      </c>
      <c r="M1072" s="80">
        <f t="shared" si="32"/>
        <v>70.39</v>
      </c>
      <c r="N1072" s="80">
        <f t="shared" si="33"/>
        <v>70.37</v>
      </c>
      <c r="O1072" s="153">
        <v>21.18</v>
      </c>
      <c r="P1072" s="153">
        <v>21.07</v>
      </c>
      <c r="Q1072" s="153">
        <v>21.11</v>
      </c>
      <c r="R1072" s="153">
        <v>20.97</v>
      </c>
      <c r="S1072" s="4"/>
      <c r="U1072" s="147" t="s">
        <v>1149</v>
      </c>
      <c r="V1072" s="11"/>
      <c r="W1072" s="4"/>
      <c r="X1072" s="12"/>
      <c r="Y1072" s="14"/>
      <c r="Z1072" s="4"/>
      <c r="AA1072" s="13"/>
      <c r="AB1072" s="11"/>
      <c r="AC1072" s="4"/>
      <c r="AD1072" s="12"/>
      <c r="AE1072" s="13"/>
      <c r="AF1072" s="14">
        <v>5.0087000000000002</v>
      </c>
      <c r="AG1072" s="133"/>
      <c r="AI1072" s="96"/>
      <c r="AL1072" s="64">
        <v>4.1717395666666661</v>
      </c>
      <c r="AM1072" s="56">
        <v>13.85999999999985</v>
      </c>
      <c r="AN1072" s="56">
        <v>15.78</v>
      </c>
      <c r="AO1072" s="62">
        <v>21.95999999999998</v>
      </c>
      <c r="AQ1072" s="64">
        <v>4.0830967500000011</v>
      </c>
      <c r="AR1072" s="56">
        <v>13.759999999999909</v>
      </c>
      <c r="AS1072" s="56">
        <v>15.16000000000002</v>
      </c>
      <c r="AT1072" s="62">
        <v>19.21999999999997</v>
      </c>
      <c r="AV1072" s="64">
        <v>3.7304225666666668</v>
      </c>
      <c r="AW1072" s="56">
        <v>13.46000000000007</v>
      </c>
      <c r="AX1072" s="56">
        <v>14.820000000000009</v>
      </c>
      <c r="AY1072" s="62">
        <v>19.520000000000071</v>
      </c>
      <c r="BA1072" s="64">
        <v>3.1957293166666672</v>
      </c>
      <c r="BB1072" s="56">
        <v>16.72000000000002</v>
      </c>
      <c r="BC1072" s="56">
        <v>19.139999999999979</v>
      </c>
      <c r="BD1072" s="62">
        <v>30.820000000000029</v>
      </c>
      <c r="BF1072" s="64">
        <v>2.9549717833333329</v>
      </c>
      <c r="BG1072" s="56">
        <v>19.679999999999961</v>
      </c>
      <c r="BH1072" s="56">
        <v>25.899999999999949</v>
      </c>
      <c r="BI1072" s="62">
        <v>52.099999999999987</v>
      </c>
      <c r="BJ1072" s="70"/>
      <c r="BK1072" s="51"/>
    </row>
    <row r="1073" spans="1:63" x14ac:dyDescent="0.4">
      <c r="A1073" s="147" t="s">
        <v>1150</v>
      </c>
      <c r="G1073" s="147" t="s">
        <v>1150</v>
      </c>
      <c r="H1073" s="159">
        <v>70.058999999999997</v>
      </c>
      <c r="I1073" s="153">
        <v>70.39</v>
      </c>
      <c r="J1073" s="153">
        <v>70.34</v>
      </c>
      <c r="K1073" s="153">
        <v>70.3</v>
      </c>
      <c r="L1073" s="153">
        <v>70.349999999999994</v>
      </c>
      <c r="M1073" s="80">
        <f t="shared" si="32"/>
        <v>70.39</v>
      </c>
      <c r="N1073" s="80">
        <f t="shared" si="33"/>
        <v>70.3</v>
      </c>
      <c r="O1073" s="153">
        <v>21.12</v>
      </c>
      <c r="P1073" s="153">
        <v>21.15</v>
      </c>
      <c r="Q1073" s="153">
        <v>21.15</v>
      </c>
      <c r="R1073" s="153">
        <v>21.11</v>
      </c>
      <c r="S1073" s="4"/>
      <c r="U1073" s="147" t="s">
        <v>1150</v>
      </c>
      <c r="V1073" s="11"/>
      <c r="W1073" s="4"/>
      <c r="X1073" s="12"/>
      <c r="Y1073" s="14"/>
      <c r="Z1073" s="4"/>
      <c r="AA1073" s="13"/>
      <c r="AB1073" s="11"/>
      <c r="AC1073" s="4"/>
      <c r="AD1073" s="12"/>
      <c r="AE1073" s="13"/>
      <c r="AF1073" s="14">
        <v>5.0048000000000004</v>
      </c>
      <c r="AG1073" s="133"/>
      <c r="AI1073" s="96"/>
      <c r="AL1073" s="64">
        <v>4.1709729833333329</v>
      </c>
      <c r="AM1073" s="56">
        <v>14.1</v>
      </c>
      <c r="AN1073" s="56">
        <v>16.020000000000149</v>
      </c>
      <c r="AO1073" s="62">
        <v>22.18</v>
      </c>
      <c r="AQ1073" s="64">
        <v>4.0821266833333327</v>
      </c>
      <c r="AR1073" s="56">
        <v>13.78000000000004</v>
      </c>
      <c r="AS1073" s="56">
        <v>15.16000000000002</v>
      </c>
      <c r="AT1073" s="62">
        <v>19.260000000000051</v>
      </c>
      <c r="AV1073" s="64">
        <v>3.7287264000000002</v>
      </c>
      <c r="AW1073" s="56">
        <v>13.36000000000004</v>
      </c>
      <c r="AX1073" s="56">
        <v>14.74000000000002</v>
      </c>
      <c r="AY1073" s="62">
        <v>19.47999999999999</v>
      </c>
      <c r="BA1073" s="64">
        <v>3.1894795333333339</v>
      </c>
      <c r="BB1073" s="56">
        <v>16.340000000000021</v>
      </c>
      <c r="BC1073" s="56">
        <v>18.780000000000019</v>
      </c>
      <c r="BD1073" s="62">
        <v>30.74000000000003</v>
      </c>
      <c r="BF1073" s="64">
        <v>2.9606906166666671</v>
      </c>
      <c r="BG1073" s="56">
        <v>18.920000000000051</v>
      </c>
      <c r="BH1073" s="56">
        <v>25.279999999999969</v>
      </c>
      <c r="BI1073" s="62">
        <v>51.259999999999991</v>
      </c>
      <c r="BJ1073" s="70"/>
      <c r="BK1073" s="51"/>
    </row>
    <row r="1074" spans="1:63" x14ac:dyDescent="0.4">
      <c r="A1074" s="147" t="s">
        <v>1151</v>
      </c>
      <c r="G1074" s="147" t="s">
        <v>1151</v>
      </c>
      <c r="H1074" s="159">
        <v>70</v>
      </c>
      <c r="I1074" s="153">
        <v>70.37</v>
      </c>
      <c r="J1074" s="153">
        <v>70.37</v>
      </c>
      <c r="K1074" s="153">
        <v>70.34</v>
      </c>
      <c r="L1074" s="153">
        <v>70.28</v>
      </c>
      <c r="M1074" s="80">
        <f t="shared" si="32"/>
        <v>70.37</v>
      </c>
      <c r="N1074" s="80">
        <f t="shared" si="33"/>
        <v>70.28</v>
      </c>
      <c r="O1074" s="153">
        <v>21.18</v>
      </c>
      <c r="P1074" s="153">
        <v>21.1</v>
      </c>
      <c r="Q1074" s="153">
        <v>21.11</v>
      </c>
      <c r="R1074" s="153">
        <v>21.07</v>
      </c>
      <c r="S1074" s="4"/>
      <c r="U1074" s="147" t="s">
        <v>1151</v>
      </c>
      <c r="V1074" s="11"/>
      <c r="W1074" s="4"/>
      <c r="X1074" s="12"/>
      <c r="Y1074" s="14"/>
      <c r="Z1074" s="4"/>
      <c r="AA1074" s="13"/>
      <c r="AB1074" s="11"/>
      <c r="AC1074" s="4"/>
      <c r="AD1074" s="12"/>
      <c r="AE1074" s="13"/>
      <c r="AF1074" s="14">
        <v>5.0101000000000004</v>
      </c>
      <c r="AG1074" s="133"/>
      <c r="AI1074" s="96"/>
      <c r="AL1074" s="64">
        <v>4.1708270999999986</v>
      </c>
      <c r="AM1074" s="56">
        <v>14.81999999999992</v>
      </c>
      <c r="AN1074" s="56">
        <v>16.760000000000019</v>
      </c>
      <c r="AO1074" s="62">
        <v>22.959999999999962</v>
      </c>
      <c r="AQ1074" s="64">
        <v>4.0795237000000011</v>
      </c>
      <c r="AR1074" s="56">
        <v>14.160000000000039</v>
      </c>
      <c r="AS1074" s="56">
        <v>15.5800000000001</v>
      </c>
      <c r="AT1074" s="62">
        <v>19.70000000000001</v>
      </c>
      <c r="AV1074" s="64">
        <v>3.7257768000000002</v>
      </c>
      <c r="AW1074" s="56">
        <v>13.88000000000007</v>
      </c>
      <c r="AX1074" s="56">
        <v>15.30000000000005</v>
      </c>
      <c r="AY1074" s="62">
        <v>20.100000000000051</v>
      </c>
      <c r="BA1074" s="64">
        <v>3.1862872333333332</v>
      </c>
      <c r="BB1074" s="56">
        <v>17.3</v>
      </c>
      <c r="BC1074" s="56">
        <v>19.81999999999999</v>
      </c>
      <c r="BD1074" s="62">
        <v>32.019999999999982</v>
      </c>
      <c r="BF1074" s="64">
        <v>2.9629379833333331</v>
      </c>
      <c r="BG1074" s="56">
        <v>20.16</v>
      </c>
      <c r="BH1074" s="56">
        <v>26.28000000000004</v>
      </c>
      <c r="BI1074" s="62">
        <v>51.98</v>
      </c>
      <c r="BJ1074" s="70"/>
      <c r="BK1074" s="51"/>
    </row>
    <row r="1075" spans="1:63" x14ac:dyDescent="0.4">
      <c r="A1075" s="147" t="s">
        <v>1152</v>
      </c>
      <c r="G1075" s="147" t="s">
        <v>1152</v>
      </c>
      <c r="H1075" s="159">
        <v>69.991</v>
      </c>
      <c r="I1075" s="153">
        <v>70.319999999999993</v>
      </c>
      <c r="J1075" s="153">
        <v>70.39</v>
      </c>
      <c r="K1075" s="153">
        <v>70.349999999999994</v>
      </c>
      <c r="L1075" s="153">
        <v>70.34</v>
      </c>
      <c r="M1075" s="80">
        <f t="shared" si="32"/>
        <v>70.39</v>
      </c>
      <c r="N1075" s="80">
        <f t="shared" si="33"/>
        <v>70.319999999999993</v>
      </c>
      <c r="O1075" s="153">
        <v>21.18</v>
      </c>
      <c r="P1075" s="153">
        <v>21.03</v>
      </c>
      <c r="Q1075" s="153">
        <v>21.16</v>
      </c>
      <c r="R1075" s="153">
        <v>21.08</v>
      </c>
      <c r="S1075" s="4"/>
      <c r="U1075" s="147" t="s">
        <v>1152</v>
      </c>
      <c r="V1075" s="11"/>
      <c r="W1075" s="4"/>
      <c r="X1075" s="12"/>
      <c r="Y1075" s="14"/>
      <c r="Z1075" s="4"/>
      <c r="AA1075" s="13"/>
      <c r="AB1075" s="11"/>
      <c r="AC1075" s="4"/>
      <c r="AD1075" s="12"/>
      <c r="AE1075" s="13"/>
      <c r="AF1075" s="14">
        <v>5.0137</v>
      </c>
      <c r="AG1075" s="133"/>
      <c r="AI1075" s="96"/>
      <c r="AL1075" s="64">
        <v>4.1709736833333331</v>
      </c>
      <c r="AM1075" s="56">
        <v>14.33999999999997</v>
      </c>
      <c r="AN1075" s="56">
        <v>16.299999999999851</v>
      </c>
      <c r="AO1075" s="62">
        <v>22.45999999999988</v>
      </c>
      <c r="AQ1075" s="64">
        <v>4.0812807333333332</v>
      </c>
      <c r="AR1075" s="56">
        <v>13.940000000000021</v>
      </c>
      <c r="AS1075" s="56">
        <v>15.33999999999995</v>
      </c>
      <c r="AT1075" s="62">
        <v>19.439999999999898</v>
      </c>
      <c r="AV1075" s="64">
        <v>3.7278098833333329</v>
      </c>
      <c r="AW1075" s="56">
        <v>13.539999999999971</v>
      </c>
      <c r="AX1075" s="56">
        <v>14.919999999999961</v>
      </c>
      <c r="AY1075" s="62">
        <v>19.679999999999961</v>
      </c>
      <c r="BA1075" s="64">
        <v>3.1869060500000002</v>
      </c>
      <c r="BB1075" s="56">
        <v>16.61999999999999</v>
      </c>
      <c r="BC1075" s="56">
        <v>19.09999999999998</v>
      </c>
      <c r="BD1075" s="62">
        <v>31.15999999999994</v>
      </c>
      <c r="BF1075" s="64">
        <v>2.9611048000000002</v>
      </c>
      <c r="BG1075" s="56">
        <v>19.200000000000021</v>
      </c>
      <c r="BH1075" s="56">
        <v>25.45999999999999</v>
      </c>
      <c r="BI1075" s="62">
        <v>51.29999999999999</v>
      </c>
      <c r="BJ1075" s="70"/>
      <c r="BK1075" s="51"/>
    </row>
    <row r="1076" spans="1:63" x14ac:dyDescent="0.4">
      <c r="A1076" s="147" t="s">
        <v>1153</v>
      </c>
      <c r="G1076" s="147" t="s">
        <v>1153</v>
      </c>
      <c r="H1076" s="159">
        <v>70.009</v>
      </c>
      <c r="I1076" s="153">
        <v>70.3</v>
      </c>
      <c r="J1076" s="153">
        <v>70.319999999999993</v>
      </c>
      <c r="K1076" s="153">
        <v>70.39</v>
      </c>
      <c r="L1076" s="153">
        <v>70.36</v>
      </c>
      <c r="M1076" s="80">
        <f t="shared" si="32"/>
        <v>70.39</v>
      </c>
      <c r="N1076" s="80">
        <f t="shared" si="33"/>
        <v>70.3</v>
      </c>
      <c r="O1076" s="153">
        <v>21.15</v>
      </c>
      <c r="P1076" s="153">
        <v>21.08</v>
      </c>
      <c r="Q1076" s="153">
        <v>21.16</v>
      </c>
      <c r="R1076" s="153">
        <v>21.07</v>
      </c>
      <c r="S1076" s="4"/>
      <c r="U1076" s="147" t="s">
        <v>1153</v>
      </c>
      <c r="V1076" s="11"/>
      <c r="W1076" s="4"/>
      <c r="X1076" s="12"/>
      <c r="Y1076" s="14"/>
      <c r="Z1076" s="4"/>
      <c r="AA1076" s="13"/>
      <c r="AB1076" s="11"/>
      <c r="AC1076" s="4"/>
      <c r="AD1076" s="12"/>
      <c r="AE1076" s="13"/>
      <c r="AF1076" s="14">
        <v>5.0338000000000003</v>
      </c>
      <c r="AG1076" s="133"/>
      <c r="AI1076" s="96"/>
      <c r="AL1076" s="64">
        <v>4.1706698499999986</v>
      </c>
      <c r="AM1076" s="56">
        <v>15.039999999999941</v>
      </c>
      <c r="AN1076" s="56">
        <v>16.939999999999959</v>
      </c>
      <c r="AO1076" s="62">
        <v>23.200000000000109</v>
      </c>
      <c r="AQ1076" s="64">
        <v>4.0788728999999986</v>
      </c>
      <c r="AR1076" s="56">
        <v>14.03999999999996</v>
      </c>
      <c r="AS1076" s="56">
        <v>15.479999999999981</v>
      </c>
      <c r="AT1076" s="62">
        <v>19.639999999999969</v>
      </c>
      <c r="AV1076" s="64">
        <v>3.7250128833333331</v>
      </c>
      <c r="AW1076" s="56">
        <v>13.72</v>
      </c>
      <c r="AX1076" s="56">
        <v>15.139999999999979</v>
      </c>
      <c r="AY1076" s="62">
        <v>19.95999999999993</v>
      </c>
      <c r="BA1076" s="64">
        <v>3.1812769500000009</v>
      </c>
      <c r="BB1076" s="56">
        <v>17.120000000000068</v>
      </c>
      <c r="BC1076" s="56">
        <v>19.640000000000061</v>
      </c>
      <c r="BD1076" s="62">
        <v>31.980000000000079</v>
      </c>
      <c r="BF1076" s="64">
        <v>2.9531630166666671</v>
      </c>
      <c r="BG1076" s="56">
        <v>19.840000000000039</v>
      </c>
      <c r="BH1076" s="56">
        <v>26.40000000000002</v>
      </c>
      <c r="BI1076" s="62">
        <v>53.220000000000041</v>
      </c>
      <c r="BJ1076" s="70"/>
      <c r="BK1076" s="51"/>
    </row>
    <row r="1077" spans="1:63" x14ac:dyDescent="0.4">
      <c r="A1077" s="147" t="s">
        <v>1154</v>
      </c>
      <c r="G1077" s="147" t="s">
        <v>1154</v>
      </c>
      <c r="H1077" s="159">
        <v>70.025999999999996</v>
      </c>
      <c r="I1077" s="153">
        <v>70.37</v>
      </c>
      <c r="J1077" s="153">
        <v>70.33</v>
      </c>
      <c r="K1077" s="153">
        <v>70.349999999999994</v>
      </c>
      <c r="L1077" s="153">
        <v>70.3</v>
      </c>
      <c r="M1077" s="80">
        <f t="shared" si="32"/>
        <v>70.37</v>
      </c>
      <c r="N1077" s="80">
        <f t="shared" si="33"/>
        <v>70.3</v>
      </c>
      <c r="O1077" s="153">
        <v>21.14</v>
      </c>
      <c r="P1077" s="153">
        <v>20.97</v>
      </c>
      <c r="Q1077" s="153">
        <v>21.11</v>
      </c>
      <c r="R1077" s="153">
        <v>21.02</v>
      </c>
      <c r="S1077" s="4"/>
      <c r="U1077" s="147" t="s">
        <v>1154</v>
      </c>
      <c r="V1077" s="11"/>
      <c r="W1077" s="4"/>
      <c r="X1077" s="12"/>
      <c r="Y1077" s="14"/>
      <c r="Z1077" s="4"/>
      <c r="AA1077" s="13"/>
      <c r="AB1077" s="11"/>
      <c r="AC1077" s="4"/>
      <c r="AD1077" s="12"/>
      <c r="AE1077" s="13"/>
      <c r="AF1077" s="14">
        <v>4.9931000000000001</v>
      </c>
      <c r="AG1077" s="133"/>
      <c r="AI1077" s="96"/>
      <c r="AL1077" s="64">
        <v>4.1698922499999993</v>
      </c>
      <c r="AM1077" s="56">
        <v>16.220000000000031</v>
      </c>
      <c r="AN1077" s="56">
        <v>18.28000000000003</v>
      </c>
      <c r="AO1077" s="62">
        <v>24.699999999999989</v>
      </c>
      <c r="AQ1077" s="64">
        <v>4.0805749999999987</v>
      </c>
      <c r="AR1077" s="56">
        <v>15.55999999999997</v>
      </c>
      <c r="AS1077" s="56">
        <v>17.079999999999899</v>
      </c>
      <c r="AT1077" s="62">
        <v>21.459999999999901</v>
      </c>
      <c r="AV1077" s="64">
        <v>3.7262323333333329</v>
      </c>
      <c r="AW1077" s="56">
        <v>15.08000000000003</v>
      </c>
      <c r="AX1077" s="56">
        <v>16.600000000000041</v>
      </c>
      <c r="AY1077" s="62">
        <v>21.700000000000049</v>
      </c>
      <c r="BA1077" s="64">
        <v>3.1826645166666658</v>
      </c>
      <c r="BB1077" s="56">
        <v>18.120000000000051</v>
      </c>
      <c r="BC1077" s="56">
        <v>20.739999999999981</v>
      </c>
      <c r="BD1077" s="62">
        <v>33.319999999999972</v>
      </c>
      <c r="BF1077" s="64">
        <v>2.9530272166666669</v>
      </c>
      <c r="BG1077" s="56">
        <v>20.720000000000031</v>
      </c>
      <c r="BH1077" s="56">
        <v>26.98</v>
      </c>
      <c r="BI1077" s="62">
        <v>53.279999999999987</v>
      </c>
      <c r="BJ1077" s="70"/>
      <c r="BK1077" s="51"/>
    </row>
    <row r="1078" spans="1:63" x14ac:dyDescent="0.4">
      <c r="A1078" s="147" t="s">
        <v>1155</v>
      </c>
      <c r="G1078" s="147" t="s">
        <v>1155</v>
      </c>
      <c r="H1078" s="159">
        <v>70.015000000000001</v>
      </c>
      <c r="I1078" s="153">
        <v>70.36</v>
      </c>
      <c r="J1078" s="153">
        <v>70.33</v>
      </c>
      <c r="K1078" s="153">
        <v>70.33</v>
      </c>
      <c r="L1078" s="153">
        <v>70.349999999999994</v>
      </c>
      <c r="M1078" s="80">
        <f t="shared" si="32"/>
        <v>70.36</v>
      </c>
      <c r="N1078" s="80">
        <f t="shared" si="33"/>
        <v>70.33</v>
      </c>
      <c r="O1078" s="153">
        <v>21.2</v>
      </c>
      <c r="P1078" s="153">
        <v>21.01</v>
      </c>
      <c r="Q1078" s="153">
        <v>21.1</v>
      </c>
      <c r="R1078" s="153">
        <v>20.99</v>
      </c>
      <c r="S1078" s="4"/>
      <c r="U1078" s="147" t="s">
        <v>1155</v>
      </c>
      <c r="V1078" s="11"/>
      <c r="W1078" s="4"/>
      <c r="X1078" s="12"/>
      <c r="Y1078" s="14"/>
      <c r="Z1078" s="4"/>
      <c r="AA1078" s="13"/>
      <c r="AB1078" s="11"/>
      <c r="AC1078" s="4"/>
      <c r="AD1078" s="12"/>
      <c r="AE1078" s="13"/>
      <c r="AF1078" s="14">
        <v>5.0244999999999997</v>
      </c>
      <c r="AG1078" s="133"/>
      <c r="AI1078" s="96"/>
      <c r="AL1078" s="64">
        <v>4.1708197333333326</v>
      </c>
      <c r="AM1078" s="56">
        <v>15.41999999999994</v>
      </c>
      <c r="AN1078" s="56">
        <v>17.45999999999999</v>
      </c>
      <c r="AO1078" s="62">
        <v>23.879999999999949</v>
      </c>
      <c r="AQ1078" s="64">
        <v>4.08154225</v>
      </c>
      <c r="AR1078" s="56">
        <v>15.17999999999997</v>
      </c>
      <c r="AS1078" s="56">
        <v>16.699999999999982</v>
      </c>
      <c r="AT1078" s="62">
        <v>21.059999999999949</v>
      </c>
      <c r="AV1078" s="64">
        <v>3.7285103499999992</v>
      </c>
      <c r="AW1078" s="56">
        <v>14.680000000000071</v>
      </c>
      <c r="AX1078" s="56">
        <v>16.180000000000039</v>
      </c>
      <c r="AY1078" s="62">
        <v>21.180000000000021</v>
      </c>
      <c r="BA1078" s="64">
        <v>3.1862531833333332</v>
      </c>
      <c r="BB1078" s="56">
        <v>17.760000000000002</v>
      </c>
      <c r="BC1078" s="56">
        <v>20.319999999999979</v>
      </c>
      <c r="BD1078" s="62">
        <v>32.659999999999997</v>
      </c>
      <c r="BF1078" s="64">
        <v>2.957759966666667</v>
      </c>
      <c r="BG1078" s="56">
        <v>20.54</v>
      </c>
      <c r="BH1078" s="56">
        <v>26.91999999999997</v>
      </c>
      <c r="BI1078" s="62">
        <v>53.239999999999988</v>
      </c>
      <c r="BJ1078" s="70"/>
      <c r="BK1078" s="51"/>
    </row>
    <row r="1079" spans="1:63" x14ac:dyDescent="0.4">
      <c r="A1079" s="147" t="s">
        <v>1156</v>
      </c>
      <c r="G1079" s="147" t="s">
        <v>1156</v>
      </c>
      <c r="H1079" s="159">
        <v>69.986000000000004</v>
      </c>
      <c r="I1079" s="153">
        <v>70.39</v>
      </c>
      <c r="J1079" s="153">
        <v>70.28</v>
      </c>
      <c r="K1079" s="153">
        <v>70.38</v>
      </c>
      <c r="L1079" s="153">
        <v>70.31</v>
      </c>
      <c r="M1079" s="80">
        <f t="shared" si="32"/>
        <v>70.39</v>
      </c>
      <c r="N1079" s="80">
        <f t="shared" si="33"/>
        <v>70.28</v>
      </c>
      <c r="O1079" s="153">
        <v>21.15</v>
      </c>
      <c r="P1079" s="153">
        <v>21.12</v>
      </c>
      <c r="Q1079" s="153">
        <v>21.08</v>
      </c>
      <c r="R1079" s="153">
        <v>21.02</v>
      </c>
      <c r="S1079" s="4"/>
      <c r="U1079" s="147" t="s">
        <v>1156</v>
      </c>
      <c r="V1079" s="11"/>
      <c r="W1079" s="4"/>
      <c r="X1079" s="12"/>
      <c r="Y1079" s="14"/>
      <c r="Z1079" s="4"/>
      <c r="AA1079" s="13"/>
      <c r="AB1079" s="11"/>
      <c r="AC1079" s="4"/>
      <c r="AD1079" s="12"/>
      <c r="AE1079" s="13"/>
      <c r="AF1079" s="14">
        <v>5.0335000000000001</v>
      </c>
      <c r="AG1079" s="133"/>
      <c r="AI1079" s="96"/>
      <c r="AL1079" s="64">
        <v>4.1705513000000014</v>
      </c>
      <c r="AM1079" s="56">
        <v>16.039999999999921</v>
      </c>
      <c r="AN1079" s="56">
        <v>18.079999999999959</v>
      </c>
      <c r="AO1079" s="62">
        <v>24.519999999999879</v>
      </c>
      <c r="AQ1079" s="64">
        <v>4.0796191500000001</v>
      </c>
      <c r="AR1079" s="56">
        <v>15.32</v>
      </c>
      <c r="AS1079" s="56">
        <v>16.840000000000011</v>
      </c>
      <c r="AT1079" s="62">
        <v>21.22000000000002</v>
      </c>
      <c r="AV1079" s="64">
        <v>3.7256454666666681</v>
      </c>
      <c r="AW1079" s="56">
        <v>14.719999999999979</v>
      </c>
      <c r="AX1079" s="56">
        <v>16.239999999999991</v>
      </c>
      <c r="AY1079" s="62">
        <v>21.23999999999997</v>
      </c>
      <c r="BA1079" s="64">
        <v>3.1796935666666668</v>
      </c>
      <c r="BB1079" s="56">
        <v>17.659999999999961</v>
      </c>
      <c r="BC1079" s="56">
        <v>20.219999999999949</v>
      </c>
      <c r="BD1079" s="62">
        <v>32.67999999999995</v>
      </c>
      <c r="BF1079" s="64">
        <v>2.953899783333334</v>
      </c>
      <c r="BG1079" s="56">
        <v>20.439999999999969</v>
      </c>
      <c r="BH1079" s="56">
        <v>26.940000000000008</v>
      </c>
      <c r="BI1079" s="62">
        <v>53.55999999999996</v>
      </c>
      <c r="BJ1079" s="70"/>
      <c r="BK1079" s="51"/>
    </row>
    <row r="1080" spans="1:63" x14ac:dyDescent="0.4">
      <c r="A1080" s="147" t="s">
        <v>1157</v>
      </c>
      <c r="G1080" s="147" t="s">
        <v>1157</v>
      </c>
      <c r="H1080" s="159">
        <v>69.962999999999994</v>
      </c>
      <c r="I1080" s="153">
        <v>70.33</v>
      </c>
      <c r="J1080" s="153">
        <v>70.27</v>
      </c>
      <c r="K1080" s="153">
        <v>70.31</v>
      </c>
      <c r="L1080" s="153">
        <v>70.34</v>
      </c>
      <c r="M1080" s="80">
        <f t="shared" si="32"/>
        <v>70.34</v>
      </c>
      <c r="N1080" s="80">
        <f t="shared" si="33"/>
        <v>70.27</v>
      </c>
      <c r="O1080" s="153">
        <v>21.2</v>
      </c>
      <c r="P1080" s="153">
        <v>21.11</v>
      </c>
      <c r="Q1080" s="153">
        <v>21.16</v>
      </c>
      <c r="R1080" s="153">
        <v>21.09</v>
      </c>
      <c r="S1080" s="4"/>
      <c r="U1080" s="147" t="s">
        <v>1157</v>
      </c>
      <c r="V1080" s="11"/>
      <c r="W1080" s="4"/>
      <c r="X1080" s="12"/>
      <c r="Y1080" s="14"/>
      <c r="Z1080" s="4"/>
      <c r="AA1080" s="13"/>
      <c r="AB1080" s="11"/>
      <c r="AC1080" s="4"/>
      <c r="AD1080" s="12"/>
      <c r="AE1080" s="13"/>
      <c r="AF1080" s="14">
        <v>5.0152000000000001</v>
      </c>
      <c r="AG1080" s="133"/>
      <c r="AI1080" s="96"/>
      <c r="AL1080" s="64">
        <v>4.1704858333333332</v>
      </c>
      <c r="AM1080" s="56">
        <v>15.33999999999995</v>
      </c>
      <c r="AN1080" s="56">
        <v>17.339999999999911</v>
      </c>
      <c r="AO1080" s="62">
        <v>23.659999999999929</v>
      </c>
      <c r="AQ1080" s="64">
        <v>4.0823849999999986</v>
      </c>
      <c r="AR1080" s="56">
        <v>15.059999999999899</v>
      </c>
      <c r="AS1080" s="56">
        <v>16.54</v>
      </c>
      <c r="AT1080" s="62">
        <v>20.899999999999959</v>
      </c>
      <c r="AV1080" s="64">
        <v>3.7284126999999989</v>
      </c>
      <c r="AW1080" s="56">
        <v>14.67999999999998</v>
      </c>
      <c r="AX1080" s="56">
        <v>16.16</v>
      </c>
      <c r="AY1080" s="62">
        <v>21.159999999999979</v>
      </c>
      <c r="BA1080" s="64">
        <v>3.183175883333333</v>
      </c>
      <c r="BB1080" s="56">
        <v>17.88000000000007</v>
      </c>
      <c r="BC1080" s="56">
        <v>20.500000000000011</v>
      </c>
      <c r="BD1080" s="62">
        <v>33.08</v>
      </c>
      <c r="BF1080" s="64">
        <v>2.961088983333334</v>
      </c>
      <c r="BG1080" s="56">
        <v>20.54</v>
      </c>
      <c r="BH1080" s="56">
        <v>27.179999999999978</v>
      </c>
      <c r="BI1080" s="62">
        <v>53.720000000000027</v>
      </c>
      <c r="BJ1080" s="70"/>
      <c r="BK1080" s="51"/>
    </row>
    <row r="1081" spans="1:63" x14ac:dyDescent="0.4">
      <c r="A1081" s="147" t="s">
        <v>1158</v>
      </c>
      <c r="G1081" s="147" t="s">
        <v>1158</v>
      </c>
      <c r="H1081" s="159">
        <v>69.997</v>
      </c>
      <c r="I1081" s="153">
        <v>70.28</v>
      </c>
      <c r="J1081" s="153">
        <v>70.33</v>
      </c>
      <c r="K1081" s="153">
        <v>70.39</v>
      </c>
      <c r="L1081" s="153">
        <v>70.28</v>
      </c>
      <c r="M1081" s="80">
        <f t="shared" si="32"/>
        <v>70.39</v>
      </c>
      <c r="N1081" s="80">
        <f t="shared" si="33"/>
        <v>70.28</v>
      </c>
      <c r="O1081" s="153">
        <v>21.15</v>
      </c>
      <c r="P1081" s="153">
        <v>21.13</v>
      </c>
      <c r="Q1081" s="153">
        <v>21.13</v>
      </c>
      <c r="R1081" s="153">
        <v>21.12</v>
      </c>
      <c r="S1081" s="4"/>
      <c r="U1081" s="147" t="s">
        <v>1158</v>
      </c>
      <c r="V1081" s="11"/>
      <c r="W1081" s="4"/>
      <c r="X1081" s="12"/>
      <c r="Y1081" s="14"/>
      <c r="Z1081" s="4"/>
      <c r="AA1081" s="13"/>
      <c r="AB1081" s="11"/>
      <c r="AC1081" s="4"/>
      <c r="AD1081" s="12"/>
      <c r="AE1081" s="13"/>
      <c r="AF1081" s="14">
        <v>5.0103999999999997</v>
      </c>
      <c r="AG1081" s="133"/>
      <c r="AI1081" s="96"/>
      <c r="AL1081" s="64">
        <v>4.1708983999999996</v>
      </c>
      <c r="AM1081" s="56">
        <v>15.359999999999911</v>
      </c>
      <c r="AN1081" s="56">
        <v>17.38</v>
      </c>
      <c r="AO1081" s="62">
        <v>23.70000000000001</v>
      </c>
      <c r="AQ1081" s="64">
        <v>4.0830510166666674</v>
      </c>
      <c r="AR1081" s="56">
        <v>15.199999999999919</v>
      </c>
      <c r="AS1081" s="56">
        <v>16.72000000000002</v>
      </c>
      <c r="AT1081" s="62">
        <v>21.060000000000031</v>
      </c>
      <c r="AV1081" s="64">
        <v>3.728835950000001</v>
      </c>
      <c r="AW1081" s="56">
        <v>14.719999999999979</v>
      </c>
      <c r="AX1081" s="56">
        <v>16.219999999999949</v>
      </c>
      <c r="AY1081" s="62">
        <v>21.260000000000009</v>
      </c>
      <c r="BA1081" s="64">
        <v>3.1773625833333341</v>
      </c>
      <c r="BB1081" s="56">
        <v>17.740000000000041</v>
      </c>
      <c r="BC1081" s="56">
        <v>20.38000000000002</v>
      </c>
      <c r="BD1081" s="62">
        <v>33.08</v>
      </c>
      <c r="BF1081" s="64">
        <v>2.9499332666666671</v>
      </c>
      <c r="BG1081" s="56">
        <v>20.27999999999999</v>
      </c>
      <c r="BH1081" s="56">
        <v>26.6</v>
      </c>
      <c r="BI1081" s="62">
        <v>53.500000000000007</v>
      </c>
      <c r="BJ1081" s="70"/>
      <c r="BK1081" s="51"/>
    </row>
    <row r="1082" spans="1:63" x14ac:dyDescent="0.4">
      <c r="A1082" s="147" t="s">
        <v>1159</v>
      </c>
      <c r="G1082" s="147" t="s">
        <v>1159</v>
      </c>
      <c r="H1082" s="159">
        <v>70.034000000000006</v>
      </c>
      <c r="I1082" s="153">
        <v>70.37</v>
      </c>
      <c r="J1082" s="153">
        <v>70.319999999999993</v>
      </c>
      <c r="K1082" s="153">
        <v>70.36</v>
      </c>
      <c r="L1082" s="153">
        <v>70.3</v>
      </c>
      <c r="M1082" s="80">
        <f t="shared" si="32"/>
        <v>70.37</v>
      </c>
      <c r="N1082" s="80">
        <f t="shared" si="33"/>
        <v>70.3</v>
      </c>
      <c r="O1082" s="153">
        <v>21.17</v>
      </c>
      <c r="P1082" s="153">
        <v>21.02</v>
      </c>
      <c r="Q1082" s="153">
        <v>21.15</v>
      </c>
      <c r="R1082" s="153">
        <v>21.07</v>
      </c>
      <c r="S1082" s="4"/>
      <c r="U1082" s="147" t="s">
        <v>1159</v>
      </c>
      <c r="V1082" s="11"/>
      <c r="W1082" s="4"/>
      <c r="X1082" s="12"/>
      <c r="Y1082" s="14"/>
      <c r="Z1082" s="4"/>
      <c r="AA1082" s="13"/>
      <c r="AB1082" s="11"/>
      <c r="AC1082" s="4"/>
      <c r="AD1082" s="12"/>
      <c r="AE1082" s="13"/>
      <c r="AF1082" s="14">
        <v>5.0323000000000002</v>
      </c>
      <c r="AG1082" s="133"/>
      <c r="AI1082" s="96"/>
      <c r="AL1082" s="64">
        <v>4.1706231000000002</v>
      </c>
      <c r="AM1082" s="56">
        <v>14.54000000000004</v>
      </c>
      <c r="AN1082" s="56">
        <v>16.480000000000139</v>
      </c>
      <c r="AO1082" s="62">
        <v>22.680000000000081</v>
      </c>
      <c r="AQ1082" s="64">
        <v>4.081524383333333</v>
      </c>
      <c r="AR1082" s="56">
        <v>14.1</v>
      </c>
      <c r="AS1082" s="56">
        <v>15.520000000000071</v>
      </c>
      <c r="AT1082" s="62">
        <v>19.680000000000049</v>
      </c>
      <c r="AV1082" s="64">
        <v>3.7277829166666669</v>
      </c>
      <c r="AW1082" s="56">
        <v>13.759999999999989</v>
      </c>
      <c r="AX1082" s="56">
        <v>15.20000000000001</v>
      </c>
      <c r="AY1082" s="62">
        <v>19.960000000000019</v>
      </c>
      <c r="BA1082" s="64">
        <v>3.1870752166666669</v>
      </c>
      <c r="BB1082" s="56">
        <v>17.23999999999997</v>
      </c>
      <c r="BC1082" s="56">
        <v>19.739999999999998</v>
      </c>
      <c r="BD1082" s="62">
        <v>31.939999999999991</v>
      </c>
      <c r="BF1082" s="64">
        <v>2.9641208666666672</v>
      </c>
      <c r="BG1082" s="56">
        <v>19.840000000000039</v>
      </c>
      <c r="BH1082" s="56">
        <v>25.999999999999979</v>
      </c>
      <c r="BI1082" s="62">
        <v>51.700000000000038</v>
      </c>
      <c r="BJ1082" s="70"/>
      <c r="BK1082" s="51"/>
    </row>
    <row r="1083" spans="1:63" x14ac:dyDescent="0.4">
      <c r="A1083" s="147" t="s">
        <v>1160</v>
      </c>
      <c r="G1083" s="147" t="s">
        <v>1160</v>
      </c>
      <c r="H1083" s="159">
        <v>70.075999999999993</v>
      </c>
      <c r="I1083" s="153">
        <v>70.290000000000006</v>
      </c>
      <c r="J1083" s="153">
        <v>70.290000000000006</v>
      </c>
      <c r="K1083" s="153">
        <v>70.28</v>
      </c>
      <c r="L1083" s="153">
        <v>70.290000000000006</v>
      </c>
      <c r="M1083" s="80">
        <f t="shared" si="32"/>
        <v>70.290000000000006</v>
      </c>
      <c r="N1083" s="80">
        <f t="shared" si="33"/>
        <v>70.28</v>
      </c>
      <c r="O1083" s="153">
        <v>21.21</v>
      </c>
      <c r="P1083" s="153">
        <v>21.11</v>
      </c>
      <c r="Q1083" s="153">
        <v>21.12</v>
      </c>
      <c r="R1083" s="153">
        <v>21.06</v>
      </c>
      <c r="S1083" s="4"/>
      <c r="U1083" s="147" t="s">
        <v>1160</v>
      </c>
      <c r="V1083" s="11"/>
      <c r="W1083" s="4"/>
      <c r="X1083" s="12"/>
      <c r="Y1083" s="14"/>
      <c r="Z1083" s="4"/>
      <c r="AA1083" s="13"/>
      <c r="AB1083" s="11"/>
      <c r="AC1083" s="4"/>
      <c r="AD1083" s="12"/>
      <c r="AE1083" s="13"/>
      <c r="AF1083" s="14">
        <v>5.0002000000000004</v>
      </c>
      <c r="AG1083" s="133"/>
      <c r="AI1083" s="96"/>
      <c r="AL1083" s="64">
        <v>4.1705284833333316</v>
      </c>
      <c r="AM1083" s="56">
        <v>14.37999999999988</v>
      </c>
      <c r="AN1083" s="56">
        <v>16.339999999999929</v>
      </c>
      <c r="AO1083" s="62">
        <v>22.599999999999909</v>
      </c>
      <c r="AQ1083" s="64">
        <v>4.0826504666666663</v>
      </c>
      <c r="AR1083" s="56">
        <v>14.33999999999997</v>
      </c>
      <c r="AS1083" s="56">
        <v>15.760000000000041</v>
      </c>
      <c r="AT1083" s="62">
        <v>19.93999999999998</v>
      </c>
      <c r="AV1083" s="64">
        <v>3.7284382833333329</v>
      </c>
      <c r="AW1083" s="56">
        <v>14.060000000000009</v>
      </c>
      <c r="AX1083" s="56">
        <v>15.479999999999981</v>
      </c>
      <c r="AY1083" s="62">
        <v>20.319999999999979</v>
      </c>
      <c r="BA1083" s="64">
        <v>3.18826535</v>
      </c>
      <c r="BB1083" s="56">
        <v>17.439999999999941</v>
      </c>
      <c r="BC1083" s="56">
        <v>20.019999999999971</v>
      </c>
      <c r="BD1083" s="62">
        <v>32.379999999999953</v>
      </c>
      <c r="BF1083" s="64">
        <v>2.970391783333334</v>
      </c>
      <c r="BG1083" s="56">
        <v>19.92000000000003</v>
      </c>
      <c r="BH1083" s="56">
        <v>26.140000000000011</v>
      </c>
      <c r="BI1083" s="62">
        <v>51.759999999999977</v>
      </c>
      <c r="BJ1083" s="70"/>
      <c r="BK1083" s="51"/>
    </row>
    <row r="1084" spans="1:63" x14ac:dyDescent="0.4">
      <c r="A1084" s="147" t="s">
        <v>1161</v>
      </c>
      <c r="G1084" s="147" t="s">
        <v>1161</v>
      </c>
      <c r="H1084" s="159">
        <v>70.061999999999998</v>
      </c>
      <c r="I1084" s="153">
        <v>70.36</v>
      </c>
      <c r="J1084" s="153">
        <v>70.38</v>
      </c>
      <c r="K1084" s="153">
        <v>70.38</v>
      </c>
      <c r="L1084" s="153">
        <v>70.36</v>
      </c>
      <c r="M1084" s="80">
        <f t="shared" si="32"/>
        <v>70.38</v>
      </c>
      <c r="N1084" s="80">
        <f t="shared" si="33"/>
        <v>70.36</v>
      </c>
      <c r="O1084" s="153">
        <v>21.12</v>
      </c>
      <c r="P1084" s="153">
        <v>21.07</v>
      </c>
      <c r="Q1084" s="153">
        <v>21.14</v>
      </c>
      <c r="R1084" s="153">
        <v>21.12</v>
      </c>
      <c r="S1084" s="4"/>
      <c r="U1084" s="147" t="s">
        <v>1161</v>
      </c>
      <c r="V1084" s="11"/>
      <c r="W1084" s="4"/>
      <c r="X1084" s="12"/>
      <c r="Y1084" s="14"/>
      <c r="Z1084" s="4"/>
      <c r="AA1084" s="13"/>
      <c r="AB1084" s="11"/>
      <c r="AC1084" s="4"/>
      <c r="AD1084" s="12"/>
      <c r="AE1084" s="13"/>
      <c r="AF1084" s="14">
        <v>5.0068999999999999</v>
      </c>
      <c r="AG1084" s="133"/>
      <c r="AI1084" s="96"/>
      <c r="AL1084" s="64">
        <v>4.1708010166666671</v>
      </c>
      <c r="AM1084" s="56">
        <v>14.5999999999999</v>
      </c>
      <c r="AN1084" s="56">
        <v>16.520000000000049</v>
      </c>
      <c r="AO1084" s="62">
        <v>22.700000000000031</v>
      </c>
      <c r="AQ1084" s="64">
        <v>4.0806665999999998</v>
      </c>
      <c r="AR1084" s="56">
        <v>13.9800000000001</v>
      </c>
      <c r="AS1084" s="56">
        <v>15.38000000000004</v>
      </c>
      <c r="AT1084" s="62">
        <v>19.500000000000028</v>
      </c>
      <c r="AV1084" s="64">
        <v>3.726873083333333</v>
      </c>
      <c r="AW1084" s="56">
        <v>13.60000000000001</v>
      </c>
      <c r="AX1084" s="56">
        <v>14.97999999999999</v>
      </c>
      <c r="AY1084" s="62">
        <v>19.739999999999998</v>
      </c>
      <c r="BA1084" s="64">
        <v>3.1877965000000001</v>
      </c>
      <c r="BB1084" s="56">
        <v>16.740000000000069</v>
      </c>
      <c r="BC1084" s="56">
        <v>19.220000000000059</v>
      </c>
      <c r="BD1084" s="62">
        <v>31.260000000000069</v>
      </c>
      <c r="BF1084" s="64">
        <v>2.963504383333333</v>
      </c>
      <c r="BG1084" s="56">
        <v>19.36</v>
      </c>
      <c r="BH1084" s="56">
        <v>25.54000000000007</v>
      </c>
      <c r="BI1084" s="62">
        <v>51.160000000000053</v>
      </c>
      <c r="BJ1084" s="70"/>
      <c r="BK1084" s="51"/>
    </row>
    <row r="1085" spans="1:63" x14ac:dyDescent="0.4">
      <c r="A1085" s="147" t="s">
        <v>1162</v>
      </c>
      <c r="G1085" s="147" t="s">
        <v>1162</v>
      </c>
      <c r="H1085" s="159">
        <v>70.096000000000004</v>
      </c>
      <c r="I1085" s="153">
        <v>70.28</v>
      </c>
      <c r="J1085" s="153">
        <v>70.31</v>
      </c>
      <c r="K1085" s="153">
        <v>70.31</v>
      </c>
      <c r="L1085" s="153">
        <v>70.3</v>
      </c>
      <c r="M1085" s="80">
        <f t="shared" si="32"/>
        <v>70.31</v>
      </c>
      <c r="N1085" s="80">
        <f t="shared" si="33"/>
        <v>70.28</v>
      </c>
      <c r="O1085" s="153">
        <v>21.17</v>
      </c>
      <c r="P1085" s="153">
        <v>21.11</v>
      </c>
      <c r="Q1085" s="153">
        <v>21.11</v>
      </c>
      <c r="R1085" s="153">
        <v>21.07</v>
      </c>
      <c r="S1085" s="4"/>
      <c r="U1085" s="147" t="s">
        <v>1162</v>
      </c>
      <c r="V1085" s="11"/>
      <c r="W1085" s="4"/>
      <c r="X1085" s="12"/>
      <c r="Y1085" s="14"/>
      <c r="Z1085" s="4"/>
      <c r="AA1085" s="13"/>
      <c r="AB1085" s="11"/>
      <c r="AC1085" s="4"/>
      <c r="AD1085" s="12"/>
      <c r="AE1085" s="13"/>
      <c r="AF1085" s="14">
        <v>4.9984999999999999</v>
      </c>
      <c r="AG1085" s="133"/>
      <c r="AI1085" s="96"/>
      <c r="AL1085" s="64">
        <v>4.1704135666666664</v>
      </c>
      <c r="AM1085" s="56">
        <v>14.400000000000009</v>
      </c>
      <c r="AN1085" s="56">
        <v>16.300000000000029</v>
      </c>
      <c r="AO1085" s="62">
        <v>22.499999999999961</v>
      </c>
      <c r="AQ1085" s="64">
        <v>4.0805861666666656</v>
      </c>
      <c r="AR1085" s="56">
        <v>13.899999999999929</v>
      </c>
      <c r="AS1085" s="56">
        <v>15.299999999999869</v>
      </c>
      <c r="AT1085" s="62">
        <v>19.419999999999948</v>
      </c>
      <c r="AV1085" s="64">
        <v>3.7269690999999998</v>
      </c>
      <c r="AW1085" s="56">
        <v>13.520000000000019</v>
      </c>
      <c r="AX1085" s="56">
        <v>14.920000000000041</v>
      </c>
      <c r="AY1085" s="62">
        <v>19.70000000000001</v>
      </c>
      <c r="BA1085" s="64">
        <v>3.1874993666666671</v>
      </c>
      <c r="BB1085" s="56">
        <v>16.819999999999968</v>
      </c>
      <c r="BC1085" s="56">
        <v>19.299999999999962</v>
      </c>
      <c r="BD1085" s="62">
        <v>31.320000000000011</v>
      </c>
      <c r="BF1085" s="64">
        <v>2.963299849999999</v>
      </c>
      <c r="BG1085" s="56">
        <v>19.500000000000028</v>
      </c>
      <c r="BH1085" s="56">
        <v>25.560000000000031</v>
      </c>
      <c r="BI1085" s="62">
        <v>51.119999999999962</v>
      </c>
      <c r="BJ1085" s="70"/>
      <c r="BK1085" s="51"/>
    </row>
    <row r="1086" spans="1:63" x14ac:dyDescent="0.4">
      <c r="A1086" s="147" t="s">
        <v>1163</v>
      </c>
      <c r="G1086" s="147" t="s">
        <v>1163</v>
      </c>
      <c r="H1086" s="159">
        <v>70.004999999999995</v>
      </c>
      <c r="I1086" s="153">
        <v>70.34</v>
      </c>
      <c r="J1086" s="153">
        <v>70.34</v>
      </c>
      <c r="K1086" s="153">
        <v>70.319999999999993</v>
      </c>
      <c r="L1086" s="153">
        <v>70.319999999999993</v>
      </c>
      <c r="M1086" s="80">
        <f t="shared" si="32"/>
        <v>70.34</v>
      </c>
      <c r="N1086" s="80">
        <f t="shared" si="33"/>
        <v>70.319999999999993</v>
      </c>
      <c r="O1086" s="153">
        <v>21.17</v>
      </c>
      <c r="P1086" s="153">
        <v>21.11</v>
      </c>
      <c r="Q1086" s="153">
        <v>21.1</v>
      </c>
      <c r="R1086" s="153">
        <v>20.99</v>
      </c>
      <c r="S1086" s="4"/>
      <c r="U1086" s="147" t="s">
        <v>1163</v>
      </c>
      <c r="V1086" s="11"/>
      <c r="W1086" s="4"/>
      <c r="X1086" s="12"/>
      <c r="Y1086" s="14"/>
      <c r="Z1086" s="4"/>
      <c r="AA1086" s="13"/>
      <c r="AB1086" s="11"/>
      <c r="AC1086" s="4"/>
      <c r="AD1086" s="12"/>
      <c r="AE1086" s="13"/>
      <c r="AF1086" s="14">
        <v>5.0260999999999996</v>
      </c>
      <c r="AG1086" s="133"/>
      <c r="AI1086" s="96"/>
      <c r="AL1086" s="64">
        <v>4.1706968333333334</v>
      </c>
      <c r="AM1086" s="56">
        <v>14.32000000000002</v>
      </c>
      <c r="AN1086" s="56">
        <v>16.200000000000081</v>
      </c>
      <c r="AO1086" s="62">
        <v>22.40000000000002</v>
      </c>
      <c r="AQ1086" s="64">
        <v>4.0812287833333336</v>
      </c>
      <c r="AR1086" s="56">
        <v>13.79999999999999</v>
      </c>
      <c r="AS1086" s="56">
        <v>15.199999999999919</v>
      </c>
      <c r="AT1086" s="62">
        <v>19.319999999999919</v>
      </c>
      <c r="AV1086" s="64">
        <v>3.727838199999999</v>
      </c>
      <c r="AW1086" s="56">
        <v>13.37999999999999</v>
      </c>
      <c r="AX1086" s="56">
        <v>14.75999999999997</v>
      </c>
      <c r="AY1086" s="62">
        <v>19.54000000000002</v>
      </c>
      <c r="BA1086" s="64">
        <v>3.1851543000000002</v>
      </c>
      <c r="BB1086" s="56">
        <v>16.600000000000041</v>
      </c>
      <c r="BC1086" s="56">
        <v>19.08000000000003</v>
      </c>
      <c r="BD1086" s="62">
        <v>31.25999999999998</v>
      </c>
      <c r="BF1086" s="64">
        <v>2.958641266666667</v>
      </c>
      <c r="BG1086" s="56">
        <v>19.25999999999997</v>
      </c>
      <c r="BH1086" s="56">
        <v>25.760000000000009</v>
      </c>
      <c r="BI1086" s="62">
        <v>52.259999999999977</v>
      </c>
      <c r="BJ1086" s="70"/>
      <c r="BK1086" s="51"/>
    </row>
    <row r="1087" spans="1:63" x14ac:dyDescent="0.4">
      <c r="A1087" s="147" t="s">
        <v>1164</v>
      </c>
      <c r="G1087" s="147" t="s">
        <v>1164</v>
      </c>
      <c r="H1087" s="159">
        <v>70.066000000000003</v>
      </c>
      <c r="I1087" s="153">
        <v>70.38</v>
      </c>
      <c r="J1087" s="153">
        <v>70.37</v>
      </c>
      <c r="K1087" s="153">
        <v>70.31</v>
      </c>
      <c r="L1087" s="153">
        <v>70.39</v>
      </c>
      <c r="M1087" s="80">
        <f t="shared" si="32"/>
        <v>70.39</v>
      </c>
      <c r="N1087" s="80">
        <f t="shared" si="33"/>
        <v>70.31</v>
      </c>
      <c r="O1087" s="153">
        <v>21.18</v>
      </c>
      <c r="P1087" s="153">
        <v>21.09</v>
      </c>
      <c r="Q1087" s="153">
        <v>21.12</v>
      </c>
      <c r="R1087" s="153">
        <v>21.1</v>
      </c>
      <c r="S1087" s="4"/>
      <c r="U1087" s="147" t="s">
        <v>1164</v>
      </c>
      <c r="V1087" s="11"/>
      <c r="W1087" s="4"/>
      <c r="X1087" s="12"/>
      <c r="Y1087" s="14"/>
      <c r="Z1087" s="4"/>
      <c r="AA1087" s="13"/>
      <c r="AB1087" s="11"/>
      <c r="AC1087" s="4"/>
      <c r="AD1087" s="12"/>
      <c r="AE1087" s="13"/>
      <c r="AF1087" s="14">
        <v>4.9962</v>
      </c>
      <c r="AG1087" s="133"/>
      <c r="AI1087" s="96"/>
      <c r="AL1087" s="64">
        <v>4.1706111333333329</v>
      </c>
      <c r="AM1087" s="56">
        <v>14.220000000000081</v>
      </c>
      <c r="AN1087" s="56">
        <v>16.12000000000009</v>
      </c>
      <c r="AO1087" s="62">
        <v>22.339999999999979</v>
      </c>
      <c r="AQ1087" s="64">
        <v>4.0817633500000001</v>
      </c>
      <c r="AR1087" s="56">
        <v>13.86000000000003</v>
      </c>
      <c r="AS1087" s="56">
        <v>15.26000000000014</v>
      </c>
      <c r="AT1087" s="62">
        <v>19.420000000000041</v>
      </c>
      <c r="AV1087" s="64">
        <v>3.7281441333333341</v>
      </c>
      <c r="AW1087" s="56">
        <v>13.520000000000019</v>
      </c>
      <c r="AX1087" s="56">
        <v>14.920000000000041</v>
      </c>
      <c r="AY1087" s="62">
        <v>19.739999999999998</v>
      </c>
      <c r="BA1087" s="64">
        <v>3.1864813499999989</v>
      </c>
      <c r="BB1087" s="56">
        <v>17.020000000000039</v>
      </c>
      <c r="BC1087" s="56">
        <v>19.58000000000002</v>
      </c>
      <c r="BD1087" s="62">
        <v>31.780000000000008</v>
      </c>
      <c r="BF1087" s="64">
        <v>2.9539085333333328</v>
      </c>
      <c r="BG1087" s="56">
        <v>19.680000000000049</v>
      </c>
      <c r="BH1087" s="56">
        <v>26.40000000000002</v>
      </c>
      <c r="BI1087" s="62">
        <v>53.340000000000032</v>
      </c>
      <c r="BJ1087" s="70"/>
      <c r="BK1087" s="51"/>
    </row>
    <row r="1088" spans="1:63" x14ac:dyDescent="0.4">
      <c r="A1088" s="147" t="s">
        <v>1165</v>
      </c>
      <c r="G1088" s="147" t="s">
        <v>1165</v>
      </c>
      <c r="H1088" s="159">
        <v>69.956000000000003</v>
      </c>
      <c r="I1088" s="153">
        <v>70.39</v>
      </c>
      <c r="J1088" s="153">
        <v>70.31</v>
      </c>
      <c r="K1088" s="153">
        <v>70.319999999999993</v>
      </c>
      <c r="L1088" s="153">
        <v>70.34</v>
      </c>
      <c r="M1088" s="80">
        <f t="shared" si="32"/>
        <v>70.39</v>
      </c>
      <c r="N1088" s="80">
        <f t="shared" si="33"/>
        <v>70.31</v>
      </c>
      <c r="O1088" s="153">
        <v>21.18</v>
      </c>
      <c r="P1088" s="153">
        <v>21.06</v>
      </c>
      <c r="Q1088" s="153">
        <v>21.17</v>
      </c>
      <c r="R1088" s="153">
        <v>21.06</v>
      </c>
      <c r="S1088" s="4"/>
      <c r="U1088" s="147" t="s">
        <v>1165</v>
      </c>
      <c r="V1088" s="11"/>
      <c r="W1088" s="4"/>
      <c r="X1088" s="12"/>
      <c r="Y1088" s="14"/>
      <c r="Z1088" s="4"/>
      <c r="AA1088" s="13"/>
      <c r="AB1088" s="11"/>
      <c r="AC1088" s="4"/>
      <c r="AD1088" s="12"/>
      <c r="AE1088" s="13"/>
      <c r="AF1088" s="14">
        <v>5.0178000000000003</v>
      </c>
      <c r="AG1088" s="133"/>
      <c r="AI1088" s="96"/>
      <c r="AL1088" s="64">
        <v>4.1703467666666656</v>
      </c>
      <c r="AM1088" s="56">
        <v>15.63999999999997</v>
      </c>
      <c r="AN1088" s="56">
        <v>17.6400000000001</v>
      </c>
      <c r="AO1088" s="62">
        <v>24.060000000000059</v>
      </c>
      <c r="AQ1088" s="64">
        <v>4.0811642000000008</v>
      </c>
      <c r="AR1088" s="56">
        <v>15.17999999999997</v>
      </c>
      <c r="AS1088" s="56">
        <v>16.680000000000032</v>
      </c>
      <c r="AT1088" s="62">
        <v>21.079999999999991</v>
      </c>
      <c r="AV1088" s="64">
        <v>3.727303333333333</v>
      </c>
      <c r="AW1088" s="56">
        <v>14.719999999999979</v>
      </c>
      <c r="AX1088" s="56">
        <v>16.199999999999989</v>
      </c>
      <c r="AY1088" s="62">
        <v>21.279999999999969</v>
      </c>
      <c r="BA1088" s="64">
        <v>3.1823040499999999</v>
      </c>
      <c r="BB1088" s="56">
        <v>17.72</v>
      </c>
      <c r="BC1088" s="56">
        <v>20.38000000000002</v>
      </c>
      <c r="BD1088" s="62">
        <v>32.920000000000023</v>
      </c>
      <c r="BF1088" s="64">
        <v>2.957933666666666</v>
      </c>
      <c r="BG1088" s="56">
        <v>20.439999999999969</v>
      </c>
      <c r="BH1088" s="56">
        <v>27.02</v>
      </c>
      <c r="BI1088" s="62">
        <v>53.62</v>
      </c>
      <c r="BJ1088" s="70"/>
      <c r="BK1088" s="51"/>
    </row>
    <row r="1089" spans="1:63" x14ac:dyDescent="0.4">
      <c r="A1089" s="147" t="s">
        <v>1166</v>
      </c>
      <c r="G1089" s="147" t="s">
        <v>1166</v>
      </c>
      <c r="H1089" s="159">
        <v>69.981999999999999</v>
      </c>
      <c r="I1089" s="153">
        <v>70.39</v>
      </c>
      <c r="J1089" s="153">
        <v>70.38</v>
      </c>
      <c r="K1089" s="153">
        <v>70.28</v>
      </c>
      <c r="L1089" s="153">
        <v>70.319999999999993</v>
      </c>
      <c r="M1089" s="80">
        <f t="shared" si="32"/>
        <v>70.39</v>
      </c>
      <c r="N1089" s="80">
        <f t="shared" si="33"/>
        <v>70.28</v>
      </c>
      <c r="O1089" s="153">
        <v>21.21</v>
      </c>
      <c r="P1089" s="153">
        <v>21.13</v>
      </c>
      <c r="Q1089" s="153">
        <v>21.16</v>
      </c>
      <c r="R1089" s="153">
        <v>21.09</v>
      </c>
      <c r="S1089" s="4"/>
      <c r="U1089" s="147" t="s">
        <v>1166</v>
      </c>
      <c r="V1089" s="11"/>
      <c r="W1089" s="4"/>
      <c r="X1089" s="12"/>
      <c r="Y1089" s="14"/>
      <c r="Z1089" s="4"/>
      <c r="AA1089" s="13"/>
      <c r="AB1089" s="11"/>
      <c r="AC1089" s="4"/>
      <c r="AD1089" s="12"/>
      <c r="AE1089" s="13"/>
      <c r="AF1089" s="14">
        <v>5.0309999999999997</v>
      </c>
      <c r="AG1089" s="133"/>
      <c r="AI1089" s="96"/>
      <c r="AL1089" s="64">
        <v>4.1701815333333334</v>
      </c>
      <c r="AM1089" s="56">
        <v>15.760000000000041</v>
      </c>
      <c r="AN1089" s="56">
        <v>17.800000000000079</v>
      </c>
      <c r="AO1089" s="62">
        <v>24.180000000000131</v>
      </c>
      <c r="AQ1089" s="64">
        <v>4.0810858333333329</v>
      </c>
      <c r="AR1089" s="56">
        <v>15.240000000000011</v>
      </c>
      <c r="AS1089" s="56">
        <v>16.740000000000069</v>
      </c>
      <c r="AT1089" s="62">
        <v>21.160000000000071</v>
      </c>
      <c r="AV1089" s="64">
        <v>3.7269860499999989</v>
      </c>
      <c r="AW1089" s="56">
        <v>14.780000000000021</v>
      </c>
      <c r="AX1089" s="56">
        <v>16.27999999999998</v>
      </c>
      <c r="AY1089" s="62">
        <v>21.360000000000049</v>
      </c>
      <c r="BA1089" s="64">
        <v>3.1815666500000002</v>
      </c>
      <c r="BB1089" s="56">
        <v>17.739999999999959</v>
      </c>
      <c r="BC1089" s="56">
        <v>20.340000000000021</v>
      </c>
      <c r="BD1089" s="62">
        <v>32.939999999999969</v>
      </c>
      <c r="BF1089" s="64">
        <v>2.9631484333333331</v>
      </c>
      <c r="BG1089" s="56">
        <v>20.379999999999932</v>
      </c>
      <c r="BH1089" s="56">
        <v>26.839999999999971</v>
      </c>
      <c r="BI1089" s="62">
        <v>53.059999999999967</v>
      </c>
      <c r="BJ1089" s="70"/>
      <c r="BK1089" s="51"/>
    </row>
    <row r="1090" spans="1:63" x14ac:dyDescent="0.4">
      <c r="A1090" s="147" t="s">
        <v>1167</v>
      </c>
      <c r="G1090" s="147" t="s">
        <v>1167</v>
      </c>
      <c r="H1090" s="159">
        <v>70.072999999999993</v>
      </c>
      <c r="I1090" s="153">
        <v>70.34</v>
      </c>
      <c r="J1090" s="153">
        <v>70.34</v>
      </c>
      <c r="K1090" s="153">
        <v>70.3</v>
      </c>
      <c r="L1090" s="153">
        <v>70.38</v>
      </c>
      <c r="M1090" s="80">
        <f t="shared" si="32"/>
        <v>70.38</v>
      </c>
      <c r="N1090" s="80">
        <f t="shared" si="33"/>
        <v>70.3</v>
      </c>
      <c r="O1090" s="153">
        <v>21.22</v>
      </c>
      <c r="P1090" s="153">
        <v>21.17</v>
      </c>
      <c r="Q1090" s="153">
        <v>21.15</v>
      </c>
      <c r="R1090" s="153">
        <v>21.07</v>
      </c>
      <c r="S1090" s="4"/>
      <c r="U1090" s="147" t="s">
        <v>1167</v>
      </c>
      <c r="V1090" s="11"/>
      <c r="W1090" s="4"/>
      <c r="X1090" s="12"/>
      <c r="Y1090" s="14"/>
      <c r="Z1090" s="4"/>
      <c r="AA1090" s="13"/>
      <c r="AB1090" s="11"/>
      <c r="AC1090" s="4"/>
      <c r="AD1090" s="12"/>
      <c r="AE1090" s="13"/>
      <c r="AF1090" s="14">
        <v>5.0007999999999999</v>
      </c>
      <c r="AG1090" s="133"/>
      <c r="AI1090" s="96"/>
      <c r="AL1090" s="64">
        <v>4.1702478666666662</v>
      </c>
      <c r="AM1090" s="56">
        <v>16.040000000000099</v>
      </c>
      <c r="AN1090" s="56">
        <v>18.060000000000009</v>
      </c>
      <c r="AO1090" s="62">
        <v>24.48000000000015</v>
      </c>
      <c r="AQ1090" s="64">
        <v>4.0803410499999986</v>
      </c>
      <c r="AR1090" s="56">
        <v>15.38000000000004</v>
      </c>
      <c r="AS1090" s="56">
        <v>16.88000000000001</v>
      </c>
      <c r="AT1090" s="62">
        <v>21.300000000000011</v>
      </c>
      <c r="AV1090" s="64">
        <v>3.7264813999999999</v>
      </c>
      <c r="AW1090" s="56">
        <v>14.94</v>
      </c>
      <c r="AX1090" s="56">
        <v>16.460000000000012</v>
      </c>
      <c r="AY1090" s="62">
        <v>21.539999999999981</v>
      </c>
      <c r="BA1090" s="64">
        <v>3.1819912333333331</v>
      </c>
      <c r="BB1090" s="56">
        <v>17.779999999999951</v>
      </c>
      <c r="BC1090" s="56">
        <v>20.39999999999997</v>
      </c>
      <c r="BD1090" s="62">
        <v>32.89999999999997</v>
      </c>
      <c r="BF1090" s="64">
        <v>2.9588614500000001</v>
      </c>
      <c r="BG1090" s="56">
        <v>20.439999999999969</v>
      </c>
      <c r="BH1090" s="56">
        <v>26.959999999999962</v>
      </c>
      <c r="BI1090" s="62">
        <v>53.239999999999988</v>
      </c>
      <c r="BJ1090" s="70"/>
      <c r="BK1090" s="51"/>
    </row>
    <row r="1091" spans="1:63" x14ac:dyDescent="0.4">
      <c r="A1091" s="147" t="s">
        <v>1168</v>
      </c>
      <c r="G1091" s="147" t="s">
        <v>1168</v>
      </c>
      <c r="H1091" s="159">
        <v>70.051000000000002</v>
      </c>
      <c r="I1091" s="153">
        <v>70.36</v>
      </c>
      <c r="J1091" s="153">
        <v>70.38</v>
      </c>
      <c r="K1091" s="153">
        <v>70.38</v>
      </c>
      <c r="L1091" s="153">
        <v>70.37</v>
      </c>
      <c r="M1091" s="80">
        <f t="shared" si="32"/>
        <v>70.38</v>
      </c>
      <c r="N1091" s="80">
        <f t="shared" si="33"/>
        <v>70.36</v>
      </c>
      <c r="O1091" s="153">
        <v>21.2</v>
      </c>
      <c r="P1091" s="153">
        <v>21.07</v>
      </c>
      <c r="Q1091" s="153">
        <v>21.16</v>
      </c>
      <c r="R1091" s="153">
        <v>21.03</v>
      </c>
      <c r="S1091" s="4"/>
      <c r="U1091" s="147" t="s">
        <v>1168</v>
      </c>
      <c r="V1091" s="11"/>
      <c r="W1091" s="4"/>
      <c r="X1091" s="12"/>
      <c r="Y1091" s="14"/>
      <c r="Z1091" s="4"/>
      <c r="AA1091" s="13"/>
      <c r="AB1091" s="11"/>
      <c r="AC1091" s="4"/>
      <c r="AD1091" s="12"/>
      <c r="AE1091" s="13"/>
      <c r="AF1091" s="14">
        <v>5.0082000000000004</v>
      </c>
      <c r="AG1091" s="133"/>
      <c r="AI1091" s="96"/>
      <c r="AL1091" s="64">
        <v>4.1712344000000003</v>
      </c>
      <c r="AM1091" s="56">
        <v>14.67999999999989</v>
      </c>
      <c r="AN1091" s="56">
        <v>16.61999999999999</v>
      </c>
      <c r="AO1091" s="62">
        <v>22.879999999999971</v>
      </c>
      <c r="AQ1091" s="64">
        <v>4.0827425833333342</v>
      </c>
      <c r="AR1091" s="56">
        <v>14.91999999999987</v>
      </c>
      <c r="AS1091" s="56">
        <v>16.39999999999997</v>
      </c>
      <c r="AT1091" s="62">
        <v>20.699999999999989</v>
      </c>
      <c r="AV1091" s="64">
        <v>3.7288766500000001</v>
      </c>
      <c r="AW1091" s="56">
        <v>14.599999999999991</v>
      </c>
      <c r="AX1091" s="56">
        <v>16.100000000000051</v>
      </c>
      <c r="AY1091" s="62">
        <v>21.079999999999991</v>
      </c>
      <c r="BA1091" s="64">
        <v>3.1833661499999999</v>
      </c>
      <c r="BB1091" s="56">
        <v>17.600000000000019</v>
      </c>
      <c r="BC1091" s="56">
        <v>20.180000000000039</v>
      </c>
      <c r="BD1091" s="62">
        <v>32.619999999999997</v>
      </c>
      <c r="BF1091" s="64">
        <v>2.9486619666666671</v>
      </c>
      <c r="BG1091" s="56">
        <v>20.2</v>
      </c>
      <c r="BH1091" s="56">
        <v>26.41999999999998</v>
      </c>
      <c r="BI1091" s="62">
        <v>53.179999999999957</v>
      </c>
      <c r="BJ1091" s="70"/>
      <c r="BK1091" s="51"/>
    </row>
    <row r="1092" spans="1:63" x14ac:dyDescent="0.4">
      <c r="A1092" s="147" t="s">
        <v>1169</v>
      </c>
      <c r="G1092" s="147" t="s">
        <v>1169</v>
      </c>
      <c r="H1092" s="159">
        <v>69.995000000000005</v>
      </c>
      <c r="I1092" s="153">
        <v>70.33</v>
      </c>
      <c r="J1092" s="153">
        <v>70.349999999999994</v>
      </c>
      <c r="K1092" s="153">
        <v>70.290000000000006</v>
      </c>
      <c r="L1092" s="153">
        <v>70.36</v>
      </c>
      <c r="M1092" s="80">
        <f t="shared" si="32"/>
        <v>70.36</v>
      </c>
      <c r="N1092" s="80">
        <f t="shared" si="33"/>
        <v>70.290000000000006</v>
      </c>
      <c r="O1092" s="153">
        <v>21.12</v>
      </c>
      <c r="P1092" s="153">
        <v>21.01</v>
      </c>
      <c r="Q1092" s="153">
        <v>21.12</v>
      </c>
      <c r="R1092" s="153">
        <v>21.05</v>
      </c>
      <c r="S1092" s="4"/>
      <c r="U1092" s="147" t="s">
        <v>1169</v>
      </c>
      <c r="V1092" s="11"/>
      <c r="W1092" s="4"/>
      <c r="X1092" s="12"/>
      <c r="Y1092" s="14"/>
      <c r="Z1092" s="4"/>
      <c r="AA1092" s="13"/>
      <c r="AB1092" s="11"/>
      <c r="AC1092" s="4"/>
      <c r="AD1092" s="12"/>
      <c r="AE1092" s="13"/>
      <c r="AF1092" s="14">
        <v>5.0077999999999996</v>
      </c>
      <c r="AG1092" s="133"/>
      <c r="AI1092" s="96"/>
      <c r="AL1092" s="64">
        <v>4.1705615333333332</v>
      </c>
      <c r="AM1092" s="56">
        <v>14.48</v>
      </c>
      <c r="AN1092" s="56">
        <v>16.39999999999997</v>
      </c>
      <c r="AO1092" s="62">
        <v>22.619999999999859</v>
      </c>
      <c r="AQ1092" s="64">
        <v>4.0816043833333344</v>
      </c>
      <c r="AR1092" s="56">
        <v>14.119999999999949</v>
      </c>
      <c r="AS1092" s="56">
        <v>15.54000000000002</v>
      </c>
      <c r="AT1092" s="62">
        <v>19.699999999999921</v>
      </c>
      <c r="AV1092" s="64">
        <v>3.7277968833333328</v>
      </c>
      <c r="AW1092" s="56">
        <v>13.82000000000003</v>
      </c>
      <c r="AX1092" s="56">
        <v>15.21999999999997</v>
      </c>
      <c r="AY1092" s="62">
        <v>20.019999999999971</v>
      </c>
      <c r="BA1092" s="64">
        <v>3.1890581666666669</v>
      </c>
      <c r="BB1092" s="56">
        <v>17.23999999999997</v>
      </c>
      <c r="BC1092" s="56">
        <v>19.759999999999959</v>
      </c>
      <c r="BD1092" s="62">
        <v>31.939999999999991</v>
      </c>
      <c r="BF1092" s="64">
        <v>2.9680421666666672</v>
      </c>
      <c r="BG1092" s="56">
        <v>19.78</v>
      </c>
      <c r="BH1092" s="56">
        <v>25.919999999999991</v>
      </c>
      <c r="BI1092" s="62">
        <v>51.319999999999943</v>
      </c>
      <c r="BJ1092" s="70"/>
      <c r="BK1092" s="51"/>
    </row>
    <row r="1093" spans="1:63" x14ac:dyDescent="0.4">
      <c r="A1093" s="147" t="s">
        <v>1170</v>
      </c>
      <c r="G1093" s="147" t="s">
        <v>1170</v>
      </c>
      <c r="H1093" s="159">
        <v>69.962999999999994</v>
      </c>
      <c r="I1093" s="153">
        <v>70.290000000000006</v>
      </c>
      <c r="J1093" s="153">
        <v>70.36</v>
      </c>
      <c r="K1093" s="153">
        <v>70.3</v>
      </c>
      <c r="L1093" s="153">
        <v>70.290000000000006</v>
      </c>
      <c r="M1093" s="80">
        <f t="shared" si="32"/>
        <v>70.36</v>
      </c>
      <c r="N1093" s="80">
        <f t="shared" si="33"/>
        <v>70.290000000000006</v>
      </c>
      <c r="O1093" s="153">
        <v>21.2</v>
      </c>
      <c r="P1093" s="153">
        <v>21.14</v>
      </c>
      <c r="Q1093" s="153">
        <v>21.14</v>
      </c>
      <c r="R1093" s="153">
        <v>21.04</v>
      </c>
      <c r="S1093" s="4"/>
      <c r="U1093" s="147" t="s">
        <v>1170</v>
      </c>
      <c r="V1093" s="11"/>
      <c r="W1093" s="4"/>
      <c r="X1093" s="12"/>
      <c r="Y1093" s="14"/>
      <c r="Z1093" s="4"/>
      <c r="AA1093" s="13"/>
      <c r="AB1093" s="11"/>
      <c r="AC1093" s="4"/>
      <c r="AD1093" s="12"/>
      <c r="AE1093" s="13"/>
      <c r="AF1093" s="14">
        <v>5.0069999999999997</v>
      </c>
      <c r="AG1093" s="133"/>
      <c r="AI1093" s="96"/>
      <c r="AL1093" s="64">
        <v>4.1712622499999998</v>
      </c>
      <c r="AM1093" s="56">
        <v>15.41999999999994</v>
      </c>
      <c r="AN1093" s="56">
        <v>17.419999999999899</v>
      </c>
      <c r="AO1093" s="62">
        <v>23.679999999999879</v>
      </c>
      <c r="AQ1093" s="64">
        <v>4.0825342333333321</v>
      </c>
      <c r="AR1093" s="56">
        <v>15.28000000000009</v>
      </c>
      <c r="AS1093" s="56">
        <v>16.780000000000062</v>
      </c>
      <c r="AT1093" s="62">
        <v>21.140000000000029</v>
      </c>
      <c r="AV1093" s="64">
        <v>3.7280791333333338</v>
      </c>
      <c r="AW1093" s="56">
        <v>14.700000000000021</v>
      </c>
      <c r="AX1093" s="56">
        <v>16.199999999999989</v>
      </c>
      <c r="AY1093" s="62">
        <v>21.20000000000006</v>
      </c>
      <c r="BA1093" s="64">
        <v>3.1760118833333331</v>
      </c>
      <c r="BB1093" s="56">
        <v>18.079999999999959</v>
      </c>
      <c r="BC1093" s="56">
        <v>20.759999999999931</v>
      </c>
      <c r="BD1093" s="62">
        <v>33.559999999999953</v>
      </c>
      <c r="BF1093" s="64">
        <v>2.9434879833333332</v>
      </c>
      <c r="BG1093" s="56">
        <v>20.54</v>
      </c>
      <c r="BH1093" s="56">
        <v>27.080000000000041</v>
      </c>
      <c r="BI1093" s="62">
        <v>54.44000000000004</v>
      </c>
      <c r="BJ1093" s="70"/>
      <c r="BK1093" s="51"/>
    </row>
    <row r="1094" spans="1:63" x14ac:dyDescent="0.4">
      <c r="A1094" s="147" t="s">
        <v>1171</v>
      </c>
      <c r="G1094" s="147" t="s">
        <v>1171</v>
      </c>
      <c r="H1094" s="159">
        <v>70.097999999999999</v>
      </c>
      <c r="I1094" s="153">
        <v>70.290000000000006</v>
      </c>
      <c r="J1094" s="153">
        <v>70.27</v>
      </c>
      <c r="K1094" s="153">
        <v>70.36</v>
      </c>
      <c r="L1094" s="153">
        <v>70.37</v>
      </c>
      <c r="M1094" s="80">
        <f t="shared" ref="M1094:M1157" si="34">MAX(I1094:L1094)</f>
        <v>70.37</v>
      </c>
      <c r="N1094" s="80">
        <f t="shared" ref="N1094:N1157" si="35">MIN(I1094:L1094)</f>
        <v>70.27</v>
      </c>
      <c r="O1094" s="153">
        <v>21.15</v>
      </c>
      <c r="P1094" s="153">
        <v>21.15</v>
      </c>
      <c r="Q1094" s="153">
        <v>21.12</v>
      </c>
      <c r="R1094" s="153">
        <v>21.08</v>
      </c>
      <c r="S1094" s="4"/>
      <c r="U1094" s="147" t="s">
        <v>1171</v>
      </c>
      <c r="V1094" s="11"/>
      <c r="W1094" s="4"/>
      <c r="X1094" s="12"/>
      <c r="Y1094" s="14"/>
      <c r="Z1094" s="4"/>
      <c r="AA1094" s="13"/>
      <c r="AB1094" s="11"/>
      <c r="AC1094" s="4"/>
      <c r="AD1094" s="12"/>
      <c r="AE1094" s="13"/>
      <c r="AF1094" s="14">
        <v>5.0042999999999997</v>
      </c>
      <c r="AG1094" s="133"/>
      <c r="AI1094" s="96"/>
      <c r="AL1094" s="64">
        <v>4.1719322166666668</v>
      </c>
      <c r="AM1094" s="56">
        <v>14.119999999999949</v>
      </c>
      <c r="AN1094" s="56">
        <v>16.060000000000048</v>
      </c>
      <c r="AO1094" s="62">
        <v>22.18</v>
      </c>
      <c r="AQ1094" s="64">
        <v>4.081339016666667</v>
      </c>
      <c r="AR1094" s="56">
        <v>13.76000000000008</v>
      </c>
      <c r="AS1094" s="56">
        <v>15.16000000000002</v>
      </c>
      <c r="AT1094" s="62">
        <v>19.200000000000109</v>
      </c>
      <c r="AV1094" s="64">
        <v>3.7279309</v>
      </c>
      <c r="AW1094" s="56">
        <v>13.34</v>
      </c>
      <c r="AX1094" s="56">
        <v>14.74000000000002</v>
      </c>
      <c r="AY1094" s="62">
        <v>19.420000000000041</v>
      </c>
      <c r="BA1094" s="64">
        <v>3.1869155999999998</v>
      </c>
      <c r="BB1094" s="56">
        <v>16.099999999999959</v>
      </c>
      <c r="BC1094" s="56">
        <v>18.499999999999961</v>
      </c>
      <c r="BD1094" s="62">
        <v>30.339999999999989</v>
      </c>
      <c r="BF1094" s="64">
        <v>2.9365592500000002</v>
      </c>
      <c r="BG1094" s="56">
        <v>19.799999999999951</v>
      </c>
      <c r="BH1094" s="56">
        <v>26.459999999999969</v>
      </c>
      <c r="BI1094" s="62">
        <v>54.959999999999987</v>
      </c>
      <c r="BJ1094" s="70"/>
      <c r="BK1094" s="51"/>
    </row>
    <row r="1095" spans="1:63" x14ac:dyDescent="0.4">
      <c r="A1095" s="147" t="s">
        <v>1172</v>
      </c>
      <c r="G1095" s="147" t="s">
        <v>1172</v>
      </c>
      <c r="H1095" s="159">
        <v>70.055999999999997</v>
      </c>
      <c r="I1095" s="153">
        <v>70.34</v>
      </c>
      <c r="J1095" s="153">
        <v>70.290000000000006</v>
      </c>
      <c r="K1095" s="153">
        <v>70.28</v>
      </c>
      <c r="L1095" s="153">
        <v>70.27</v>
      </c>
      <c r="M1095" s="80">
        <f t="shared" si="34"/>
        <v>70.34</v>
      </c>
      <c r="N1095" s="80">
        <f t="shared" si="35"/>
        <v>70.27</v>
      </c>
      <c r="O1095" s="153">
        <v>21.16</v>
      </c>
      <c r="P1095" s="153">
        <v>21.12</v>
      </c>
      <c r="Q1095" s="153">
        <v>21.14</v>
      </c>
      <c r="R1095" s="153">
        <v>21.09</v>
      </c>
      <c r="S1095" s="4"/>
      <c r="U1095" s="147" t="s">
        <v>1172</v>
      </c>
      <c r="V1095" s="11"/>
      <c r="W1095" s="4"/>
      <c r="X1095" s="12"/>
      <c r="Y1095" s="14"/>
      <c r="Z1095" s="4"/>
      <c r="AA1095" s="13"/>
      <c r="AB1095" s="11"/>
      <c r="AC1095" s="4"/>
      <c r="AD1095" s="12"/>
      <c r="AE1095" s="13"/>
      <c r="AF1095" s="14">
        <v>4.9843000000000002</v>
      </c>
      <c r="AG1095" s="133"/>
      <c r="AI1095" s="96"/>
      <c r="AL1095" s="64">
        <v>4.1720575499999999</v>
      </c>
      <c r="AM1095" s="56">
        <v>14.120000000000131</v>
      </c>
      <c r="AN1095" s="56">
        <v>16.000000000000011</v>
      </c>
      <c r="AO1095" s="62">
        <v>22.100000000000009</v>
      </c>
      <c r="AQ1095" s="64">
        <v>4.0809414166666684</v>
      </c>
      <c r="AR1095" s="56">
        <v>13.620000000000051</v>
      </c>
      <c r="AS1095" s="56">
        <v>15.000000000000041</v>
      </c>
      <c r="AT1095" s="62">
        <v>19.000000000000039</v>
      </c>
      <c r="AV1095" s="64">
        <v>3.727804883333333</v>
      </c>
      <c r="AW1095" s="56">
        <v>13.15999999999997</v>
      </c>
      <c r="AX1095" s="56">
        <v>14.54000000000004</v>
      </c>
      <c r="AY1095" s="62">
        <v>19.179999999999971</v>
      </c>
      <c r="BA1095" s="64">
        <v>3.1891314833333331</v>
      </c>
      <c r="BB1095" s="56">
        <v>15.7</v>
      </c>
      <c r="BC1095" s="56">
        <v>18.060000000000009</v>
      </c>
      <c r="BD1095" s="62">
        <v>29.61999999999998</v>
      </c>
      <c r="BF1095" s="64">
        <v>2.9343791499999998</v>
      </c>
      <c r="BG1095" s="56">
        <v>19.420000000000041</v>
      </c>
      <c r="BH1095" s="56">
        <v>26.140000000000011</v>
      </c>
      <c r="BI1095" s="62">
        <v>54.760000000000012</v>
      </c>
      <c r="BJ1095" s="70"/>
      <c r="BK1095" s="51"/>
    </row>
    <row r="1096" spans="1:63" x14ac:dyDescent="0.4">
      <c r="A1096" s="147" t="s">
        <v>1173</v>
      </c>
      <c r="G1096" s="147" t="s">
        <v>1173</v>
      </c>
      <c r="H1096" s="159">
        <v>70.055999999999997</v>
      </c>
      <c r="I1096" s="153">
        <v>70.290000000000006</v>
      </c>
      <c r="J1096" s="153">
        <v>70.39</v>
      </c>
      <c r="K1096" s="153">
        <v>70.3</v>
      </c>
      <c r="L1096" s="153">
        <v>70.319999999999993</v>
      </c>
      <c r="M1096" s="80">
        <f t="shared" si="34"/>
        <v>70.39</v>
      </c>
      <c r="N1096" s="80">
        <f t="shared" si="35"/>
        <v>70.290000000000006</v>
      </c>
      <c r="O1096" s="153">
        <v>21.14</v>
      </c>
      <c r="P1096" s="153">
        <v>21</v>
      </c>
      <c r="Q1096" s="153">
        <v>21.13</v>
      </c>
      <c r="R1096" s="153">
        <v>21.09</v>
      </c>
      <c r="S1096" s="4"/>
      <c r="U1096" s="147" t="s">
        <v>1173</v>
      </c>
      <c r="V1096" s="11"/>
      <c r="W1096" s="4"/>
      <c r="X1096" s="12"/>
      <c r="Y1096" s="14"/>
      <c r="Z1096" s="4"/>
      <c r="AA1096" s="13"/>
      <c r="AB1096" s="11"/>
      <c r="AC1096" s="4"/>
      <c r="AD1096" s="12"/>
      <c r="AE1096" s="13"/>
      <c r="AF1096" s="14">
        <v>5.0015000000000001</v>
      </c>
      <c r="AG1096" s="133"/>
      <c r="AI1096" s="96"/>
      <c r="AL1096" s="64">
        <v>4.171355066666667</v>
      </c>
      <c r="AM1096" s="56">
        <v>14.91999999999987</v>
      </c>
      <c r="AN1096" s="56">
        <v>16.85999999999996</v>
      </c>
      <c r="AO1096" s="62">
        <v>23.059999999999899</v>
      </c>
      <c r="AQ1096" s="64">
        <v>4.0810461666666669</v>
      </c>
      <c r="AR1096" s="56">
        <v>14.41999999999997</v>
      </c>
      <c r="AS1096" s="56">
        <v>15.88000000000012</v>
      </c>
      <c r="AT1096" s="62">
        <v>20.04000000000001</v>
      </c>
      <c r="AV1096" s="64">
        <v>3.727193999999999</v>
      </c>
      <c r="AW1096" s="56">
        <v>14.179999999999991</v>
      </c>
      <c r="AX1096" s="56">
        <v>15.660000000000011</v>
      </c>
      <c r="AY1096" s="62">
        <v>20.600000000000041</v>
      </c>
      <c r="BA1096" s="64">
        <v>3.1850160666666669</v>
      </c>
      <c r="BB1096" s="56">
        <v>16.540000000000092</v>
      </c>
      <c r="BC1096" s="56">
        <v>19.020000000000081</v>
      </c>
      <c r="BD1096" s="62">
        <v>31.10000000000008</v>
      </c>
      <c r="BF1096" s="64">
        <v>2.929944083333333</v>
      </c>
      <c r="BG1096" s="56">
        <v>20.239999999999991</v>
      </c>
      <c r="BH1096" s="56">
        <v>26.880000000000059</v>
      </c>
      <c r="BI1096" s="62">
        <v>55.679999999999993</v>
      </c>
      <c r="BJ1096" s="70"/>
      <c r="BK1096" s="51"/>
    </row>
    <row r="1097" spans="1:63" x14ac:dyDescent="0.4">
      <c r="A1097" s="147" t="s">
        <v>1174</v>
      </c>
      <c r="G1097" s="147" t="s">
        <v>1174</v>
      </c>
      <c r="H1097" s="159">
        <v>70.131</v>
      </c>
      <c r="I1097" s="153">
        <v>70.28</v>
      </c>
      <c r="J1097" s="153">
        <v>70.3</v>
      </c>
      <c r="K1097" s="153">
        <v>70.34</v>
      </c>
      <c r="L1097" s="153">
        <v>70.349999999999994</v>
      </c>
      <c r="M1097" s="80">
        <f t="shared" si="34"/>
        <v>70.349999999999994</v>
      </c>
      <c r="N1097" s="80">
        <f t="shared" si="35"/>
        <v>70.28</v>
      </c>
      <c r="O1097" s="153">
        <v>21.21</v>
      </c>
      <c r="P1097" s="153">
        <v>21.07</v>
      </c>
      <c r="Q1097" s="153">
        <v>21.14</v>
      </c>
      <c r="R1097" s="153">
        <v>21.08</v>
      </c>
      <c r="S1097" s="4"/>
      <c r="U1097" s="147" t="s">
        <v>1174</v>
      </c>
      <c r="V1097" s="11"/>
      <c r="W1097" s="4"/>
      <c r="X1097" s="12"/>
      <c r="Y1097" s="14"/>
      <c r="Z1097" s="4"/>
      <c r="AA1097" s="13"/>
      <c r="AB1097" s="11"/>
      <c r="AC1097" s="4"/>
      <c r="AD1097" s="12"/>
      <c r="AE1097" s="13"/>
      <c r="AF1097" s="14">
        <v>4.9874000000000001</v>
      </c>
      <c r="AG1097" s="133"/>
      <c r="AI1097" s="96"/>
      <c r="AL1097" s="64">
        <v>4.1713350333333334</v>
      </c>
      <c r="AM1097" s="56">
        <v>15.55999999999997</v>
      </c>
      <c r="AN1097" s="56">
        <v>17.619999999999969</v>
      </c>
      <c r="AO1097" s="62">
        <v>23.97999999999989</v>
      </c>
      <c r="AQ1097" s="64">
        <v>4.0813948500000006</v>
      </c>
      <c r="AR1097" s="56">
        <v>15.140000000000059</v>
      </c>
      <c r="AS1097" s="56">
        <v>16.680000000000032</v>
      </c>
      <c r="AT1097" s="62">
        <v>20.940000000000051</v>
      </c>
      <c r="AV1097" s="64">
        <v>3.7274627499999999</v>
      </c>
      <c r="AW1097" s="56">
        <v>14.599999999999991</v>
      </c>
      <c r="AX1097" s="56">
        <v>16.12</v>
      </c>
      <c r="AY1097" s="62">
        <v>21.11999999999998</v>
      </c>
      <c r="BA1097" s="64">
        <v>3.1824645666666669</v>
      </c>
      <c r="BB1097" s="56">
        <v>16.94000000000004</v>
      </c>
      <c r="BC1097" s="56">
        <v>19.519999999999978</v>
      </c>
      <c r="BD1097" s="62">
        <v>31.80000000000005</v>
      </c>
      <c r="BF1097" s="64">
        <v>2.9249944999999991</v>
      </c>
      <c r="BG1097" s="56">
        <v>20.38000000000002</v>
      </c>
      <c r="BH1097" s="56">
        <v>26.660000000000039</v>
      </c>
      <c r="BI1097" s="62">
        <v>55.380000000000067</v>
      </c>
      <c r="BJ1097" s="70"/>
      <c r="BK1097" s="51"/>
    </row>
    <row r="1098" spans="1:63" x14ac:dyDescent="0.4">
      <c r="A1098" s="147" t="s">
        <v>1175</v>
      </c>
      <c r="G1098" s="147" t="s">
        <v>1175</v>
      </c>
      <c r="H1098" s="159">
        <v>69.965000000000003</v>
      </c>
      <c r="I1098" s="153">
        <v>70.3</v>
      </c>
      <c r="J1098" s="153">
        <v>70.28</v>
      </c>
      <c r="K1098" s="153">
        <v>70.319999999999993</v>
      </c>
      <c r="L1098" s="153">
        <v>70.3</v>
      </c>
      <c r="M1098" s="80">
        <f t="shared" si="34"/>
        <v>70.319999999999993</v>
      </c>
      <c r="N1098" s="80">
        <f t="shared" si="35"/>
        <v>70.28</v>
      </c>
      <c r="O1098" s="153">
        <v>21.12</v>
      </c>
      <c r="P1098" s="153">
        <v>21.12</v>
      </c>
      <c r="Q1098" s="153">
        <v>21.06</v>
      </c>
      <c r="R1098" s="153">
        <v>21.01</v>
      </c>
      <c r="S1098" s="4"/>
      <c r="U1098" s="147" t="s">
        <v>1175</v>
      </c>
      <c r="V1098" s="11"/>
      <c r="W1098" s="4"/>
      <c r="X1098" s="12"/>
      <c r="Y1098" s="14"/>
      <c r="Z1098" s="4"/>
      <c r="AA1098" s="13"/>
      <c r="AB1098" s="11"/>
      <c r="AC1098" s="4"/>
      <c r="AD1098" s="12"/>
      <c r="AE1098" s="13"/>
      <c r="AF1098" s="14">
        <v>5.0240999999999998</v>
      </c>
      <c r="AG1098" s="133"/>
      <c r="AI1098" s="96"/>
      <c r="AL1098" s="64">
        <v>4.1720789333333332</v>
      </c>
      <c r="AM1098" s="56">
        <v>14.960000000000131</v>
      </c>
      <c r="AN1098" s="56">
        <v>16.96000000000009</v>
      </c>
      <c r="AO1098" s="62">
        <v>23.30000000000005</v>
      </c>
      <c r="AQ1098" s="64">
        <v>4.0820028833333328</v>
      </c>
      <c r="AR1098" s="56">
        <v>14.759999999999881</v>
      </c>
      <c r="AS1098" s="56">
        <v>16.239999999999991</v>
      </c>
      <c r="AT1098" s="62">
        <v>20.499999999999918</v>
      </c>
      <c r="AV1098" s="64">
        <v>3.7300399666666659</v>
      </c>
      <c r="AW1098" s="56">
        <v>14.24000000000003</v>
      </c>
      <c r="AX1098" s="56">
        <v>15.760000000000041</v>
      </c>
      <c r="AY1098" s="62">
        <v>20.70000000000007</v>
      </c>
      <c r="BA1098" s="64">
        <v>3.192616366666666</v>
      </c>
      <c r="BB1098" s="56">
        <v>16.5</v>
      </c>
      <c r="BC1098" s="56">
        <v>18.959999999999951</v>
      </c>
      <c r="BD1098" s="62">
        <v>30.759999999999991</v>
      </c>
      <c r="BF1098" s="64">
        <v>2.9364637500000002</v>
      </c>
      <c r="BG1098" s="56">
        <v>20.319999999999979</v>
      </c>
      <c r="BH1098" s="56">
        <v>26.98</v>
      </c>
      <c r="BI1098" s="62">
        <v>55.499999999999972</v>
      </c>
      <c r="BJ1098" s="70"/>
      <c r="BK1098" s="51"/>
    </row>
    <row r="1099" spans="1:63" x14ac:dyDescent="0.4">
      <c r="A1099" s="147" t="s">
        <v>1176</v>
      </c>
      <c r="G1099" s="147" t="s">
        <v>1176</v>
      </c>
      <c r="H1099" s="159">
        <v>70.022999999999996</v>
      </c>
      <c r="I1099" s="153">
        <v>70.3</v>
      </c>
      <c r="J1099" s="153">
        <v>70.39</v>
      </c>
      <c r="K1099" s="153">
        <v>70.349999999999994</v>
      </c>
      <c r="L1099" s="153">
        <v>70.34</v>
      </c>
      <c r="M1099" s="80">
        <f t="shared" si="34"/>
        <v>70.39</v>
      </c>
      <c r="N1099" s="80">
        <f t="shared" si="35"/>
        <v>70.3</v>
      </c>
      <c r="O1099" s="153">
        <v>21.19</v>
      </c>
      <c r="P1099" s="153">
        <v>21.08</v>
      </c>
      <c r="Q1099" s="153">
        <v>21.17</v>
      </c>
      <c r="R1099" s="153">
        <v>21.07</v>
      </c>
      <c r="S1099" s="4"/>
      <c r="U1099" s="147" t="s">
        <v>1176</v>
      </c>
      <c r="V1099" s="11"/>
      <c r="W1099" s="4"/>
      <c r="X1099" s="12"/>
      <c r="Y1099" s="14"/>
      <c r="Z1099" s="4"/>
      <c r="AA1099" s="13"/>
      <c r="AB1099" s="11"/>
      <c r="AC1099" s="4"/>
      <c r="AD1099" s="12"/>
      <c r="AE1099" s="13"/>
      <c r="AF1099" s="14">
        <v>5.0305</v>
      </c>
      <c r="AG1099" s="133"/>
      <c r="AI1099" s="96"/>
      <c r="AL1099" s="64">
        <v>4.1718424166666663</v>
      </c>
      <c r="AM1099" s="56">
        <v>15.000000000000041</v>
      </c>
      <c r="AN1099" s="56">
        <v>16.999999999999989</v>
      </c>
      <c r="AO1099" s="62">
        <v>23.25999999999997</v>
      </c>
      <c r="AQ1099" s="64">
        <v>4.080892266666666</v>
      </c>
      <c r="AR1099" s="56">
        <v>14.700000000000021</v>
      </c>
      <c r="AS1099" s="56">
        <v>16.17999999999995</v>
      </c>
      <c r="AT1099" s="62">
        <v>20.419999999999931</v>
      </c>
      <c r="AV1099" s="64">
        <v>3.7270034166666659</v>
      </c>
      <c r="AW1099" s="56">
        <v>14.24000000000003</v>
      </c>
      <c r="AX1099" s="56">
        <v>15.72000000000005</v>
      </c>
      <c r="AY1099" s="62">
        <v>20.659999999999989</v>
      </c>
      <c r="BA1099" s="64">
        <v>3.1804986</v>
      </c>
      <c r="BB1099" s="56">
        <v>16.560000000000041</v>
      </c>
      <c r="BC1099" s="56">
        <v>19.09999999999998</v>
      </c>
      <c r="BD1099" s="62">
        <v>31.299999999999969</v>
      </c>
      <c r="BF1099" s="64">
        <v>2.9359649166666659</v>
      </c>
      <c r="BG1099" s="56">
        <v>20.29999999999994</v>
      </c>
      <c r="BH1099" s="56">
        <v>27.25999999999997</v>
      </c>
      <c r="BI1099" s="62">
        <v>56.199999999999939</v>
      </c>
      <c r="BJ1099" s="70"/>
      <c r="BK1099" s="51"/>
    </row>
    <row r="1100" spans="1:63" x14ac:dyDescent="0.4">
      <c r="A1100" s="147" t="s">
        <v>1177</v>
      </c>
      <c r="G1100" s="147" t="s">
        <v>1177</v>
      </c>
      <c r="H1100" s="159">
        <v>70.010999999999996</v>
      </c>
      <c r="I1100" s="153">
        <v>70.319999999999993</v>
      </c>
      <c r="J1100" s="153">
        <v>70.33</v>
      </c>
      <c r="K1100" s="153">
        <v>70.34</v>
      </c>
      <c r="L1100" s="153">
        <v>70.36</v>
      </c>
      <c r="M1100" s="80">
        <f t="shared" si="34"/>
        <v>70.36</v>
      </c>
      <c r="N1100" s="80">
        <f t="shared" si="35"/>
        <v>70.319999999999993</v>
      </c>
      <c r="O1100" s="153">
        <v>21.22</v>
      </c>
      <c r="P1100" s="153">
        <v>21.12</v>
      </c>
      <c r="Q1100" s="153">
        <v>21.11</v>
      </c>
      <c r="R1100" s="153">
        <v>20.99</v>
      </c>
      <c r="S1100" s="4"/>
      <c r="U1100" s="147" t="s">
        <v>1177</v>
      </c>
      <c r="V1100" s="11"/>
      <c r="W1100" s="4"/>
      <c r="X1100" s="12"/>
      <c r="Y1100" s="14"/>
      <c r="Z1100" s="4"/>
      <c r="AA1100" s="13"/>
      <c r="AB1100" s="11"/>
      <c r="AC1100" s="4"/>
      <c r="AD1100" s="12"/>
      <c r="AE1100" s="13"/>
      <c r="AF1100" s="14">
        <v>4.9951999999999996</v>
      </c>
      <c r="AG1100" s="133"/>
      <c r="AI1100" s="96"/>
      <c r="AL1100" s="64">
        <v>4.17200945</v>
      </c>
      <c r="AM1100" s="56">
        <v>15.17999999999997</v>
      </c>
      <c r="AN1100" s="56">
        <v>17.199999999999878</v>
      </c>
      <c r="AO1100" s="62">
        <v>23.540000000000031</v>
      </c>
      <c r="AQ1100" s="64">
        <v>4.0819250666666669</v>
      </c>
      <c r="AR1100" s="56">
        <v>14.759999999999881</v>
      </c>
      <c r="AS1100" s="56">
        <v>16.259999999999941</v>
      </c>
      <c r="AT1100" s="62">
        <v>20.51999999999996</v>
      </c>
      <c r="AV1100" s="64">
        <v>3.728365183333334</v>
      </c>
      <c r="AW1100" s="56">
        <v>14.24000000000003</v>
      </c>
      <c r="AX1100" s="56">
        <v>15.760000000000041</v>
      </c>
      <c r="AY1100" s="62">
        <v>20.659999999999989</v>
      </c>
      <c r="BA1100" s="64">
        <v>3.1837573333333342</v>
      </c>
      <c r="BB1100" s="56">
        <v>16.920000000000002</v>
      </c>
      <c r="BC1100" s="56">
        <v>19.439999999999991</v>
      </c>
      <c r="BD1100" s="62">
        <v>31.620000000000019</v>
      </c>
      <c r="BF1100" s="64">
        <v>2.9350594499999998</v>
      </c>
      <c r="BG1100" s="56">
        <v>20.51999999999996</v>
      </c>
      <c r="BH1100" s="56">
        <v>27.740000000000009</v>
      </c>
      <c r="BI1100" s="62">
        <v>56.839999999999961</v>
      </c>
      <c r="BJ1100" s="70"/>
      <c r="BK1100" s="51"/>
    </row>
    <row r="1101" spans="1:63" x14ac:dyDescent="0.4">
      <c r="A1101" s="147" t="s">
        <v>1178</v>
      </c>
      <c r="G1101" s="147" t="s">
        <v>1178</v>
      </c>
      <c r="H1101" s="159">
        <v>70.055999999999997</v>
      </c>
      <c r="I1101" s="153">
        <v>70.36</v>
      </c>
      <c r="J1101" s="153">
        <v>70.290000000000006</v>
      </c>
      <c r="K1101" s="153">
        <v>70.34</v>
      </c>
      <c r="L1101" s="153">
        <v>70.319999999999993</v>
      </c>
      <c r="M1101" s="80">
        <f t="shared" si="34"/>
        <v>70.36</v>
      </c>
      <c r="N1101" s="80">
        <f t="shared" si="35"/>
        <v>70.290000000000006</v>
      </c>
      <c r="O1101" s="153">
        <v>21.15</v>
      </c>
      <c r="P1101" s="153">
        <v>21.14</v>
      </c>
      <c r="Q1101" s="153">
        <v>21.13</v>
      </c>
      <c r="R1101" s="153">
        <v>21.04</v>
      </c>
      <c r="S1101" s="4"/>
      <c r="U1101" s="147" t="s">
        <v>1178</v>
      </c>
      <c r="V1101" s="11"/>
      <c r="W1101" s="4"/>
      <c r="X1101" s="12"/>
      <c r="Y1101" s="14"/>
      <c r="Z1101" s="4"/>
      <c r="AA1101" s="13"/>
      <c r="AB1101" s="11"/>
      <c r="AC1101" s="4"/>
      <c r="AD1101" s="12"/>
      <c r="AE1101" s="13"/>
      <c r="AF1101" s="14">
        <v>4.9997999999999996</v>
      </c>
      <c r="AG1101" s="133"/>
      <c r="AI1101" s="96"/>
      <c r="AL1101" s="64">
        <v>4.1723214999999998</v>
      </c>
      <c r="AM1101" s="56">
        <v>15.16000000000002</v>
      </c>
      <c r="AN1101" s="56">
        <v>17.179999999999929</v>
      </c>
      <c r="AO1101" s="62">
        <v>23.46000000000004</v>
      </c>
      <c r="AQ1101" s="64">
        <v>4.08219975</v>
      </c>
      <c r="AR1101" s="56">
        <v>14.780000000000021</v>
      </c>
      <c r="AS1101" s="56">
        <v>16.260000000000119</v>
      </c>
      <c r="AT1101" s="62">
        <v>20.520000000000049</v>
      </c>
      <c r="AV1101" s="64">
        <v>3.7289565833333329</v>
      </c>
      <c r="AW1101" s="56">
        <v>13.839999999999989</v>
      </c>
      <c r="AX1101" s="56">
        <v>15.32</v>
      </c>
      <c r="AY1101" s="62">
        <v>20.12</v>
      </c>
      <c r="BA1101" s="64">
        <v>3.178716366666666</v>
      </c>
      <c r="BB1101" s="56">
        <v>16.29999999999994</v>
      </c>
      <c r="BC1101" s="56">
        <v>18.75999999999998</v>
      </c>
      <c r="BD1101" s="62">
        <v>30.839999999999979</v>
      </c>
      <c r="BF1101" s="64">
        <v>2.915806116666666</v>
      </c>
      <c r="BG1101" s="56">
        <v>20.000000000000021</v>
      </c>
      <c r="BH1101" s="56">
        <v>26.739999999999942</v>
      </c>
      <c r="BI1101" s="62">
        <v>57.099999999999973</v>
      </c>
      <c r="BJ1101" s="70"/>
      <c r="BK1101" s="51"/>
    </row>
    <row r="1102" spans="1:63" x14ac:dyDescent="0.4">
      <c r="A1102" s="147" t="s">
        <v>1179</v>
      </c>
      <c r="G1102" s="147" t="s">
        <v>1179</v>
      </c>
      <c r="H1102" s="159">
        <v>70.042000000000002</v>
      </c>
      <c r="I1102" s="153">
        <v>70.38</v>
      </c>
      <c r="J1102" s="153">
        <v>70.349999999999994</v>
      </c>
      <c r="K1102" s="153">
        <v>70.34</v>
      </c>
      <c r="L1102" s="153">
        <v>70.290000000000006</v>
      </c>
      <c r="M1102" s="80">
        <f t="shared" si="34"/>
        <v>70.38</v>
      </c>
      <c r="N1102" s="80">
        <f t="shared" si="35"/>
        <v>70.290000000000006</v>
      </c>
      <c r="O1102" s="153">
        <v>21.16</v>
      </c>
      <c r="P1102" s="153">
        <v>21.08</v>
      </c>
      <c r="Q1102" s="153">
        <v>21.1</v>
      </c>
      <c r="R1102" s="153">
        <v>21.08</v>
      </c>
      <c r="S1102" s="4"/>
      <c r="U1102" s="147" t="s">
        <v>1179</v>
      </c>
      <c r="V1102" s="11"/>
      <c r="W1102" s="4"/>
      <c r="X1102" s="12"/>
      <c r="Y1102" s="14"/>
      <c r="Z1102" s="4"/>
      <c r="AA1102" s="13"/>
      <c r="AB1102" s="11"/>
      <c r="AC1102" s="4"/>
      <c r="AD1102" s="12"/>
      <c r="AE1102" s="13"/>
      <c r="AF1102" s="14">
        <v>5.0044000000000004</v>
      </c>
      <c r="AG1102" s="133"/>
      <c r="AI1102" s="96"/>
      <c r="AL1102" s="64">
        <v>4.1714811333333337</v>
      </c>
      <c r="AM1102" s="56">
        <v>13.940000000000021</v>
      </c>
      <c r="AN1102" s="56">
        <v>15.84000000000003</v>
      </c>
      <c r="AO1102" s="62">
        <v>21.95999999999998</v>
      </c>
      <c r="AQ1102" s="64">
        <v>4.0832179333333318</v>
      </c>
      <c r="AR1102" s="56">
        <v>13.879999999999979</v>
      </c>
      <c r="AS1102" s="56">
        <v>15.259999999999961</v>
      </c>
      <c r="AT1102" s="62">
        <v>19.279999999999919</v>
      </c>
      <c r="AV1102" s="64">
        <v>3.7297973666666659</v>
      </c>
      <c r="AW1102" s="56">
        <v>13.500000000000069</v>
      </c>
      <c r="AX1102" s="56">
        <v>14.9</v>
      </c>
      <c r="AY1102" s="62">
        <v>19.600000000000058</v>
      </c>
      <c r="BA1102" s="64">
        <v>3.1904290166666658</v>
      </c>
      <c r="BB1102" s="56">
        <v>16.16</v>
      </c>
      <c r="BC1102" s="56">
        <v>18.559999999999999</v>
      </c>
      <c r="BD1102" s="62">
        <v>30.29999999999999</v>
      </c>
      <c r="BF1102" s="64">
        <v>2.939958083333333</v>
      </c>
      <c r="BG1102" s="56">
        <v>19.919999999999941</v>
      </c>
      <c r="BH1102" s="56">
        <v>26.619999999999951</v>
      </c>
      <c r="BI1102" s="62">
        <v>55.019999999999939</v>
      </c>
      <c r="BJ1102" s="70"/>
      <c r="BK1102" s="51"/>
    </row>
    <row r="1103" spans="1:63" x14ac:dyDescent="0.4">
      <c r="A1103" s="147" t="s">
        <v>1180</v>
      </c>
      <c r="G1103" s="147" t="s">
        <v>1180</v>
      </c>
      <c r="H1103" s="159">
        <v>70.036000000000001</v>
      </c>
      <c r="I1103" s="153">
        <v>70.349999999999994</v>
      </c>
      <c r="J1103" s="153">
        <v>70.290000000000006</v>
      </c>
      <c r="K1103" s="153">
        <v>70.31</v>
      </c>
      <c r="L1103" s="153">
        <v>70.290000000000006</v>
      </c>
      <c r="M1103" s="80">
        <f t="shared" si="34"/>
        <v>70.349999999999994</v>
      </c>
      <c r="N1103" s="80">
        <f t="shared" si="35"/>
        <v>70.290000000000006</v>
      </c>
      <c r="O1103" s="153">
        <v>21.2</v>
      </c>
      <c r="P1103" s="153">
        <v>21.11</v>
      </c>
      <c r="Q1103" s="153">
        <v>21.14</v>
      </c>
      <c r="R1103" s="153">
        <v>21.08</v>
      </c>
      <c r="S1103" s="4"/>
      <c r="U1103" s="147" t="s">
        <v>1180</v>
      </c>
      <c r="V1103" s="11"/>
      <c r="W1103" s="4"/>
      <c r="X1103" s="12"/>
      <c r="Y1103" s="14"/>
      <c r="Z1103" s="4"/>
      <c r="AA1103" s="13"/>
      <c r="AB1103" s="11"/>
      <c r="AC1103" s="4"/>
      <c r="AD1103" s="12"/>
      <c r="AE1103" s="13"/>
      <c r="AF1103" s="14">
        <v>5.0007000000000001</v>
      </c>
      <c r="AG1103" s="133"/>
      <c r="AI1103" s="96"/>
      <c r="AL1103" s="64">
        <v>4.1721633333333337</v>
      </c>
      <c r="AM1103" s="56">
        <v>15.200000000000101</v>
      </c>
      <c r="AN1103" s="56">
        <v>17.22000000000001</v>
      </c>
      <c r="AO1103" s="62">
        <v>23.46000000000004</v>
      </c>
      <c r="AQ1103" s="64">
        <v>4.0809833833333338</v>
      </c>
      <c r="AR1103" s="56">
        <v>14.8200000000001</v>
      </c>
      <c r="AS1103" s="56">
        <v>16.300000000000029</v>
      </c>
      <c r="AT1103" s="62">
        <v>20.58</v>
      </c>
      <c r="AV1103" s="64">
        <v>3.727641849999999</v>
      </c>
      <c r="AW1103" s="56">
        <v>14.02000000000001</v>
      </c>
      <c r="AX1103" s="56">
        <v>15.51999999999998</v>
      </c>
      <c r="AY1103" s="62">
        <v>20.38000000000002</v>
      </c>
      <c r="BA1103" s="64">
        <v>3.1773042166666672</v>
      </c>
      <c r="BB1103" s="56">
        <v>16.319999999999979</v>
      </c>
      <c r="BC1103" s="56">
        <v>18.820000000000011</v>
      </c>
      <c r="BD1103" s="62">
        <v>30.959999999999969</v>
      </c>
      <c r="BF1103" s="64">
        <v>2.914823849999999</v>
      </c>
      <c r="BG1103" s="56">
        <v>20.060000000000059</v>
      </c>
      <c r="BH1103" s="56">
        <v>26.680000000000081</v>
      </c>
      <c r="BI1103" s="62">
        <v>56.840000000000053</v>
      </c>
      <c r="BJ1103" s="70"/>
      <c r="BK1103" s="51"/>
    </row>
    <row r="1104" spans="1:63" x14ac:dyDescent="0.4">
      <c r="A1104" s="147" t="s">
        <v>1181</v>
      </c>
      <c r="G1104" s="147" t="s">
        <v>1181</v>
      </c>
      <c r="H1104" s="159">
        <v>70.049000000000007</v>
      </c>
      <c r="I1104" s="153">
        <v>70.36</v>
      </c>
      <c r="J1104" s="153">
        <v>70.3</v>
      </c>
      <c r="K1104" s="153">
        <v>70.319999999999993</v>
      </c>
      <c r="L1104" s="153">
        <v>70.39</v>
      </c>
      <c r="M1104" s="80">
        <f t="shared" si="34"/>
        <v>70.39</v>
      </c>
      <c r="N1104" s="80">
        <f t="shared" si="35"/>
        <v>70.3</v>
      </c>
      <c r="O1104" s="153">
        <v>21.15</v>
      </c>
      <c r="P1104" s="153">
        <v>21.1</v>
      </c>
      <c r="Q1104" s="153">
        <v>21.11</v>
      </c>
      <c r="R1104" s="153">
        <v>21.01</v>
      </c>
      <c r="S1104" s="4"/>
      <c r="U1104" s="147" t="s">
        <v>1181</v>
      </c>
      <c r="V1104" s="11"/>
      <c r="W1104" s="4"/>
      <c r="X1104" s="12"/>
      <c r="Y1104" s="14"/>
      <c r="Z1104" s="4"/>
      <c r="AA1104" s="13"/>
      <c r="AB1104" s="11"/>
      <c r="AC1104" s="4"/>
      <c r="AD1104" s="12"/>
      <c r="AE1104" s="13"/>
      <c r="AF1104" s="14">
        <v>5.0030999999999999</v>
      </c>
      <c r="AG1104" s="133"/>
      <c r="AI1104" s="96"/>
      <c r="AL1104" s="64">
        <v>4.1712993000000003</v>
      </c>
      <c r="AM1104" s="56">
        <v>14.219999999999899</v>
      </c>
      <c r="AN1104" s="56">
        <v>16.119999999999909</v>
      </c>
      <c r="AO1104" s="62">
        <v>22.19999999999995</v>
      </c>
      <c r="AQ1104" s="64">
        <v>4.0804007166666656</v>
      </c>
      <c r="AR1104" s="56">
        <v>13.57999999999997</v>
      </c>
      <c r="AS1104" s="56">
        <v>14.959999999999949</v>
      </c>
      <c r="AT1104" s="62">
        <v>18.98</v>
      </c>
      <c r="AV1104" s="64">
        <v>3.7263445499999999</v>
      </c>
      <c r="AW1104" s="56">
        <v>13.11999999999998</v>
      </c>
      <c r="AX1104" s="56">
        <v>14.499999999999959</v>
      </c>
      <c r="AY1104" s="62">
        <v>19.179999999999971</v>
      </c>
      <c r="BA1104" s="64">
        <v>3.1842788</v>
      </c>
      <c r="BB1104" s="56">
        <v>15.679999999999961</v>
      </c>
      <c r="BC1104" s="56">
        <v>18.079999999999959</v>
      </c>
      <c r="BD1104" s="62">
        <v>29.88</v>
      </c>
      <c r="BF1104" s="64">
        <v>2.9404837000000001</v>
      </c>
      <c r="BG1104" s="56">
        <v>19.280000000000008</v>
      </c>
      <c r="BH1104" s="56">
        <v>25.84</v>
      </c>
      <c r="BI1104" s="62">
        <v>53.77999999999998</v>
      </c>
      <c r="BJ1104" s="70"/>
      <c r="BK1104" s="51"/>
    </row>
    <row r="1105" spans="1:63" x14ac:dyDescent="0.4">
      <c r="A1105" s="147" t="s">
        <v>1182</v>
      </c>
      <c r="G1105" s="147" t="s">
        <v>1182</v>
      </c>
      <c r="H1105" s="159">
        <v>70.093000000000004</v>
      </c>
      <c r="I1105" s="153">
        <v>70.3</v>
      </c>
      <c r="J1105" s="153">
        <v>70.34</v>
      </c>
      <c r="K1105" s="153">
        <v>70.319999999999993</v>
      </c>
      <c r="L1105" s="153">
        <v>70.27</v>
      </c>
      <c r="M1105" s="80">
        <f t="shared" si="34"/>
        <v>70.34</v>
      </c>
      <c r="N1105" s="80">
        <f t="shared" si="35"/>
        <v>70.27</v>
      </c>
      <c r="O1105" s="153">
        <v>21.17</v>
      </c>
      <c r="P1105" s="153">
        <v>21.16</v>
      </c>
      <c r="Q1105" s="153">
        <v>21.12</v>
      </c>
      <c r="R1105" s="153">
        <v>21.08</v>
      </c>
      <c r="S1105" s="4"/>
      <c r="U1105" s="147" t="s">
        <v>1182</v>
      </c>
      <c r="V1105" s="11"/>
      <c r="W1105" s="4"/>
      <c r="X1105" s="12"/>
      <c r="Y1105" s="14"/>
      <c r="Z1105" s="4"/>
      <c r="AA1105" s="13"/>
      <c r="AB1105" s="11"/>
      <c r="AC1105" s="4"/>
      <c r="AD1105" s="12"/>
      <c r="AE1105" s="13"/>
      <c r="AF1105" s="14">
        <v>5.0006000000000004</v>
      </c>
      <c r="AG1105" s="133"/>
      <c r="AI1105" s="96"/>
      <c r="AL1105" s="64">
        <v>4.1720051833333329</v>
      </c>
      <c r="AM1105" s="56">
        <v>14.279999999999941</v>
      </c>
      <c r="AN1105" s="56">
        <v>16.17999999999995</v>
      </c>
      <c r="AO1105" s="62">
        <v>22.299999999999901</v>
      </c>
      <c r="AQ1105" s="64">
        <v>4.0805831833333324</v>
      </c>
      <c r="AR1105" s="56">
        <v>13.69999999999987</v>
      </c>
      <c r="AS1105" s="56">
        <v>15.079999999999851</v>
      </c>
      <c r="AT1105" s="62">
        <v>19.119999999999941</v>
      </c>
      <c r="AV1105" s="64">
        <v>3.7274858499999999</v>
      </c>
      <c r="AW1105" s="56">
        <v>13.3</v>
      </c>
      <c r="AX1105" s="56">
        <v>14.67999999999998</v>
      </c>
      <c r="AY1105" s="62">
        <v>19.339999999999961</v>
      </c>
      <c r="BA1105" s="64">
        <v>3.188000816666666</v>
      </c>
      <c r="BB1105" s="56">
        <v>15.880000000000029</v>
      </c>
      <c r="BC1105" s="56">
        <v>18.259999999999991</v>
      </c>
      <c r="BD1105" s="62">
        <v>29.860000000000039</v>
      </c>
      <c r="BF1105" s="64">
        <v>2.929744466666667</v>
      </c>
      <c r="BG1105" s="56">
        <v>19.639999999999969</v>
      </c>
      <c r="BH1105" s="56">
        <v>26.339999999999989</v>
      </c>
      <c r="BI1105" s="62">
        <v>55.060000000000016</v>
      </c>
      <c r="BJ1105" s="70"/>
      <c r="BK1105" s="51"/>
    </row>
    <row r="1106" spans="1:63" x14ac:dyDescent="0.4">
      <c r="A1106" s="147" t="s">
        <v>1183</v>
      </c>
      <c r="G1106" s="147" t="s">
        <v>1183</v>
      </c>
      <c r="H1106" s="159">
        <v>69.986000000000004</v>
      </c>
      <c r="I1106" s="153">
        <v>70.37</v>
      </c>
      <c r="J1106" s="153">
        <v>70.28</v>
      </c>
      <c r="K1106" s="153">
        <v>70.33</v>
      </c>
      <c r="L1106" s="153">
        <v>70.34</v>
      </c>
      <c r="M1106" s="80">
        <f t="shared" si="34"/>
        <v>70.37</v>
      </c>
      <c r="N1106" s="80">
        <f t="shared" si="35"/>
        <v>70.28</v>
      </c>
      <c r="O1106" s="153">
        <v>21.18</v>
      </c>
      <c r="P1106" s="153">
        <v>21.02</v>
      </c>
      <c r="Q1106" s="153">
        <v>21.15</v>
      </c>
      <c r="R1106" s="153">
        <v>21.12</v>
      </c>
      <c r="S1106" s="4"/>
      <c r="U1106" s="147" t="s">
        <v>1183</v>
      </c>
      <c r="V1106" s="11"/>
      <c r="W1106" s="4"/>
      <c r="X1106" s="12"/>
      <c r="Y1106" s="14"/>
      <c r="Z1106" s="4"/>
      <c r="AA1106" s="13"/>
      <c r="AB1106" s="11"/>
      <c r="AC1106" s="4"/>
      <c r="AD1106" s="12"/>
      <c r="AE1106" s="13"/>
      <c r="AF1106" s="14">
        <v>5.0061999999999998</v>
      </c>
      <c r="AG1106" s="133"/>
      <c r="AI1106" s="96"/>
      <c r="AL1106" s="64">
        <v>4.1712447666666677</v>
      </c>
      <c r="AM1106" s="56">
        <v>14.059999999999921</v>
      </c>
      <c r="AN1106" s="56">
        <v>15.95999999999993</v>
      </c>
      <c r="AO1106" s="62">
        <v>22.059999999999921</v>
      </c>
      <c r="AQ1106" s="64">
        <v>4.081220383333334</v>
      </c>
      <c r="AR1106" s="56">
        <v>13.61999999999988</v>
      </c>
      <c r="AS1106" s="56">
        <v>14.99999999999986</v>
      </c>
      <c r="AT1106" s="62">
        <v>19.0199999999999</v>
      </c>
      <c r="AV1106" s="64">
        <v>3.7270924999999999</v>
      </c>
      <c r="AW1106" s="56">
        <v>13.15999999999997</v>
      </c>
      <c r="AX1106" s="56">
        <v>14.56</v>
      </c>
      <c r="AY1106" s="62">
        <v>19.25999999999997</v>
      </c>
      <c r="BA1106" s="64">
        <v>3.1821988499999989</v>
      </c>
      <c r="BB1106" s="56">
        <v>15.62000000000001</v>
      </c>
      <c r="BC1106" s="56">
        <v>18.02000000000001</v>
      </c>
      <c r="BD1106" s="62">
        <v>29.95999999999999</v>
      </c>
      <c r="BF1106" s="64">
        <v>2.933363916666667</v>
      </c>
      <c r="BG1106" s="56">
        <v>19.160000000000021</v>
      </c>
      <c r="BH1106" s="56">
        <v>25.68000000000001</v>
      </c>
      <c r="BI1106" s="62">
        <v>54.000000000000007</v>
      </c>
      <c r="BJ1106" s="70"/>
      <c r="BK1106" s="51"/>
    </row>
    <row r="1107" spans="1:63" x14ac:dyDescent="0.4">
      <c r="A1107" s="147" t="s">
        <v>1184</v>
      </c>
      <c r="G1107" s="147" t="s">
        <v>1184</v>
      </c>
      <c r="H1107" s="159">
        <v>69.980999999999995</v>
      </c>
      <c r="I1107" s="153">
        <v>70.349999999999994</v>
      </c>
      <c r="J1107" s="153">
        <v>70.36</v>
      </c>
      <c r="K1107" s="153">
        <v>70.3</v>
      </c>
      <c r="L1107" s="153">
        <v>70.27</v>
      </c>
      <c r="M1107" s="80">
        <f t="shared" si="34"/>
        <v>70.36</v>
      </c>
      <c r="N1107" s="80">
        <f t="shared" si="35"/>
        <v>70.27</v>
      </c>
      <c r="O1107" s="153">
        <v>21.18</v>
      </c>
      <c r="P1107" s="153">
        <v>21.09</v>
      </c>
      <c r="Q1107" s="153">
        <v>21.09</v>
      </c>
      <c r="R1107" s="153">
        <v>21.05</v>
      </c>
      <c r="S1107" s="4"/>
      <c r="U1107" s="147" t="s">
        <v>1184</v>
      </c>
      <c r="V1107" s="11"/>
      <c r="W1107" s="4"/>
      <c r="X1107" s="12"/>
      <c r="Y1107" s="14"/>
      <c r="Z1107" s="4"/>
      <c r="AA1107" s="13"/>
      <c r="AB1107" s="11"/>
      <c r="AC1107" s="4"/>
      <c r="AD1107" s="12"/>
      <c r="AE1107" s="13"/>
      <c r="AF1107" s="14">
        <v>4.9824000000000002</v>
      </c>
      <c r="AG1107" s="133"/>
      <c r="AI1107" s="96"/>
      <c r="AL1107" s="64">
        <v>4.1708943166666659</v>
      </c>
      <c r="AM1107" s="56">
        <v>15.039999999999941</v>
      </c>
      <c r="AN1107" s="56">
        <v>17.079999999999981</v>
      </c>
      <c r="AO1107" s="62">
        <v>23.4</v>
      </c>
      <c r="AQ1107" s="64">
        <v>4.0821137666666658</v>
      </c>
      <c r="AR1107" s="56">
        <v>14.960000000000131</v>
      </c>
      <c r="AS1107" s="56">
        <v>16.4600000000001</v>
      </c>
      <c r="AT1107" s="62">
        <v>20.740000000000069</v>
      </c>
      <c r="AV1107" s="64">
        <v>3.728528666666667</v>
      </c>
      <c r="AW1107" s="56">
        <v>14.360000000000021</v>
      </c>
      <c r="AX1107" s="56">
        <v>15.90000000000007</v>
      </c>
      <c r="AY1107" s="62">
        <v>20.900000000000048</v>
      </c>
      <c r="BA1107" s="64">
        <v>3.1852843333333341</v>
      </c>
      <c r="BB1107" s="56">
        <v>16.460000000000012</v>
      </c>
      <c r="BC1107" s="56">
        <v>18.959999999999951</v>
      </c>
      <c r="BD1107" s="62">
        <v>31.12000000000004</v>
      </c>
      <c r="BF1107" s="64">
        <v>2.9324131833333329</v>
      </c>
      <c r="BG1107" s="56">
        <v>19.899999999999981</v>
      </c>
      <c r="BH1107" s="56">
        <v>26.200000000000049</v>
      </c>
      <c r="BI1107" s="62">
        <v>54.359999999999957</v>
      </c>
      <c r="BJ1107" s="70"/>
      <c r="BK1107" s="51"/>
    </row>
    <row r="1108" spans="1:63" x14ac:dyDescent="0.4">
      <c r="A1108" s="147" t="s">
        <v>1185</v>
      </c>
      <c r="G1108" s="147" t="s">
        <v>1185</v>
      </c>
      <c r="H1108" s="159">
        <v>70.022000000000006</v>
      </c>
      <c r="I1108" s="153">
        <v>70.36</v>
      </c>
      <c r="J1108" s="153">
        <v>70.34</v>
      </c>
      <c r="K1108" s="153">
        <v>70.38</v>
      </c>
      <c r="L1108" s="153">
        <v>70.38</v>
      </c>
      <c r="M1108" s="80">
        <f t="shared" si="34"/>
        <v>70.38</v>
      </c>
      <c r="N1108" s="80">
        <f t="shared" si="35"/>
        <v>70.34</v>
      </c>
      <c r="O1108" s="153">
        <v>21.2</v>
      </c>
      <c r="P1108" s="153">
        <v>21.09</v>
      </c>
      <c r="Q1108" s="153">
        <v>21.13</v>
      </c>
      <c r="R1108" s="153">
        <v>21.05</v>
      </c>
      <c r="S1108" s="4"/>
      <c r="U1108" s="147" t="s">
        <v>1185</v>
      </c>
      <c r="V1108" s="11"/>
      <c r="W1108" s="4"/>
      <c r="X1108" s="12"/>
      <c r="Y1108" s="14"/>
      <c r="Z1108" s="4"/>
      <c r="AA1108" s="13"/>
      <c r="AB1108" s="11"/>
      <c r="AC1108" s="4"/>
      <c r="AD1108" s="12"/>
      <c r="AE1108" s="13"/>
      <c r="AF1108" s="14">
        <v>5.0183</v>
      </c>
      <c r="AG1108" s="133"/>
      <c r="AI1108" s="96"/>
      <c r="AL1108" s="64">
        <v>4.1716330499999996</v>
      </c>
      <c r="AM1108" s="56">
        <v>14.63999999999999</v>
      </c>
      <c r="AN1108" s="56">
        <v>16.61999999999999</v>
      </c>
      <c r="AO1108" s="62">
        <v>22.879999999999971</v>
      </c>
      <c r="AQ1108" s="64">
        <v>4.0817300166666657</v>
      </c>
      <c r="AR1108" s="56">
        <v>14.48</v>
      </c>
      <c r="AS1108" s="56">
        <v>15.960000000000109</v>
      </c>
      <c r="AT1108" s="62">
        <v>20.200000000000081</v>
      </c>
      <c r="AV1108" s="64">
        <v>3.7286194333333329</v>
      </c>
      <c r="AW1108" s="56">
        <v>13.91999999999998</v>
      </c>
      <c r="AX1108" s="56">
        <v>15.379999999999949</v>
      </c>
      <c r="AY1108" s="62">
        <v>20.239999999999991</v>
      </c>
      <c r="BA1108" s="64">
        <v>3.1858141999999998</v>
      </c>
      <c r="BB1108" s="56">
        <v>16.54</v>
      </c>
      <c r="BC1108" s="56">
        <v>19.040000000000031</v>
      </c>
      <c r="BD1108" s="62">
        <v>31.080000000000041</v>
      </c>
      <c r="BF1108" s="64">
        <v>2.9326660166666669</v>
      </c>
      <c r="BG1108" s="56">
        <v>20.14000000000005</v>
      </c>
      <c r="BH1108" s="56">
        <v>26.78000000000003</v>
      </c>
      <c r="BI1108" s="62">
        <v>55.339999999999989</v>
      </c>
      <c r="BJ1108" s="70"/>
      <c r="BK1108" s="51"/>
    </row>
    <row r="1109" spans="1:63" x14ac:dyDescent="0.4">
      <c r="A1109" s="147" t="s">
        <v>1186</v>
      </c>
      <c r="G1109" s="147" t="s">
        <v>1186</v>
      </c>
      <c r="H1109" s="159">
        <v>69.942999999999998</v>
      </c>
      <c r="I1109" s="153">
        <v>70.38</v>
      </c>
      <c r="J1109" s="153">
        <v>70.33</v>
      </c>
      <c r="K1109" s="153">
        <v>70.31</v>
      </c>
      <c r="L1109" s="153">
        <v>70.37</v>
      </c>
      <c r="M1109" s="80">
        <f t="shared" si="34"/>
        <v>70.38</v>
      </c>
      <c r="N1109" s="80">
        <f t="shared" si="35"/>
        <v>70.31</v>
      </c>
      <c r="O1109" s="153">
        <v>21.19</v>
      </c>
      <c r="P1109" s="153">
        <v>21.11</v>
      </c>
      <c r="Q1109" s="153">
        <v>21.12</v>
      </c>
      <c r="R1109" s="153">
        <v>21.08</v>
      </c>
      <c r="S1109" s="4"/>
      <c r="U1109" s="147" t="s">
        <v>1186</v>
      </c>
      <c r="V1109" s="11"/>
      <c r="W1109" s="4"/>
      <c r="X1109" s="12"/>
      <c r="Y1109" s="14"/>
      <c r="Z1109" s="4"/>
      <c r="AA1109" s="13"/>
      <c r="AB1109" s="11"/>
      <c r="AC1109" s="4"/>
      <c r="AD1109" s="12"/>
      <c r="AE1109" s="13"/>
      <c r="AF1109" s="14">
        <v>5.0178000000000003</v>
      </c>
      <c r="AG1109" s="133"/>
      <c r="AI1109" s="96"/>
      <c r="AL1109" s="64">
        <v>4.1719102833333332</v>
      </c>
      <c r="AM1109" s="56">
        <v>14.91999999999987</v>
      </c>
      <c r="AN1109" s="56">
        <v>16.920000000000002</v>
      </c>
      <c r="AO1109" s="62">
        <v>23.179999999999978</v>
      </c>
      <c r="AQ1109" s="64">
        <v>4.0807370499999998</v>
      </c>
      <c r="AR1109" s="56">
        <v>14.60000000000008</v>
      </c>
      <c r="AS1109" s="56">
        <v>16.080000000000009</v>
      </c>
      <c r="AT1109" s="62">
        <v>20.300000000000029</v>
      </c>
      <c r="AV1109" s="64">
        <v>3.7273681500000002</v>
      </c>
      <c r="AW1109" s="56">
        <v>14.21999999999999</v>
      </c>
      <c r="AX1109" s="56">
        <v>15.7</v>
      </c>
      <c r="AY1109" s="62">
        <v>20.599999999999952</v>
      </c>
      <c r="BA1109" s="64">
        <v>3.1820684666666659</v>
      </c>
      <c r="BB1109" s="56">
        <v>16.739999999999981</v>
      </c>
      <c r="BC1109" s="56">
        <v>19.240000000000009</v>
      </c>
      <c r="BD1109" s="62">
        <v>31.400000000000009</v>
      </c>
      <c r="BF1109" s="64">
        <v>2.93257725</v>
      </c>
      <c r="BG1109" s="56">
        <v>20.339999999999939</v>
      </c>
      <c r="BH1109" s="56">
        <v>27.219999999999981</v>
      </c>
      <c r="BI1109" s="62">
        <v>56.079999999999949</v>
      </c>
      <c r="BJ1109" s="70"/>
      <c r="BK1109" s="51"/>
    </row>
    <row r="1110" spans="1:63" x14ac:dyDescent="0.4">
      <c r="A1110" s="147" t="s">
        <v>1187</v>
      </c>
      <c r="G1110" s="147" t="s">
        <v>1187</v>
      </c>
      <c r="H1110" s="159">
        <v>69.94</v>
      </c>
      <c r="I1110" s="153">
        <v>70.33</v>
      </c>
      <c r="J1110" s="153">
        <v>70.290000000000006</v>
      </c>
      <c r="K1110" s="153">
        <v>70.38</v>
      </c>
      <c r="L1110" s="153">
        <v>70.38</v>
      </c>
      <c r="M1110" s="80">
        <f t="shared" si="34"/>
        <v>70.38</v>
      </c>
      <c r="N1110" s="80">
        <f t="shared" si="35"/>
        <v>70.290000000000006</v>
      </c>
      <c r="O1110" s="153">
        <v>21.17</v>
      </c>
      <c r="P1110" s="153">
        <v>21.01</v>
      </c>
      <c r="Q1110" s="153">
        <v>21.08</v>
      </c>
      <c r="R1110" s="153">
        <v>21.06</v>
      </c>
      <c r="S1110" s="4"/>
      <c r="U1110" s="147" t="s">
        <v>1187</v>
      </c>
      <c r="V1110" s="11"/>
      <c r="W1110" s="4"/>
      <c r="X1110" s="12"/>
      <c r="Y1110" s="14"/>
      <c r="Z1110" s="4"/>
      <c r="AA1110" s="13"/>
      <c r="AB1110" s="11"/>
      <c r="AC1110" s="4"/>
      <c r="AD1110" s="12"/>
      <c r="AE1110" s="13"/>
      <c r="AF1110" s="14">
        <v>5.0157999999999996</v>
      </c>
      <c r="AG1110" s="133"/>
      <c r="AI1110" s="96"/>
      <c r="AL1110" s="64">
        <v>4.1718355000000003</v>
      </c>
      <c r="AM1110" s="56">
        <v>15.019999999999991</v>
      </c>
      <c r="AN1110" s="56">
        <v>16.999999999999989</v>
      </c>
      <c r="AO1110" s="62">
        <v>23.320000000000011</v>
      </c>
      <c r="AQ1110" s="64">
        <v>4.0809331999999996</v>
      </c>
      <c r="AR1110" s="56">
        <v>14.680000000000071</v>
      </c>
      <c r="AS1110" s="56">
        <v>16.180000000000131</v>
      </c>
      <c r="AT1110" s="62">
        <v>20.440000000000062</v>
      </c>
      <c r="AV1110" s="64">
        <v>3.7273967166666671</v>
      </c>
      <c r="AW1110" s="56">
        <v>14.14</v>
      </c>
      <c r="AX1110" s="56">
        <v>15.63999999999997</v>
      </c>
      <c r="AY1110" s="62">
        <v>20.54</v>
      </c>
      <c r="BA1110" s="64">
        <v>3.1826139666666671</v>
      </c>
      <c r="BB1110" s="56">
        <v>16.560000000000041</v>
      </c>
      <c r="BC1110" s="56">
        <v>19.08000000000003</v>
      </c>
      <c r="BD1110" s="62">
        <v>31.219999999999981</v>
      </c>
      <c r="BF1110" s="64">
        <v>2.9366188000000002</v>
      </c>
      <c r="BG1110" s="56">
        <v>20.38000000000002</v>
      </c>
      <c r="BH1110" s="56">
        <v>27.339999999999961</v>
      </c>
      <c r="BI1110" s="62">
        <v>56.179999999999993</v>
      </c>
      <c r="BJ1110" s="70"/>
      <c r="BK1110" s="51"/>
    </row>
    <row r="1111" spans="1:63" x14ac:dyDescent="0.4">
      <c r="A1111" s="147" t="s">
        <v>1188</v>
      </c>
      <c r="G1111" s="147" t="s">
        <v>1188</v>
      </c>
      <c r="H1111" s="159">
        <v>70.022000000000006</v>
      </c>
      <c r="I1111" s="153">
        <v>70.33</v>
      </c>
      <c r="J1111" s="153">
        <v>70.28</v>
      </c>
      <c r="K1111" s="153">
        <v>70.319999999999993</v>
      </c>
      <c r="L1111" s="153">
        <v>70.37</v>
      </c>
      <c r="M1111" s="80">
        <f t="shared" si="34"/>
        <v>70.37</v>
      </c>
      <c r="N1111" s="80">
        <f t="shared" si="35"/>
        <v>70.28</v>
      </c>
      <c r="O1111" s="153">
        <v>21.11</v>
      </c>
      <c r="P1111" s="153">
        <v>21.06</v>
      </c>
      <c r="Q1111" s="153">
        <v>21.11</v>
      </c>
      <c r="R1111" s="153">
        <v>21.09</v>
      </c>
      <c r="S1111" s="4"/>
      <c r="U1111" s="147" t="s">
        <v>1188</v>
      </c>
      <c r="V1111" s="11"/>
      <c r="W1111" s="4"/>
      <c r="X1111" s="12"/>
      <c r="Y1111" s="14"/>
      <c r="Z1111" s="4"/>
      <c r="AA1111" s="13"/>
      <c r="AB1111" s="11"/>
      <c r="AC1111" s="4"/>
      <c r="AD1111" s="12"/>
      <c r="AE1111" s="13"/>
      <c r="AF1111" s="14">
        <v>5</v>
      </c>
      <c r="AG1111" s="133"/>
      <c r="AI1111" s="96"/>
      <c r="AL1111" s="64">
        <v>4.1726773333333327</v>
      </c>
      <c r="AM1111" s="56">
        <v>15.38000000000004</v>
      </c>
      <c r="AN1111" s="56">
        <v>17.419999999999899</v>
      </c>
      <c r="AO1111" s="62">
        <v>23.70000000000001</v>
      </c>
      <c r="AQ1111" s="64">
        <v>4.081602300000001</v>
      </c>
      <c r="AR1111" s="56">
        <v>14.979999999999899</v>
      </c>
      <c r="AS1111" s="56">
        <v>16.5</v>
      </c>
      <c r="AT1111" s="62">
        <v>20.77999999999998</v>
      </c>
      <c r="AV1111" s="64">
        <v>3.727763466666667</v>
      </c>
      <c r="AW1111" s="56">
        <v>14.52</v>
      </c>
      <c r="AX1111" s="56">
        <v>16.039999999999921</v>
      </c>
      <c r="AY1111" s="62">
        <v>21.01999999999995</v>
      </c>
      <c r="BA1111" s="64">
        <v>3.1757868666666669</v>
      </c>
      <c r="BB1111" s="56">
        <v>17.079999999999981</v>
      </c>
      <c r="BC1111" s="56">
        <v>19.679999999999961</v>
      </c>
      <c r="BD1111" s="62">
        <v>32.120000000000019</v>
      </c>
      <c r="BF1111" s="64">
        <v>2.9187580999999998</v>
      </c>
      <c r="BG1111" s="56">
        <v>20.840000000000011</v>
      </c>
      <c r="BH1111" s="56">
        <v>27.679999999999971</v>
      </c>
      <c r="BI1111" s="62">
        <v>57.89999999999997</v>
      </c>
      <c r="BJ1111" s="70"/>
      <c r="BK1111" s="51"/>
    </row>
    <row r="1112" spans="1:63" x14ac:dyDescent="0.4">
      <c r="A1112" s="147" t="s">
        <v>1189</v>
      </c>
      <c r="G1112" s="147" t="s">
        <v>1189</v>
      </c>
      <c r="H1112" s="159">
        <v>69.966999999999999</v>
      </c>
      <c r="I1112" s="153">
        <v>70.39</v>
      </c>
      <c r="J1112" s="153">
        <v>70.3</v>
      </c>
      <c r="K1112" s="153">
        <v>70.28</v>
      </c>
      <c r="L1112" s="153">
        <v>70.38</v>
      </c>
      <c r="M1112" s="80">
        <f t="shared" si="34"/>
        <v>70.39</v>
      </c>
      <c r="N1112" s="80">
        <f t="shared" si="35"/>
        <v>70.28</v>
      </c>
      <c r="O1112" s="153">
        <v>21.16</v>
      </c>
      <c r="P1112" s="153">
        <v>21.1</v>
      </c>
      <c r="Q1112" s="153">
        <v>21.1</v>
      </c>
      <c r="R1112" s="153">
        <v>21.07</v>
      </c>
      <c r="S1112" s="4"/>
      <c r="U1112" s="147" t="s">
        <v>1189</v>
      </c>
      <c r="V1112" s="11"/>
      <c r="W1112" s="4"/>
      <c r="X1112" s="12"/>
      <c r="Y1112" s="14"/>
      <c r="Z1112" s="4"/>
      <c r="AA1112" s="13"/>
      <c r="AB1112" s="11"/>
      <c r="AC1112" s="4"/>
      <c r="AD1112" s="12"/>
      <c r="AE1112" s="13"/>
      <c r="AF1112" s="14">
        <v>4.9983000000000004</v>
      </c>
      <c r="AG1112" s="133"/>
      <c r="AI1112" s="96"/>
      <c r="AL1112" s="64">
        <v>4.1722014000000014</v>
      </c>
      <c r="AM1112" s="56">
        <v>14.900000000000089</v>
      </c>
      <c r="AN1112" s="56">
        <v>16.920000000000002</v>
      </c>
      <c r="AO1112" s="62">
        <v>23.140000000000072</v>
      </c>
      <c r="AQ1112" s="64">
        <v>4.0817975666666664</v>
      </c>
      <c r="AR1112" s="56">
        <v>14.660000000000119</v>
      </c>
      <c r="AS1112" s="56">
        <v>16.180000000000131</v>
      </c>
      <c r="AT1112" s="62">
        <v>20.420000000000101</v>
      </c>
      <c r="AV1112" s="64">
        <v>3.7285975833333329</v>
      </c>
      <c r="AW1112" s="56">
        <v>14.400000000000009</v>
      </c>
      <c r="AX1112" s="56">
        <v>15.81999999999999</v>
      </c>
      <c r="AY1112" s="62">
        <v>20.760000000000019</v>
      </c>
      <c r="BA1112" s="64">
        <v>3.1818537166666672</v>
      </c>
      <c r="BB1112" s="56">
        <v>16.679999999999939</v>
      </c>
      <c r="BC1112" s="56">
        <v>19.21999999999997</v>
      </c>
      <c r="BD1112" s="62">
        <v>31.36000000000001</v>
      </c>
      <c r="BF1112" s="64">
        <v>2.9208292999999999</v>
      </c>
      <c r="BG1112" s="56">
        <v>20.26000000000003</v>
      </c>
      <c r="BH1112" s="56">
        <v>26.74000000000003</v>
      </c>
      <c r="BI1112" s="62">
        <v>56.160000000000032</v>
      </c>
      <c r="BJ1112" s="70"/>
      <c r="BK1112" s="51"/>
    </row>
    <row r="1113" spans="1:63" x14ac:dyDescent="0.4">
      <c r="A1113" s="147" t="s">
        <v>1190</v>
      </c>
      <c r="G1113" s="147" t="s">
        <v>1190</v>
      </c>
      <c r="H1113" s="159">
        <v>70.034999999999997</v>
      </c>
      <c r="I1113" s="153">
        <v>70.319999999999993</v>
      </c>
      <c r="J1113" s="153">
        <v>70.34</v>
      </c>
      <c r="K1113" s="153">
        <v>70.400000000000006</v>
      </c>
      <c r="L1113" s="153">
        <v>70.28</v>
      </c>
      <c r="M1113" s="80">
        <f t="shared" si="34"/>
        <v>70.400000000000006</v>
      </c>
      <c r="N1113" s="80">
        <f t="shared" si="35"/>
        <v>70.28</v>
      </c>
      <c r="O1113" s="153">
        <v>21.21</v>
      </c>
      <c r="P1113" s="153">
        <v>21.11</v>
      </c>
      <c r="Q1113" s="153">
        <v>21.12</v>
      </c>
      <c r="R1113" s="153">
        <v>21.07</v>
      </c>
      <c r="S1113" s="4"/>
      <c r="U1113" s="147" t="s">
        <v>1190</v>
      </c>
      <c r="V1113" s="11"/>
      <c r="W1113" s="4"/>
      <c r="X1113" s="12"/>
      <c r="Y1113" s="14"/>
      <c r="Z1113" s="4"/>
      <c r="AA1113" s="13"/>
      <c r="AB1113" s="11"/>
      <c r="AC1113" s="4"/>
      <c r="AD1113" s="12"/>
      <c r="AE1113" s="13"/>
      <c r="AF1113" s="14">
        <v>4.9996</v>
      </c>
      <c r="AG1113" s="133"/>
      <c r="AI1113" s="96"/>
      <c r="AL1113" s="64">
        <v>4.1724890333333331</v>
      </c>
      <c r="AM1113" s="56">
        <v>15.26000000000014</v>
      </c>
      <c r="AN1113" s="56">
        <v>17.3</v>
      </c>
      <c r="AO1113" s="62">
        <v>23.560000000000159</v>
      </c>
      <c r="AQ1113" s="64">
        <v>4.0826005833333339</v>
      </c>
      <c r="AR1113" s="56">
        <v>15.04000000000012</v>
      </c>
      <c r="AS1113" s="56">
        <v>16.560000000000041</v>
      </c>
      <c r="AT1113" s="62">
        <v>20.86000000000006</v>
      </c>
      <c r="AV1113" s="64">
        <v>3.7285262166666659</v>
      </c>
      <c r="AW1113" s="56">
        <v>14.52</v>
      </c>
      <c r="AX1113" s="56">
        <v>16.04000000000001</v>
      </c>
      <c r="AY1113" s="62">
        <v>21</v>
      </c>
      <c r="BA1113" s="64">
        <v>3.176841333333333</v>
      </c>
      <c r="BB1113" s="56">
        <v>16.999999999999989</v>
      </c>
      <c r="BC1113" s="56">
        <v>19.559999999999981</v>
      </c>
      <c r="BD1113" s="62">
        <v>31.919999999999948</v>
      </c>
      <c r="BF1113" s="64">
        <v>2.9184803000000001</v>
      </c>
      <c r="BG1113" s="56">
        <v>20.679999999999939</v>
      </c>
      <c r="BH1113" s="56">
        <v>27.59999999999998</v>
      </c>
      <c r="BI1113" s="62">
        <v>57.959999999999923</v>
      </c>
      <c r="BJ1113" s="70"/>
      <c r="BK1113" s="51"/>
    </row>
    <row r="1114" spans="1:63" x14ac:dyDescent="0.4">
      <c r="A1114" s="147" t="s">
        <v>1191</v>
      </c>
      <c r="G1114" s="147" t="s">
        <v>1191</v>
      </c>
      <c r="H1114" s="159">
        <v>70.046000000000006</v>
      </c>
      <c r="I1114" s="153">
        <v>70.349999999999994</v>
      </c>
      <c r="J1114" s="153">
        <v>70.28</v>
      </c>
      <c r="K1114" s="153">
        <v>70.319999999999993</v>
      </c>
      <c r="L1114" s="153">
        <v>70.37</v>
      </c>
      <c r="M1114" s="80">
        <f t="shared" si="34"/>
        <v>70.37</v>
      </c>
      <c r="N1114" s="80">
        <f t="shared" si="35"/>
        <v>70.28</v>
      </c>
      <c r="O1114" s="153">
        <v>21.21</v>
      </c>
      <c r="P1114" s="153">
        <v>21.11</v>
      </c>
      <c r="Q1114" s="153">
        <v>21.1</v>
      </c>
      <c r="R1114" s="153">
        <v>21.06</v>
      </c>
      <c r="S1114" s="4"/>
      <c r="U1114" s="147" t="s">
        <v>1191</v>
      </c>
      <c r="V1114" s="11"/>
      <c r="W1114" s="4"/>
      <c r="X1114" s="12"/>
      <c r="Y1114" s="14"/>
      <c r="Z1114" s="4"/>
      <c r="AA1114" s="13"/>
      <c r="AB1114" s="11"/>
      <c r="AC1114" s="4"/>
      <c r="AD1114" s="12"/>
      <c r="AE1114" s="13"/>
      <c r="AF1114" s="14">
        <v>5.0075000000000003</v>
      </c>
      <c r="AG1114" s="133"/>
      <c r="AI1114" s="96"/>
      <c r="AL1114" s="64">
        <v>4.17191665</v>
      </c>
      <c r="AM1114" s="56">
        <v>14.160000000000039</v>
      </c>
      <c r="AN1114" s="56">
        <v>16.080000000000009</v>
      </c>
      <c r="AO1114" s="62">
        <v>22.18</v>
      </c>
      <c r="AQ1114" s="64">
        <v>4.0807624166666656</v>
      </c>
      <c r="AR1114" s="56">
        <v>13.700000000000051</v>
      </c>
      <c r="AS1114" s="56">
        <v>15.08000000000003</v>
      </c>
      <c r="AT1114" s="62">
        <v>19.120000000000029</v>
      </c>
      <c r="AV1114" s="64">
        <v>3.726998033333333</v>
      </c>
      <c r="AW1114" s="56">
        <v>13.36000000000004</v>
      </c>
      <c r="AX1114" s="56">
        <v>14.75999999999997</v>
      </c>
      <c r="AY1114" s="62">
        <v>19.439999999999991</v>
      </c>
      <c r="BA1114" s="64">
        <v>3.1882522999999998</v>
      </c>
      <c r="BB1114" s="56">
        <v>16.420000000000009</v>
      </c>
      <c r="BC1114" s="56">
        <v>18.86000000000001</v>
      </c>
      <c r="BD1114" s="62">
        <v>30.69999999999995</v>
      </c>
      <c r="BF1114" s="64">
        <v>2.9426258500000002</v>
      </c>
      <c r="BG1114" s="56">
        <v>20.099999999999959</v>
      </c>
      <c r="BH1114" s="56">
        <v>26.719999999999992</v>
      </c>
      <c r="BI1114" s="62">
        <v>54.599999999999937</v>
      </c>
      <c r="BJ1114" s="70"/>
      <c r="BK1114" s="51"/>
    </row>
    <row r="1115" spans="1:63" x14ac:dyDescent="0.4">
      <c r="A1115" s="147" t="s">
        <v>1192</v>
      </c>
      <c r="G1115" s="147" t="s">
        <v>1192</v>
      </c>
      <c r="H1115" s="159">
        <v>70.018000000000001</v>
      </c>
      <c r="I1115" s="153">
        <v>70.33</v>
      </c>
      <c r="J1115" s="153">
        <v>70.400000000000006</v>
      </c>
      <c r="K1115" s="153">
        <v>70.34</v>
      </c>
      <c r="L1115" s="153">
        <v>70.31</v>
      </c>
      <c r="M1115" s="80">
        <f t="shared" si="34"/>
        <v>70.400000000000006</v>
      </c>
      <c r="N1115" s="80">
        <f t="shared" si="35"/>
        <v>70.31</v>
      </c>
      <c r="O1115" s="153">
        <v>21.16</v>
      </c>
      <c r="P1115" s="153">
        <v>21.02</v>
      </c>
      <c r="Q1115" s="153">
        <v>21.16</v>
      </c>
      <c r="R1115" s="153">
        <v>21.05</v>
      </c>
      <c r="S1115" s="4"/>
      <c r="U1115" s="147" t="s">
        <v>1192</v>
      </c>
      <c r="V1115" s="11"/>
      <c r="W1115" s="4"/>
      <c r="X1115" s="12"/>
      <c r="Y1115" s="14"/>
      <c r="Z1115" s="4"/>
      <c r="AA1115" s="13"/>
      <c r="AB1115" s="11"/>
      <c r="AC1115" s="4"/>
      <c r="AD1115" s="12"/>
      <c r="AE1115" s="13"/>
      <c r="AF1115" s="14">
        <v>4.9974999999999996</v>
      </c>
      <c r="AG1115" s="133"/>
      <c r="AI1115" s="96"/>
      <c r="AL1115" s="64">
        <v>4.1721586333333338</v>
      </c>
      <c r="AM1115" s="56">
        <v>14.20000000000012</v>
      </c>
      <c r="AN1115" s="56">
        <v>16.12000000000009</v>
      </c>
      <c r="AO1115" s="62">
        <v>22.260000000000169</v>
      </c>
      <c r="AQ1115" s="64">
        <v>4.0810586000000004</v>
      </c>
      <c r="AR1115" s="56">
        <v>13.73999999999995</v>
      </c>
      <c r="AS1115" s="56">
        <v>15.16000000000002</v>
      </c>
      <c r="AT1115" s="62">
        <v>19.200000000000021</v>
      </c>
      <c r="AV1115" s="64">
        <v>3.72815275</v>
      </c>
      <c r="AW1115" s="56">
        <v>13.36000000000004</v>
      </c>
      <c r="AX1115" s="56">
        <v>14.780000000000021</v>
      </c>
      <c r="AY1115" s="62">
        <v>19.460000000000029</v>
      </c>
      <c r="BA1115" s="64">
        <v>3.190108700000001</v>
      </c>
      <c r="BB1115" s="56">
        <v>16.080000000000009</v>
      </c>
      <c r="BC1115" s="56">
        <v>18.440000000000008</v>
      </c>
      <c r="BD1115" s="62">
        <v>30.06000000000002</v>
      </c>
      <c r="BF1115" s="64">
        <v>2.934179166666667</v>
      </c>
      <c r="BG1115" s="56">
        <v>19.859999999999989</v>
      </c>
      <c r="BH1115" s="56">
        <v>26.50000000000006</v>
      </c>
      <c r="BI1115" s="62">
        <v>54.980000000000032</v>
      </c>
      <c r="BJ1115" s="70"/>
      <c r="BK1115" s="51"/>
    </row>
    <row r="1116" spans="1:63" x14ac:dyDescent="0.4">
      <c r="A1116" s="147" t="s">
        <v>1193</v>
      </c>
      <c r="G1116" s="147" t="s">
        <v>1193</v>
      </c>
      <c r="H1116" s="159">
        <v>69.927999999999997</v>
      </c>
      <c r="I1116" s="153">
        <v>70.3</v>
      </c>
      <c r="J1116" s="153">
        <v>70.319999999999993</v>
      </c>
      <c r="K1116" s="153">
        <v>70.319999999999993</v>
      </c>
      <c r="L1116" s="153">
        <v>70.28</v>
      </c>
      <c r="M1116" s="80">
        <f t="shared" si="34"/>
        <v>70.319999999999993</v>
      </c>
      <c r="N1116" s="80">
        <f t="shared" si="35"/>
        <v>70.28</v>
      </c>
      <c r="O1116" s="153">
        <v>21.07</v>
      </c>
      <c r="P1116" s="153">
        <v>21.08</v>
      </c>
      <c r="Q1116" s="153">
        <v>21.12</v>
      </c>
      <c r="R1116" s="153">
        <v>21.1</v>
      </c>
      <c r="S1116" s="4"/>
      <c r="U1116" s="147" t="s">
        <v>1193</v>
      </c>
      <c r="V1116" s="11"/>
      <c r="W1116" s="4"/>
      <c r="X1116" s="12"/>
      <c r="Y1116" s="14"/>
      <c r="Z1116" s="4"/>
      <c r="AA1116" s="13"/>
      <c r="AB1116" s="11"/>
      <c r="AC1116" s="4"/>
      <c r="AD1116" s="12"/>
      <c r="AE1116" s="13"/>
      <c r="AF1116" s="14">
        <v>4.9903000000000004</v>
      </c>
      <c r="AG1116" s="133"/>
      <c r="AI1116" s="96"/>
      <c r="AL1116" s="64">
        <v>4.1714978</v>
      </c>
      <c r="AM1116" s="56">
        <v>14.30000000000007</v>
      </c>
      <c r="AN1116" s="56">
        <v>16.239999999999991</v>
      </c>
      <c r="AO1116" s="62">
        <v>22.359999999999939</v>
      </c>
      <c r="AQ1116" s="64">
        <v>4.0825178499999986</v>
      </c>
      <c r="AR1116" s="56">
        <v>14.03999999999996</v>
      </c>
      <c r="AS1116" s="56">
        <v>15.479999999999981</v>
      </c>
      <c r="AT1116" s="62">
        <v>19.579999999999931</v>
      </c>
      <c r="AV1116" s="64">
        <v>3.7279927000000002</v>
      </c>
      <c r="AW1116" s="56">
        <v>13.879999999999979</v>
      </c>
      <c r="AX1116" s="56">
        <v>15.36</v>
      </c>
      <c r="AY1116" s="62">
        <v>20.220000000000041</v>
      </c>
      <c r="BA1116" s="64">
        <v>3.1809180000000001</v>
      </c>
      <c r="BB1116" s="56">
        <v>15.899999999999981</v>
      </c>
      <c r="BC1116" s="56">
        <v>18.40000000000002</v>
      </c>
      <c r="BD1116" s="62">
        <v>30.560000000000009</v>
      </c>
      <c r="BF1116" s="64">
        <v>2.9369441333333328</v>
      </c>
      <c r="BG1116" s="56">
        <v>19.54000000000002</v>
      </c>
      <c r="BH1116" s="56">
        <v>26.119999999999969</v>
      </c>
      <c r="BI1116" s="62">
        <v>54.539999999999992</v>
      </c>
      <c r="BJ1116" s="70"/>
      <c r="BK1116" s="51"/>
    </row>
    <row r="1117" spans="1:63" x14ac:dyDescent="0.4">
      <c r="A1117" s="147" t="s">
        <v>1194</v>
      </c>
      <c r="G1117" s="147" t="s">
        <v>1194</v>
      </c>
      <c r="H1117" s="159">
        <v>70.016000000000005</v>
      </c>
      <c r="I1117" s="153">
        <v>70.319999999999993</v>
      </c>
      <c r="J1117" s="153">
        <v>70.33</v>
      </c>
      <c r="K1117" s="153">
        <v>70.36</v>
      </c>
      <c r="L1117" s="153">
        <v>70.36</v>
      </c>
      <c r="M1117" s="80">
        <f t="shared" si="34"/>
        <v>70.36</v>
      </c>
      <c r="N1117" s="80">
        <f t="shared" si="35"/>
        <v>70.319999999999993</v>
      </c>
      <c r="O1117" s="153">
        <v>21.1</v>
      </c>
      <c r="P1117" s="153">
        <v>21.1</v>
      </c>
      <c r="Q1117" s="153">
        <v>21.15</v>
      </c>
      <c r="R1117" s="153">
        <v>21.08</v>
      </c>
      <c r="S1117" s="4"/>
      <c r="U1117" s="147" t="s">
        <v>1194</v>
      </c>
      <c r="V1117" s="11"/>
      <c r="W1117" s="4"/>
      <c r="X1117" s="12"/>
      <c r="Y1117" s="14"/>
      <c r="Z1117" s="4"/>
      <c r="AA1117" s="13"/>
      <c r="AB1117" s="11"/>
      <c r="AC1117" s="4"/>
      <c r="AD1117" s="12"/>
      <c r="AE1117" s="13"/>
      <c r="AF1117" s="14">
        <v>4.9901999999999997</v>
      </c>
      <c r="AG1117" s="133"/>
      <c r="AI1117" s="96"/>
      <c r="AL1117" s="64">
        <v>4.1714488833333334</v>
      </c>
      <c r="AM1117" s="56">
        <v>15.08000000000003</v>
      </c>
      <c r="AN1117" s="56">
        <v>17.100000000000119</v>
      </c>
      <c r="AO1117" s="62">
        <v>23.440000000000079</v>
      </c>
      <c r="AQ1117" s="64">
        <v>4.0820799333333317</v>
      </c>
      <c r="AR1117" s="56">
        <v>14.839999999999881</v>
      </c>
      <c r="AS1117" s="56">
        <v>16.339999999999929</v>
      </c>
      <c r="AT1117" s="62">
        <v>20.619999999999909</v>
      </c>
      <c r="AV1117" s="64">
        <v>3.7288332166666671</v>
      </c>
      <c r="AW1117" s="56">
        <v>14.379999999999971</v>
      </c>
      <c r="AX1117" s="56">
        <v>15.87999999999994</v>
      </c>
      <c r="AY1117" s="62">
        <v>20.819999999999968</v>
      </c>
      <c r="BA1117" s="64">
        <v>3.1839286000000011</v>
      </c>
      <c r="BB1117" s="56">
        <v>16.680000000000032</v>
      </c>
      <c r="BC1117" s="56">
        <v>19.200000000000021</v>
      </c>
      <c r="BD1117" s="62">
        <v>31.34000000000006</v>
      </c>
      <c r="BF1117" s="64">
        <v>2.9383721833333332</v>
      </c>
      <c r="BG1117" s="56">
        <v>20.48000000000005</v>
      </c>
      <c r="BH1117" s="56">
        <v>27.44</v>
      </c>
      <c r="BI1117" s="62">
        <v>56.240000000000023</v>
      </c>
      <c r="BJ1117" s="70"/>
      <c r="BK1117" s="51"/>
    </row>
    <row r="1118" spans="1:63" x14ac:dyDescent="0.4">
      <c r="A1118" s="147" t="s">
        <v>1195</v>
      </c>
      <c r="G1118" s="147" t="s">
        <v>1195</v>
      </c>
      <c r="H1118" s="159">
        <v>69.918000000000006</v>
      </c>
      <c r="I1118" s="153">
        <v>70.36</v>
      </c>
      <c r="J1118" s="153">
        <v>70.27</v>
      </c>
      <c r="K1118" s="153">
        <v>70.3</v>
      </c>
      <c r="L1118" s="153">
        <v>70.36</v>
      </c>
      <c r="M1118" s="80">
        <f t="shared" si="34"/>
        <v>70.36</v>
      </c>
      <c r="N1118" s="80">
        <f t="shared" si="35"/>
        <v>70.27</v>
      </c>
      <c r="O1118" s="153">
        <v>21.22</v>
      </c>
      <c r="P1118" s="153">
        <v>21.05</v>
      </c>
      <c r="Q1118" s="153">
        <v>21.11</v>
      </c>
      <c r="R1118" s="153">
        <v>21.1</v>
      </c>
      <c r="S1118" s="4"/>
      <c r="U1118" s="147" t="s">
        <v>1195</v>
      </c>
      <c r="V1118" s="11"/>
      <c r="W1118" s="4"/>
      <c r="X1118" s="12"/>
      <c r="Y1118" s="14"/>
      <c r="Z1118" s="4"/>
      <c r="AA1118" s="13"/>
      <c r="AB1118" s="11"/>
      <c r="AC1118" s="4"/>
      <c r="AD1118" s="12"/>
      <c r="AE1118" s="13"/>
      <c r="AF1118" s="14">
        <v>5.0189000000000004</v>
      </c>
      <c r="AG1118" s="133"/>
      <c r="AI1118" s="96"/>
      <c r="AL1118" s="64">
        <v>4.1716069999999998</v>
      </c>
      <c r="AM1118" s="56">
        <v>15.199999999999919</v>
      </c>
      <c r="AN1118" s="56">
        <v>17.22000000000001</v>
      </c>
      <c r="AO1118" s="62">
        <v>23.5199999999999</v>
      </c>
      <c r="AQ1118" s="64">
        <v>4.0818066333333336</v>
      </c>
      <c r="AR1118" s="56">
        <v>14.86000000000001</v>
      </c>
      <c r="AS1118" s="56">
        <v>16.36000000000006</v>
      </c>
      <c r="AT1118" s="62">
        <v>20.659999999999989</v>
      </c>
      <c r="AV1118" s="64">
        <v>3.7284661166666671</v>
      </c>
      <c r="AW1118" s="56">
        <v>14.28000000000003</v>
      </c>
      <c r="AX1118" s="56">
        <v>15.799999999999949</v>
      </c>
      <c r="AY1118" s="62">
        <v>20.739999999999981</v>
      </c>
      <c r="BA1118" s="64">
        <v>3.18435245</v>
      </c>
      <c r="BB1118" s="56">
        <v>16.800000000000011</v>
      </c>
      <c r="BC1118" s="56">
        <v>19.32</v>
      </c>
      <c r="BD1118" s="62">
        <v>31.46000000000004</v>
      </c>
      <c r="BF1118" s="64">
        <v>2.9317602333333328</v>
      </c>
      <c r="BG1118" s="56">
        <v>20.58</v>
      </c>
      <c r="BH1118" s="56">
        <v>27.500000000000039</v>
      </c>
      <c r="BI1118" s="62">
        <v>56.680000000000057</v>
      </c>
      <c r="BJ1118" s="70"/>
      <c r="BK1118" s="51"/>
    </row>
    <row r="1119" spans="1:63" x14ac:dyDescent="0.4">
      <c r="A1119" s="147" t="s">
        <v>1196</v>
      </c>
      <c r="G1119" s="147" t="s">
        <v>1196</v>
      </c>
      <c r="H1119" s="159">
        <v>69.941999999999993</v>
      </c>
      <c r="I1119" s="153">
        <v>70.33</v>
      </c>
      <c r="J1119" s="153">
        <v>70.27</v>
      </c>
      <c r="K1119" s="153">
        <v>70.37</v>
      </c>
      <c r="L1119" s="153">
        <v>70.37</v>
      </c>
      <c r="M1119" s="80">
        <f t="shared" si="34"/>
        <v>70.37</v>
      </c>
      <c r="N1119" s="80">
        <f t="shared" si="35"/>
        <v>70.27</v>
      </c>
      <c r="O1119" s="153">
        <v>21.21</v>
      </c>
      <c r="P1119" s="153">
        <v>21.15</v>
      </c>
      <c r="Q1119" s="153">
        <v>21.14</v>
      </c>
      <c r="R1119" s="153">
        <v>21.09</v>
      </c>
      <c r="S1119" s="4"/>
      <c r="U1119" s="147" t="s">
        <v>1196</v>
      </c>
      <c r="V1119" s="11"/>
      <c r="W1119" s="4"/>
      <c r="X1119" s="12"/>
      <c r="Y1119" s="14"/>
      <c r="Z1119" s="4"/>
      <c r="AA1119" s="13"/>
      <c r="AB1119" s="11"/>
      <c r="AC1119" s="4"/>
      <c r="AD1119" s="12"/>
      <c r="AE1119" s="13"/>
      <c r="AF1119" s="14">
        <v>5.0237999999999996</v>
      </c>
      <c r="AG1119" s="133"/>
      <c r="AI1119" s="96"/>
      <c r="AL1119" s="64">
        <v>4.1717818166666669</v>
      </c>
      <c r="AM1119" s="56">
        <v>14.86000000000001</v>
      </c>
      <c r="AN1119" s="56">
        <v>16.840000000000011</v>
      </c>
      <c r="AO1119" s="62">
        <v>23.160000000000029</v>
      </c>
      <c r="AQ1119" s="64">
        <v>4.0826099666666673</v>
      </c>
      <c r="AR1119" s="56">
        <v>14.680000000000071</v>
      </c>
      <c r="AS1119" s="56">
        <v>16.16</v>
      </c>
      <c r="AT1119" s="62">
        <v>20.439999999999969</v>
      </c>
      <c r="AV1119" s="64">
        <v>3.7289804333333332</v>
      </c>
      <c r="AW1119" s="56">
        <v>14.25999999999998</v>
      </c>
      <c r="AX1119" s="56">
        <v>15.74</v>
      </c>
      <c r="AY1119" s="62">
        <v>20.659999999999989</v>
      </c>
      <c r="BA1119" s="64">
        <v>3.1840936000000002</v>
      </c>
      <c r="BB1119" s="56">
        <v>16.679999999999939</v>
      </c>
      <c r="BC1119" s="56">
        <v>19.200000000000021</v>
      </c>
      <c r="BD1119" s="62">
        <v>31.339999999999961</v>
      </c>
      <c r="BF1119" s="64">
        <v>2.9344066</v>
      </c>
      <c r="BG1119" s="56">
        <v>20.54</v>
      </c>
      <c r="BH1119" s="56">
        <v>27.59999999999998</v>
      </c>
      <c r="BI1119" s="62">
        <v>56.920000000000037</v>
      </c>
      <c r="BJ1119" s="70"/>
      <c r="BK1119" s="51"/>
    </row>
    <row r="1120" spans="1:63" x14ac:dyDescent="0.4">
      <c r="A1120" s="147" t="s">
        <v>1197</v>
      </c>
      <c r="G1120" s="147" t="s">
        <v>1197</v>
      </c>
      <c r="H1120" s="159">
        <v>70.096000000000004</v>
      </c>
      <c r="I1120" s="153">
        <v>70.34</v>
      </c>
      <c r="J1120" s="153">
        <v>70.28</v>
      </c>
      <c r="K1120" s="153">
        <v>70.37</v>
      </c>
      <c r="L1120" s="153">
        <v>70.349999999999994</v>
      </c>
      <c r="M1120" s="80">
        <f t="shared" si="34"/>
        <v>70.37</v>
      </c>
      <c r="N1120" s="80">
        <f t="shared" si="35"/>
        <v>70.28</v>
      </c>
      <c r="O1120" s="153">
        <v>21.21</v>
      </c>
      <c r="P1120" s="153">
        <v>21.12</v>
      </c>
      <c r="Q1120" s="153">
        <v>21.12</v>
      </c>
      <c r="R1120" s="153">
        <v>21.09</v>
      </c>
      <c r="S1120" s="4"/>
      <c r="U1120" s="147" t="s">
        <v>1197</v>
      </c>
      <c r="V1120" s="11"/>
      <c r="W1120" s="4"/>
      <c r="X1120" s="12"/>
      <c r="Y1120" s="14"/>
      <c r="Z1120" s="4"/>
      <c r="AA1120" s="13"/>
      <c r="AB1120" s="11"/>
      <c r="AC1120" s="4"/>
      <c r="AD1120" s="12"/>
      <c r="AE1120" s="13"/>
      <c r="AF1120" s="14">
        <v>5.0042</v>
      </c>
      <c r="AG1120" s="133"/>
      <c r="AI1120" s="96"/>
      <c r="AL1120" s="64">
        <v>4.1714113499999996</v>
      </c>
      <c r="AM1120" s="56">
        <v>14.98000000000008</v>
      </c>
      <c r="AN1120" s="56">
        <v>16.98000000000004</v>
      </c>
      <c r="AO1120" s="62">
        <v>23.320000000000011</v>
      </c>
      <c r="AQ1120" s="64">
        <v>4.0832282499999986</v>
      </c>
      <c r="AR1120" s="56">
        <v>14.960000000000131</v>
      </c>
      <c r="AS1120" s="56">
        <v>16.440000000000051</v>
      </c>
      <c r="AT1120" s="62">
        <v>20.740000000000069</v>
      </c>
      <c r="AV1120" s="64">
        <v>3.7300999333333338</v>
      </c>
      <c r="AW1120" s="56">
        <v>14.360000000000021</v>
      </c>
      <c r="AX1120" s="56">
        <v>15.880000000000029</v>
      </c>
      <c r="AY1120" s="62">
        <v>20.840000000000011</v>
      </c>
      <c r="BA1120" s="64">
        <v>3.1865930499999999</v>
      </c>
      <c r="BB1120" s="56">
        <v>16.94000000000004</v>
      </c>
      <c r="BC1120" s="56">
        <v>19.460000000000029</v>
      </c>
      <c r="BD1120" s="62">
        <v>31.639999999999979</v>
      </c>
      <c r="BF1120" s="64">
        <v>2.9397225499999999</v>
      </c>
      <c r="BG1120" s="56">
        <v>20.780000000000069</v>
      </c>
      <c r="BH1120" s="56">
        <v>27.760000000000051</v>
      </c>
      <c r="BI1120" s="62">
        <v>56.700000000000017</v>
      </c>
      <c r="BJ1120" s="70"/>
      <c r="BK1120" s="51"/>
    </row>
    <row r="1121" spans="1:63" x14ac:dyDescent="0.4">
      <c r="A1121" s="147" t="s">
        <v>1198</v>
      </c>
      <c r="G1121" s="147" t="s">
        <v>1198</v>
      </c>
      <c r="H1121" s="159">
        <v>70.08</v>
      </c>
      <c r="I1121" s="153">
        <v>70.37</v>
      </c>
      <c r="J1121" s="153">
        <v>70.37</v>
      </c>
      <c r="K1121" s="153">
        <v>70.37</v>
      </c>
      <c r="L1121" s="153">
        <v>70.34</v>
      </c>
      <c r="M1121" s="80">
        <f t="shared" si="34"/>
        <v>70.37</v>
      </c>
      <c r="N1121" s="80">
        <f t="shared" si="35"/>
        <v>70.34</v>
      </c>
      <c r="O1121" s="153">
        <v>21.2</v>
      </c>
      <c r="P1121" s="153">
        <v>21.14</v>
      </c>
      <c r="Q1121" s="153">
        <v>21.09</v>
      </c>
      <c r="R1121" s="153">
        <v>21.06</v>
      </c>
      <c r="S1121" s="4"/>
      <c r="U1121" s="147" t="s">
        <v>1198</v>
      </c>
      <c r="V1121" s="11"/>
      <c r="W1121" s="4"/>
      <c r="X1121" s="12"/>
      <c r="Y1121" s="14"/>
      <c r="Z1121" s="4"/>
      <c r="AA1121" s="13"/>
      <c r="AB1121" s="11"/>
      <c r="AC1121" s="4"/>
      <c r="AD1121" s="12"/>
      <c r="AE1121" s="13"/>
      <c r="AF1121" s="14">
        <v>4.9950000000000001</v>
      </c>
      <c r="AG1121" s="133"/>
      <c r="AI1121" s="96"/>
      <c r="AL1121" s="64">
        <v>4.1721821333333331</v>
      </c>
      <c r="AM1121" s="56">
        <v>15.09999999999998</v>
      </c>
      <c r="AN1121" s="56">
        <v>17.100000000000119</v>
      </c>
      <c r="AO1121" s="62">
        <v>23.25999999999997</v>
      </c>
      <c r="AQ1121" s="64">
        <v>4.0829773666666664</v>
      </c>
      <c r="AR1121" s="56">
        <v>15.04000000000012</v>
      </c>
      <c r="AS1121" s="56">
        <v>16.54</v>
      </c>
      <c r="AT1121" s="62">
        <v>20.840000000000011</v>
      </c>
      <c r="AV1121" s="64">
        <v>3.7297444833333331</v>
      </c>
      <c r="AW1121" s="56">
        <v>14.41999999999997</v>
      </c>
      <c r="AX1121" s="56">
        <v>15.920000000000019</v>
      </c>
      <c r="AY1121" s="62">
        <v>20.859999999999971</v>
      </c>
      <c r="BA1121" s="64">
        <v>3.1828341666666669</v>
      </c>
      <c r="BB1121" s="56">
        <v>16.5</v>
      </c>
      <c r="BC1121" s="56">
        <v>19.019999999999989</v>
      </c>
      <c r="BD1121" s="62">
        <v>31.02</v>
      </c>
      <c r="BF1121" s="64">
        <v>2.9186136833333332</v>
      </c>
      <c r="BG1121" s="56">
        <v>20.180000000000039</v>
      </c>
      <c r="BH1121" s="56">
        <v>26.660000000000039</v>
      </c>
      <c r="BI1121" s="62">
        <v>56.400000000000013</v>
      </c>
      <c r="BJ1121" s="70"/>
      <c r="BK1121" s="51"/>
    </row>
    <row r="1122" spans="1:63" x14ac:dyDescent="0.4">
      <c r="A1122" s="147" t="s">
        <v>1199</v>
      </c>
      <c r="G1122" s="147" t="s">
        <v>1199</v>
      </c>
      <c r="H1122" s="159">
        <v>69.941999999999993</v>
      </c>
      <c r="I1122" s="153">
        <v>70.290000000000006</v>
      </c>
      <c r="J1122" s="153">
        <v>70.36</v>
      </c>
      <c r="K1122" s="153">
        <v>70.349999999999994</v>
      </c>
      <c r="L1122" s="153">
        <v>70.37</v>
      </c>
      <c r="M1122" s="80">
        <f t="shared" si="34"/>
        <v>70.37</v>
      </c>
      <c r="N1122" s="80">
        <f t="shared" si="35"/>
        <v>70.290000000000006</v>
      </c>
      <c r="O1122" s="153">
        <v>21.15</v>
      </c>
      <c r="P1122" s="153">
        <v>21.11</v>
      </c>
      <c r="Q1122" s="153">
        <v>21.12</v>
      </c>
      <c r="R1122" s="153">
        <v>21.06</v>
      </c>
      <c r="S1122" s="4"/>
      <c r="U1122" s="147" t="s">
        <v>1199</v>
      </c>
      <c r="V1122" s="11"/>
      <c r="W1122" s="4"/>
      <c r="X1122" s="12"/>
      <c r="Y1122" s="14"/>
      <c r="Z1122" s="4"/>
      <c r="AA1122" s="13"/>
      <c r="AB1122" s="11"/>
      <c r="AC1122" s="4"/>
      <c r="AD1122" s="12"/>
      <c r="AE1122" s="13"/>
      <c r="AF1122" s="14">
        <v>4.9923000000000002</v>
      </c>
      <c r="AG1122" s="133"/>
      <c r="AI1122" s="96"/>
      <c r="AL1122" s="64">
        <v>4.1720082333333339</v>
      </c>
      <c r="AM1122" s="56">
        <v>15.17999999999997</v>
      </c>
      <c r="AN1122" s="56">
        <v>17.199999999999878</v>
      </c>
      <c r="AO1122" s="62">
        <v>23.46000000000004</v>
      </c>
      <c r="AQ1122" s="64">
        <v>4.0809921833333336</v>
      </c>
      <c r="AR1122" s="56">
        <v>14.780000000000021</v>
      </c>
      <c r="AS1122" s="56">
        <v>16.24000000000008</v>
      </c>
      <c r="AT1122" s="62">
        <v>20.500000000000099</v>
      </c>
      <c r="AV1122" s="64">
        <v>3.7275799166666661</v>
      </c>
      <c r="AW1122" s="56">
        <v>14.25999999999998</v>
      </c>
      <c r="AX1122" s="56">
        <v>15.760000000000041</v>
      </c>
      <c r="AY1122" s="62">
        <v>20.680000000000032</v>
      </c>
      <c r="BA1122" s="64">
        <v>3.181547866666667</v>
      </c>
      <c r="BB1122" s="56">
        <v>16.38000000000002</v>
      </c>
      <c r="BC1122" s="56">
        <v>18.839999999999971</v>
      </c>
      <c r="BD1122" s="62">
        <v>30.820000000000029</v>
      </c>
      <c r="BF1122" s="64">
        <v>2.914217083333333</v>
      </c>
      <c r="BG1122" s="56">
        <v>20.04000000000001</v>
      </c>
      <c r="BH1122" s="56">
        <v>26.40000000000002</v>
      </c>
      <c r="BI1122" s="62">
        <v>56.200000000000031</v>
      </c>
      <c r="BJ1122" s="70"/>
      <c r="BK1122" s="51"/>
    </row>
    <row r="1123" spans="1:63" x14ac:dyDescent="0.4">
      <c r="A1123" s="147" t="s">
        <v>1200</v>
      </c>
      <c r="G1123" s="147" t="s">
        <v>1200</v>
      </c>
      <c r="H1123" s="159">
        <v>70.031999999999996</v>
      </c>
      <c r="I1123" s="153">
        <v>70.290000000000006</v>
      </c>
      <c r="J1123" s="153">
        <v>70.3</v>
      </c>
      <c r="K1123" s="153">
        <v>70.39</v>
      </c>
      <c r="L1123" s="153">
        <v>70.37</v>
      </c>
      <c r="M1123" s="80">
        <f t="shared" si="34"/>
        <v>70.39</v>
      </c>
      <c r="N1123" s="80">
        <f t="shared" si="35"/>
        <v>70.290000000000006</v>
      </c>
      <c r="O1123" s="153">
        <v>21.18</v>
      </c>
      <c r="P1123" s="153">
        <v>21.12</v>
      </c>
      <c r="Q1123" s="153">
        <v>21.12</v>
      </c>
      <c r="R1123" s="153">
        <v>21.1</v>
      </c>
      <c r="S1123" s="4"/>
      <c r="U1123" s="147" t="s">
        <v>1200</v>
      </c>
      <c r="V1123" s="11"/>
      <c r="W1123" s="4"/>
      <c r="X1123" s="12"/>
      <c r="Y1123" s="14"/>
      <c r="Z1123" s="4"/>
      <c r="AA1123" s="13"/>
      <c r="AB1123" s="11"/>
      <c r="AC1123" s="4"/>
      <c r="AD1123" s="12"/>
      <c r="AE1123" s="13"/>
      <c r="AF1123" s="14">
        <v>4.9962999999999997</v>
      </c>
      <c r="AG1123" s="133"/>
      <c r="AI1123" s="96"/>
      <c r="AL1123" s="64">
        <v>4.1720008000000002</v>
      </c>
      <c r="AM1123" s="56">
        <v>14.700000000000021</v>
      </c>
      <c r="AN1123" s="56">
        <v>16.680000000000032</v>
      </c>
      <c r="AO1123" s="62">
        <v>22.819999999999929</v>
      </c>
      <c r="AQ1123" s="64">
        <v>4.0817600000000001</v>
      </c>
      <c r="AR1123" s="56">
        <v>14.680000000000071</v>
      </c>
      <c r="AS1123" s="56">
        <v>16.180000000000131</v>
      </c>
      <c r="AT1123" s="62">
        <v>20.4600000000001</v>
      </c>
      <c r="AV1123" s="64">
        <v>3.727581966666667</v>
      </c>
      <c r="AW1123" s="56">
        <v>14.179999999999991</v>
      </c>
      <c r="AX1123" s="56">
        <v>15.65999999999992</v>
      </c>
      <c r="AY1123" s="62">
        <v>20.58</v>
      </c>
      <c r="BA1123" s="64">
        <v>3.1755110000000002</v>
      </c>
      <c r="BB1123" s="56">
        <v>16.48000000000005</v>
      </c>
      <c r="BC1123" s="56">
        <v>18.98</v>
      </c>
      <c r="BD1123" s="62">
        <v>31.260000000000069</v>
      </c>
      <c r="BF1123" s="64">
        <v>2.9182791666666672</v>
      </c>
      <c r="BG1123" s="56">
        <v>19.999999999999929</v>
      </c>
      <c r="BH1123" s="56">
        <v>26.779999999999941</v>
      </c>
      <c r="BI1123" s="62">
        <v>56.999999999999943</v>
      </c>
      <c r="BJ1123" s="70"/>
      <c r="BK1123" s="51"/>
    </row>
    <row r="1124" spans="1:63" x14ac:dyDescent="0.4">
      <c r="A1124" s="147" t="s">
        <v>1201</v>
      </c>
      <c r="G1124" s="147" t="s">
        <v>1201</v>
      </c>
      <c r="H1124" s="159">
        <v>69.995000000000005</v>
      </c>
      <c r="I1124" s="153">
        <v>70.39</v>
      </c>
      <c r="J1124" s="153">
        <v>70.37</v>
      </c>
      <c r="K1124" s="153">
        <v>70.349999999999994</v>
      </c>
      <c r="L1124" s="153">
        <v>70.36</v>
      </c>
      <c r="M1124" s="80">
        <f t="shared" si="34"/>
        <v>70.39</v>
      </c>
      <c r="N1124" s="80">
        <f t="shared" si="35"/>
        <v>70.349999999999994</v>
      </c>
      <c r="O1124" s="153">
        <v>21.13</v>
      </c>
      <c r="P1124" s="153">
        <v>21.04</v>
      </c>
      <c r="Q1124" s="153">
        <v>21.16</v>
      </c>
      <c r="R1124" s="153">
        <v>21.1</v>
      </c>
      <c r="S1124" s="4"/>
      <c r="U1124" s="147" t="s">
        <v>1201</v>
      </c>
      <c r="V1124" s="11"/>
      <c r="W1124" s="4"/>
      <c r="X1124" s="12"/>
      <c r="Y1124" s="14"/>
      <c r="Z1124" s="4"/>
      <c r="AA1124" s="13"/>
      <c r="AB1124" s="11"/>
      <c r="AC1124" s="4"/>
      <c r="AD1124" s="12"/>
      <c r="AE1124" s="13"/>
      <c r="AF1124" s="14">
        <v>5.0000999999999998</v>
      </c>
      <c r="AG1124" s="133"/>
      <c r="AI1124" s="96"/>
      <c r="AL1124" s="64">
        <v>4.1718337166666668</v>
      </c>
      <c r="AM1124" s="56">
        <v>14.499999999999959</v>
      </c>
      <c r="AN1124" s="56">
        <v>16.39999999999997</v>
      </c>
      <c r="AO1124" s="62">
        <v>22.540000000000049</v>
      </c>
      <c r="AQ1124" s="64">
        <v>4.0802045333333314</v>
      </c>
      <c r="AR1124" s="56">
        <v>13.879999999999979</v>
      </c>
      <c r="AS1124" s="56">
        <v>15.259999999999961</v>
      </c>
      <c r="AT1124" s="62">
        <v>19.319999999999919</v>
      </c>
      <c r="AV1124" s="64">
        <v>3.7264654833333331</v>
      </c>
      <c r="AW1124" s="56">
        <v>13.56000000000002</v>
      </c>
      <c r="AX1124" s="56">
        <v>14.97999999999999</v>
      </c>
      <c r="AY1124" s="62">
        <v>19.680000000000049</v>
      </c>
      <c r="BA1124" s="64">
        <v>3.1869608166666672</v>
      </c>
      <c r="BB1124" s="56">
        <v>16.219999999999949</v>
      </c>
      <c r="BC1124" s="56">
        <v>18.619999999999951</v>
      </c>
      <c r="BD1124" s="62">
        <v>30.43999999999993</v>
      </c>
      <c r="BF1124" s="64">
        <v>2.9418062666666671</v>
      </c>
      <c r="BG1124" s="56">
        <v>19.940000000000069</v>
      </c>
      <c r="BH1124" s="56">
        <v>26.460000000000061</v>
      </c>
      <c r="BI1124" s="62">
        <v>54.320000000000057</v>
      </c>
      <c r="BJ1124" s="70"/>
      <c r="BK1124" s="51"/>
    </row>
    <row r="1125" spans="1:63" x14ac:dyDescent="0.4">
      <c r="A1125" s="147" t="s">
        <v>1202</v>
      </c>
      <c r="G1125" s="147" t="s">
        <v>1202</v>
      </c>
      <c r="H1125" s="159">
        <v>70.129000000000005</v>
      </c>
      <c r="I1125" s="153">
        <v>70.39</v>
      </c>
      <c r="J1125" s="153">
        <v>70.349999999999994</v>
      </c>
      <c r="K1125" s="153">
        <v>70.349999999999994</v>
      </c>
      <c r="L1125" s="153">
        <v>70.290000000000006</v>
      </c>
      <c r="M1125" s="80">
        <f t="shared" si="34"/>
        <v>70.39</v>
      </c>
      <c r="N1125" s="80">
        <f t="shared" si="35"/>
        <v>70.290000000000006</v>
      </c>
      <c r="O1125" s="153">
        <v>21.18</v>
      </c>
      <c r="P1125" s="153">
        <v>21.05</v>
      </c>
      <c r="Q1125" s="153">
        <v>21.16</v>
      </c>
      <c r="R1125" s="153">
        <v>21.1</v>
      </c>
      <c r="S1125" s="4"/>
      <c r="U1125" s="147" t="s">
        <v>1202</v>
      </c>
      <c r="V1125" s="11"/>
      <c r="W1125" s="4"/>
      <c r="X1125" s="12"/>
      <c r="Y1125" s="14"/>
      <c r="Z1125" s="4"/>
      <c r="AA1125" s="13"/>
      <c r="AB1125" s="11"/>
      <c r="AC1125" s="4"/>
      <c r="AD1125" s="12"/>
      <c r="AE1125" s="13"/>
      <c r="AF1125" s="14">
        <v>4.9923000000000002</v>
      </c>
      <c r="AG1125" s="133"/>
      <c r="AI1125" s="96"/>
      <c r="AL1125" s="64">
        <v>4.1717946499999998</v>
      </c>
      <c r="AM1125" s="56">
        <v>14.25999999999998</v>
      </c>
      <c r="AN1125" s="56">
        <v>16.180000000000131</v>
      </c>
      <c r="AO1125" s="62">
        <v>22.300000000000079</v>
      </c>
      <c r="AQ1125" s="64">
        <v>4.0817525166666657</v>
      </c>
      <c r="AR1125" s="56">
        <v>13.920000000000069</v>
      </c>
      <c r="AS1125" s="56">
        <v>15.30000000000005</v>
      </c>
      <c r="AT1125" s="62">
        <v>19.360000000000088</v>
      </c>
      <c r="AV1125" s="64">
        <v>3.7277290333333331</v>
      </c>
      <c r="AW1125" s="56">
        <v>13.539999999999971</v>
      </c>
      <c r="AX1125" s="56">
        <v>14.94</v>
      </c>
      <c r="AY1125" s="62">
        <v>19.61999999999993</v>
      </c>
      <c r="BA1125" s="64">
        <v>3.1879515500000002</v>
      </c>
      <c r="BB1125" s="56">
        <v>16.300000000000029</v>
      </c>
      <c r="BC1125" s="56">
        <v>18.719999999999981</v>
      </c>
      <c r="BD1125" s="62">
        <v>30.54000000000006</v>
      </c>
      <c r="BF1125" s="64">
        <v>2.9380212833333328</v>
      </c>
      <c r="BG1125" s="56">
        <v>19.980000000000061</v>
      </c>
      <c r="BH1125" s="56">
        <v>26.660000000000039</v>
      </c>
      <c r="BI1125" s="62">
        <v>54.959999999999987</v>
      </c>
      <c r="BJ1125" s="70"/>
      <c r="BK1125" s="51"/>
    </row>
    <row r="1126" spans="1:63" x14ac:dyDescent="0.4">
      <c r="A1126" s="147" t="s">
        <v>1203</v>
      </c>
      <c r="G1126" s="147" t="s">
        <v>1203</v>
      </c>
      <c r="H1126" s="159">
        <v>69.983999999999995</v>
      </c>
      <c r="I1126" s="153">
        <v>70.33</v>
      </c>
      <c r="J1126" s="153">
        <v>70.36</v>
      </c>
      <c r="K1126" s="153">
        <v>70.31</v>
      </c>
      <c r="L1126" s="153">
        <v>70.3</v>
      </c>
      <c r="M1126" s="80">
        <f t="shared" si="34"/>
        <v>70.36</v>
      </c>
      <c r="N1126" s="80">
        <f t="shared" si="35"/>
        <v>70.3</v>
      </c>
      <c r="O1126" s="153">
        <v>21.11</v>
      </c>
      <c r="P1126" s="153">
        <v>21.12</v>
      </c>
      <c r="Q1126" s="153">
        <v>21.15</v>
      </c>
      <c r="R1126" s="153">
        <v>21.07</v>
      </c>
      <c r="S1126" s="4"/>
      <c r="U1126" s="147" t="s">
        <v>1203</v>
      </c>
      <c r="V1126" s="11"/>
      <c r="W1126" s="4"/>
      <c r="X1126" s="12"/>
      <c r="Y1126" s="14"/>
      <c r="Z1126" s="4"/>
      <c r="AA1126" s="13"/>
      <c r="AB1126" s="11"/>
      <c r="AC1126" s="4"/>
      <c r="AD1126" s="12"/>
      <c r="AE1126" s="13"/>
      <c r="AF1126" s="14">
        <v>4.9901</v>
      </c>
      <c r="AG1126" s="133"/>
      <c r="AI1126" s="96"/>
      <c r="AL1126" s="64">
        <v>4.17210415</v>
      </c>
      <c r="AM1126" s="56">
        <v>14.08000000000005</v>
      </c>
      <c r="AN1126" s="56">
        <v>16.000000000000011</v>
      </c>
      <c r="AO1126" s="62">
        <v>22.140000000000089</v>
      </c>
      <c r="AQ1126" s="64">
        <v>4.0808265333333331</v>
      </c>
      <c r="AR1126" s="56">
        <v>13.46000000000007</v>
      </c>
      <c r="AS1126" s="56">
        <v>14.86000000000001</v>
      </c>
      <c r="AT1126" s="62">
        <v>18.900000000000009</v>
      </c>
      <c r="AV1126" s="64">
        <v>3.7278316166666658</v>
      </c>
      <c r="AW1126" s="56">
        <v>13.03999999999998</v>
      </c>
      <c r="AX1126" s="56">
        <v>14.44000000000001</v>
      </c>
      <c r="AY1126" s="62">
        <v>19.139999999999979</v>
      </c>
      <c r="BA1126" s="64">
        <v>3.1877059999999999</v>
      </c>
      <c r="BB1126" s="56">
        <v>15.62000000000001</v>
      </c>
      <c r="BC1126" s="56">
        <v>18.02000000000001</v>
      </c>
      <c r="BD1126" s="62">
        <v>29.699999999999971</v>
      </c>
      <c r="BF1126" s="64">
        <v>2.9327671333333329</v>
      </c>
      <c r="BG1126" s="56">
        <v>19.45999999999994</v>
      </c>
      <c r="BH1126" s="56">
        <v>26.579999999999959</v>
      </c>
      <c r="BI1126" s="62">
        <v>55.499999999999972</v>
      </c>
      <c r="BJ1126" s="70"/>
      <c r="BK1126" s="51"/>
    </row>
    <row r="1127" spans="1:63" x14ac:dyDescent="0.4">
      <c r="A1127" s="147" t="s">
        <v>1204</v>
      </c>
      <c r="G1127" s="147" t="s">
        <v>1204</v>
      </c>
      <c r="H1127" s="159">
        <v>69.975999999999999</v>
      </c>
      <c r="I1127" s="153">
        <v>70.31</v>
      </c>
      <c r="J1127" s="153">
        <v>70.3</v>
      </c>
      <c r="K1127" s="153">
        <v>70.3</v>
      </c>
      <c r="L1127" s="153">
        <v>70.33</v>
      </c>
      <c r="M1127" s="80">
        <f t="shared" si="34"/>
        <v>70.33</v>
      </c>
      <c r="N1127" s="80">
        <f t="shared" si="35"/>
        <v>70.3</v>
      </c>
      <c r="O1127" s="153">
        <v>21.18</v>
      </c>
      <c r="P1127" s="153">
        <v>21.08</v>
      </c>
      <c r="Q1127" s="153">
        <v>21.1</v>
      </c>
      <c r="R1127" s="153">
        <v>21.07</v>
      </c>
      <c r="S1127" s="4"/>
      <c r="U1127" s="147" t="s">
        <v>1204</v>
      </c>
      <c r="V1127" s="11"/>
      <c r="W1127" s="4"/>
      <c r="X1127" s="12"/>
      <c r="Y1127" s="14"/>
      <c r="Z1127" s="4"/>
      <c r="AA1127" s="13"/>
      <c r="AB1127" s="11"/>
      <c r="AC1127" s="4"/>
      <c r="AD1127" s="12"/>
      <c r="AE1127" s="13"/>
      <c r="AF1127" s="14">
        <v>5.0057</v>
      </c>
      <c r="AG1127" s="133"/>
      <c r="AI1127" s="96"/>
      <c r="AL1127" s="64">
        <v>4.1714786333333338</v>
      </c>
      <c r="AM1127" s="56">
        <v>15.38000000000004</v>
      </c>
      <c r="AN1127" s="56">
        <v>17.399999999999949</v>
      </c>
      <c r="AO1127" s="62">
        <v>23.760000000000051</v>
      </c>
      <c r="AQ1127" s="64">
        <v>4.0807359166666668</v>
      </c>
      <c r="AR1127" s="56">
        <v>14.920000000000041</v>
      </c>
      <c r="AS1127" s="56">
        <v>16.420000000000009</v>
      </c>
      <c r="AT1127" s="62">
        <v>20.720000000000031</v>
      </c>
      <c r="AV1127" s="64">
        <v>3.7271771</v>
      </c>
      <c r="AW1127" s="56">
        <v>14.28000000000003</v>
      </c>
      <c r="AX1127" s="56">
        <v>15.78</v>
      </c>
      <c r="AY1127" s="62">
        <v>20.720000000000031</v>
      </c>
      <c r="BA1127" s="64">
        <v>3.1815935333333329</v>
      </c>
      <c r="BB1127" s="56">
        <v>16.61999999999999</v>
      </c>
      <c r="BC1127" s="56">
        <v>19.120000000000029</v>
      </c>
      <c r="BD1127" s="62">
        <v>31.160000000000029</v>
      </c>
      <c r="BF1127" s="64">
        <v>2.9290541666666661</v>
      </c>
      <c r="BG1127" s="56">
        <v>20.36000000000007</v>
      </c>
      <c r="BH1127" s="56">
        <v>27.36000000000001</v>
      </c>
      <c r="BI1127" s="62">
        <v>56.520000000000081</v>
      </c>
      <c r="BJ1127" s="70"/>
      <c r="BK1127" s="51"/>
    </row>
    <row r="1128" spans="1:63" x14ac:dyDescent="0.4">
      <c r="A1128" s="147" t="s">
        <v>1205</v>
      </c>
      <c r="G1128" s="147" t="s">
        <v>1205</v>
      </c>
      <c r="H1128" s="159">
        <v>69.992999999999995</v>
      </c>
      <c r="I1128" s="153">
        <v>70.39</v>
      </c>
      <c r="J1128" s="153">
        <v>70.34</v>
      </c>
      <c r="K1128" s="153">
        <v>70.290000000000006</v>
      </c>
      <c r="L1128" s="153">
        <v>70.28</v>
      </c>
      <c r="M1128" s="80">
        <f t="shared" si="34"/>
        <v>70.39</v>
      </c>
      <c r="N1128" s="80">
        <f t="shared" si="35"/>
        <v>70.28</v>
      </c>
      <c r="O1128" s="153">
        <v>21.22</v>
      </c>
      <c r="P1128" s="153">
        <v>20.99</v>
      </c>
      <c r="Q1128" s="153">
        <v>21.13</v>
      </c>
      <c r="R1128" s="153">
        <v>21.06</v>
      </c>
      <c r="S1128" s="4"/>
      <c r="U1128" s="147" t="s">
        <v>1205</v>
      </c>
      <c r="V1128" s="11"/>
      <c r="W1128" s="4"/>
      <c r="X1128" s="12"/>
      <c r="Y1128" s="14"/>
      <c r="Z1128" s="4"/>
      <c r="AA1128" s="13"/>
      <c r="AB1128" s="11"/>
      <c r="AC1128" s="4"/>
      <c r="AD1128" s="12"/>
      <c r="AE1128" s="13"/>
      <c r="AF1128" s="14">
        <v>5.0694999999999997</v>
      </c>
      <c r="AG1128" s="133"/>
      <c r="AI1128" s="96"/>
      <c r="AL1128" s="64">
        <v>4.1714461500000004</v>
      </c>
      <c r="AM1128" s="56">
        <v>14.86000000000001</v>
      </c>
      <c r="AN1128" s="56">
        <v>16.840000000000011</v>
      </c>
      <c r="AO1128" s="62">
        <v>23.08000000000003</v>
      </c>
      <c r="AQ1128" s="64">
        <v>4.0810042166666678</v>
      </c>
      <c r="AR1128" s="56">
        <v>14.41999999999997</v>
      </c>
      <c r="AS1128" s="56">
        <v>15.88000000000012</v>
      </c>
      <c r="AT1128" s="62">
        <v>20.12</v>
      </c>
      <c r="AV1128" s="64">
        <v>3.7275585666666671</v>
      </c>
      <c r="AW1128" s="56">
        <v>14.03999999999996</v>
      </c>
      <c r="AX1128" s="56">
        <v>15.51999999999998</v>
      </c>
      <c r="AY1128" s="62">
        <v>20.39999999999997</v>
      </c>
      <c r="BA1128" s="64">
        <v>3.1829423166666668</v>
      </c>
      <c r="BB1128" s="56">
        <v>16.759999999999931</v>
      </c>
      <c r="BC1128" s="56">
        <v>19.299999999999962</v>
      </c>
      <c r="BD1128" s="62">
        <v>31.47999999999999</v>
      </c>
      <c r="BF1128" s="64">
        <v>2.938031983333333</v>
      </c>
      <c r="BG1128" s="56">
        <v>20.420000000000019</v>
      </c>
      <c r="BH1128" s="56">
        <v>27.34000000000005</v>
      </c>
      <c r="BI1128" s="62">
        <v>55.940000000000012</v>
      </c>
      <c r="BJ1128" s="70"/>
      <c r="BK1128" s="51"/>
    </row>
    <row r="1129" spans="1:63" x14ac:dyDescent="0.4">
      <c r="A1129" s="147" t="s">
        <v>1206</v>
      </c>
      <c r="G1129" s="147" t="s">
        <v>1206</v>
      </c>
      <c r="H1129" s="159">
        <v>70.094999999999999</v>
      </c>
      <c r="I1129" s="153">
        <v>70.36</v>
      </c>
      <c r="J1129" s="153">
        <v>70.319999999999993</v>
      </c>
      <c r="K1129" s="153">
        <v>70.38</v>
      </c>
      <c r="L1129" s="153">
        <v>70.36</v>
      </c>
      <c r="M1129" s="80">
        <f t="shared" si="34"/>
        <v>70.38</v>
      </c>
      <c r="N1129" s="80">
        <f t="shared" si="35"/>
        <v>70.319999999999993</v>
      </c>
      <c r="O1129" s="153">
        <v>21.09</v>
      </c>
      <c r="P1129" s="153">
        <v>21.14</v>
      </c>
      <c r="Q1129" s="153">
        <v>21.09</v>
      </c>
      <c r="R1129" s="153">
        <v>21.04</v>
      </c>
      <c r="S1129" s="4"/>
      <c r="U1129" s="147" t="s">
        <v>1206</v>
      </c>
      <c r="V1129" s="11"/>
      <c r="W1129" s="4"/>
      <c r="X1129" s="12"/>
      <c r="Y1129" s="14"/>
      <c r="Z1129" s="4"/>
      <c r="AA1129" s="13"/>
      <c r="AB1129" s="11"/>
      <c r="AC1129" s="4"/>
      <c r="AD1129" s="12"/>
      <c r="AE1129" s="13"/>
      <c r="AF1129" s="14">
        <v>5.0435999999999996</v>
      </c>
      <c r="AG1129" s="133"/>
      <c r="AI1129" s="96"/>
      <c r="AL1129" s="64">
        <v>4.1716328833333334</v>
      </c>
      <c r="AM1129" s="56">
        <v>15.279999999999919</v>
      </c>
      <c r="AN1129" s="56">
        <v>17.3</v>
      </c>
      <c r="AO1129" s="62">
        <v>23.659999999999929</v>
      </c>
      <c r="AQ1129" s="64">
        <v>4.0811049666666674</v>
      </c>
      <c r="AR1129" s="56">
        <v>14.86000000000001</v>
      </c>
      <c r="AS1129" s="56">
        <v>16.340000000000021</v>
      </c>
      <c r="AT1129" s="62">
        <v>20.64000000000004</v>
      </c>
      <c r="AV1129" s="64">
        <v>3.7276579833333332</v>
      </c>
      <c r="AW1129" s="56">
        <v>14.48</v>
      </c>
      <c r="AX1129" s="56">
        <v>15.97999999999997</v>
      </c>
      <c r="AY1129" s="62">
        <v>20.96</v>
      </c>
      <c r="BA1129" s="64">
        <v>3.1831027666666669</v>
      </c>
      <c r="BB1129" s="56">
        <v>16.72000000000002</v>
      </c>
      <c r="BC1129" s="56">
        <v>19.220000000000059</v>
      </c>
      <c r="BD1129" s="62">
        <v>31.300000000000061</v>
      </c>
      <c r="BF1129" s="64">
        <v>2.934269116666667</v>
      </c>
      <c r="BG1129" s="56">
        <v>20.500000000000011</v>
      </c>
      <c r="BH1129" s="56">
        <v>27.420000000000041</v>
      </c>
      <c r="BI1129" s="62">
        <v>56.299999999999983</v>
      </c>
      <c r="BJ1129" s="70"/>
      <c r="BK1129" s="51"/>
    </row>
    <row r="1130" spans="1:63" x14ac:dyDescent="0.4">
      <c r="A1130" s="147" t="s">
        <v>1207</v>
      </c>
      <c r="G1130" s="147" t="s">
        <v>1207</v>
      </c>
      <c r="H1130" s="159">
        <v>70.070999999999998</v>
      </c>
      <c r="I1130" s="153">
        <v>70.37</v>
      </c>
      <c r="J1130" s="153">
        <v>70.31</v>
      </c>
      <c r="K1130" s="153">
        <v>70.36</v>
      </c>
      <c r="L1130" s="153">
        <v>70.3</v>
      </c>
      <c r="M1130" s="80">
        <f t="shared" si="34"/>
        <v>70.37</v>
      </c>
      <c r="N1130" s="80">
        <f t="shared" si="35"/>
        <v>70.3</v>
      </c>
      <c r="O1130" s="153">
        <v>21.18</v>
      </c>
      <c r="P1130" s="153">
        <v>21</v>
      </c>
      <c r="Q1130" s="153">
        <v>21.12</v>
      </c>
      <c r="R1130" s="153">
        <v>21.1</v>
      </c>
      <c r="S1130" s="4"/>
      <c r="U1130" s="147" t="s">
        <v>1207</v>
      </c>
      <c r="V1130" s="11"/>
      <c r="W1130" s="4"/>
      <c r="X1130" s="12"/>
      <c r="Y1130" s="14"/>
      <c r="Z1130" s="4"/>
      <c r="AA1130" s="13"/>
      <c r="AB1130" s="11"/>
      <c r="AC1130" s="4"/>
      <c r="AD1130" s="12"/>
      <c r="AE1130" s="13"/>
      <c r="AF1130" s="14">
        <v>5.0136000000000003</v>
      </c>
      <c r="AG1130" s="133"/>
      <c r="AI1130" s="96"/>
      <c r="AL1130" s="64">
        <v>4.1718617166666672</v>
      </c>
      <c r="AM1130" s="56">
        <v>14.87999999999996</v>
      </c>
      <c r="AN1130" s="56">
        <v>16.879999999999921</v>
      </c>
      <c r="AO1130" s="62">
        <v>23.160000000000029</v>
      </c>
      <c r="AQ1130" s="64">
        <v>4.0814572833333331</v>
      </c>
      <c r="AR1130" s="56">
        <v>14.700000000000021</v>
      </c>
      <c r="AS1130" s="56">
        <v>16.200000000000081</v>
      </c>
      <c r="AT1130" s="62">
        <v>20.48000000000005</v>
      </c>
      <c r="AV1130" s="64">
        <v>3.7291563333333331</v>
      </c>
      <c r="AW1130" s="56">
        <v>14.299999999999979</v>
      </c>
      <c r="AX1130" s="56">
        <v>15.80000000000004</v>
      </c>
      <c r="AY1130" s="62">
        <v>20.77999999999998</v>
      </c>
      <c r="BA1130" s="64">
        <v>3.1880708499999999</v>
      </c>
      <c r="BB1130" s="56">
        <v>16.439999999999969</v>
      </c>
      <c r="BC1130" s="56">
        <v>18.87999999999996</v>
      </c>
      <c r="BD1130" s="62">
        <v>30.739999999999949</v>
      </c>
      <c r="BF1130" s="64">
        <v>2.93042135</v>
      </c>
      <c r="BG1130" s="56">
        <v>20.04000000000001</v>
      </c>
      <c r="BH1130" s="56">
        <v>26.679999999999989</v>
      </c>
      <c r="BI1130" s="62">
        <v>55.200000000000053</v>
      </c>
      <c r="BJ1130" s="70"/>
      <c r="BK1130" s="51"/>
    </row>
    <row r="1131" spans="1:63" x14ac:dyDescent="0.4">
      <c r="A1131" s="147" t="s">
        <v>1208</v>
      </c>
      <c r="G1131" s="147" t="s">
        <v>1208</v>
      </c>
      <c r="H1131" s="159">
        <v>70.028000000000006</v>
      </c>
      <c r="I1131" s="153">
        <v>70.39</v>
      </c>
      <c r="J1131" s="153">
        <v>70.349999999999994</v>
      </c>
      <c r="K1131" s="153">
        <v>70.31</v>
      </c>
      <c r="L1131" s="153">
        <v>70.31</v>
      </c>
      <c r="M1131" s="80">
        <f t="shared" si="34"/>
        <v>70.39</v>
      </c>
      <c r="N1131" s="80">
        <f t="shared" si="35"/>
        <v>70.31</v>
      </c>
      <c r="O1131" s="153">
        <v>21.15</v>
      </c>
      <c r="P1131" s="153">
        <v>21.12</v>
      </c>
      <c r="Q1131" s="153">
        <v>21.12</v>
      </c>
      <c r="R1131" s="153">
        <v>21.03</v>
      </c>
      <c r="S1131" s="4"/>
      <c r="U1131" s="147" t="s">
        <v>1208</v>
      </c>
      <c r="V1131" s="11"/>
      <c r="W1131" s="4"/>
      <c r="X1131" s="12"/>
      <c r="Y1131" s="14"/>
      <c r="Z1131" s="4"/>
      <c r="AA1131" s="13"/>
      <c r="AB1131" s="11"/>
      <c r="AC1131" s="4"/>
      <c r="AD1131" s="12"/>
      <c r="AE1131" s="13"/>
      <c r="AF1131" s="14">
        <v>5.0039999999999996</v>
      </c>
      <c r="AG1131" s="133"/>
      <c r="AI1131" s="96"/>
      <c r="AL1131" s="64">
        <v>4.1721364166666666</v>
      </c>
      <c r="AM1131" s="56">
        <v>15.220000000000059</v>
      </c>
      <c r="AN1131" s="56">
        <v>17.22000000000001</v>
      </c>
      <c r="AO1131" s="62">
        <v>23.520000000000071</v>
      </c>
      <c r="AQ1131" s="64">
        <v>4.0830076333333327</v>
      </c>
      <c r="AR1131" s="56">
        <v>14.920000000000041</v>
      </c>
      <c r="AS1131" s="56">
        <v>16.41999999999992</v>
      </c>
      <c r="AT1131" s="62">
        <v>20.720000000000031</v>
      </c>
      <c r="AV1131" s="64">
        <v>3.7294264166666671</v>
      </c>
      <c r="AW1131" s="56">
        <v>14.299999999999979</v>
      </c>
      <c r="AX1131" s="56">
        <v>15.799999999999949</v>
      </c>
      <c r="AY1131" s="62">
        <v>20.719999999999938</v>
      </c>
      <c r="BA1131" s="64">
        <v>3.1830451166666669</v>
      </c>
      <c r="BB1131" s="56">
        <v>16.319999999999979</v>
      </c>
      <c r="BC1131" s="56">
        <v>18.799999999999969</v>
      </c>
      <c r="BD1131" s="62">
        <v>30.839999999999979</v>
      </c>
      <c r="BF1131" s="64">
        <v>2.9238598333333332</v>
      </c>
      <c r="BG1131" s="56">
        <v>20.02000000000006</v>
      </c>
      <c r="BH1131" s="56">
        <v>26.560000000000009</v>
      </c>
      <c r="BI1131" s="62">
        <v>55.920000000000059</v>
      </c>
      <c r="BJ1131" s="70"/>
      <c r="BK1131" s="51"/>
    </row>
    <row r="1132" spans="1:63" x14ac:dyDescent="0.4">
      <c r="A1132" s="147" t="s">
        <v>1209</v>
      </c>
      <c r="G1132" s="147" t="s">
        <v>1209</v>
      </c>
      <c r="H1132" s="159">
        <v>69.974999999999994</v>
      </c>
      <c r="I1132" s="153">
        <v>70.290000000000006</v>
      </c>
      <c r="J1132" s="153">
        <v>70.36</v>
      </c>
      <c r="K1132" s="153">
        <v>70.3</v>
      </c>
      <c r="L1132" s="153">
        <v>70.349999999999994</v>
      </c>
      <c r="M1132" s="80">
        <f t="shared" si="34"/>
        <v>70.36</v>
      </c>
      <c r="N1132" s="80">
        <f t="shared" si="35"/>
        <v>70.290000000000006</v>
      </c>
      <c r="O1132" s="153">
        <v>21.2</v>
      </c>
      <c r="P1132" s="153">
        <v>21.17</v>
      </c>
      <c r="Q1132" s="153">
        <v>21.16</v>
      </c>
      <c r="R1132" s="153">
        <v>21.12</v>
      </c>
      <c r="S1132" s="4"/>
      <c r="U1132" s="147" t="s">
        <v>1209</v>
      </c>
      <c r="V1132" s="11"/>
      <c r="W1132" s="4"/>
      <c r="X1132" s="12"/>
      <c r="Y1132" s="14"/>
      <c r="Z1132" s="4"/>
      <c r="AA1132" s="13"/>
      <c r="AB1132" s="11"/>
      <c r="AC1132" s="4"/>
      <c r="AD1132" s="12"/>
      <c r="AE1132" s="13"/>
      <c r="AF1132" s="14">
        <v>5.0026999999999999</v>
      </c>
      <c r="AG1132" s="133"/>
      <c r="AI1132" s="96"/>
      <c r="AL1132" s="64">
        <v>4.1722088500000014</v>
      </c>
      <c r="AM1132" s="56">
        <v>14.74000000000011</v>
      </c>
      <c r="AN1132" s="56">
        <v>16.720000000000109</v>
      </c>
      <c r="AO1132" s="62">
        <v>22.959999999999962</v>
      </c>
      <c r="AQ1132" s="64">
        <v>4.0822028666666661</v>
      </c>
      <c r="AR1132" s="56">
        <v>14.65999999999994</v>
      </c>
      <c r="AS1132" s="56">
        <v>16.16</v>
      </c>
      <c r="AT1132" s="62">
        <v>20.420000000000019</v>
      </c>
      <c r="AV1132" s="64">
        <v>3.7283072999999991</v>
      </c>
      <c r="AW1132" s="56">
        <v>14.14</v>
      </c>
      <c r="AX1132" s="56">
        <v>15.62000000000001</v>
      </c>
      <c r="AY1132" s="62">
        <v>20.54</v>
      </c>
      <c r="BA1132" s="64">
        <v>3.179350433333334</v>
      </c>
      <c r="BB1132" s="56">
        <v>16.280000000000069</v>
      </c>
      <c r="BC1132" s="56">
        <v>18.760000000000069</v>
      </c>
      <c r="BD1132" s="62">
        <v>30.840000000000071</v>
      </c>
      <c r="BF1132" s="64">
        <v>2.9162468833333328</v>
      </c>
      <c r="BG1132" s="56">
        <v>20.080000000000009</v>
      </c>
      <c r="BH1132" s="56">
        <v>26.819999999999929</v>
      </c>
      <c r="BI1132" s="62">
        <v>57.099999999999973</v>
      </c>
      <c r="BJ1132" s="70"/>
      <c r="BK1132" s="51"/>
    </row>
    <row r="1133" spans="1:63" x14ac:dyDescent="0.4">
      <c r="A1133" s="147" t="s">
        <v>1210</v>
      </c>
      <c r="G1133" s="147" t="s">
        <v>1210</v>
      </c>
      <c r="H1133" s="159">
        <v>70.009</v>
      </c>
      <c r="I1133" s="153">
        <v>70.3</v>
      </c>
      <c r="J1133" s="153">
        <v>70.36</v>
      </c>
      <c r="K1133" s="153">
        <v>70.38</v>
      </c>
      <c r="L1133" s="153">
        <v>70.37</v>
      </c>
      <c r="M1133" s="80">
        <f t="shared" si="34"/>
        <v>70.38</v>
      </c>
      <c r="N1133" s="80">
        <f t="shared" si="35"/>
        <v>70.3</v>
      </c>
      <c r="O1133" s="153">
        <v>21.18</v>
      </c>
      <c r="P1133" s="153">
        <v>21.12</v>
      </c>
      <c r="Q1133" s="153">
        <v>21.15</v>
      </c>
      <c r="R1133" s="153">
        <v>21.07</v>
      </c>
      <c r="S1133" s="4"/>
      <c r="U1133" s="147" t="s">
        <v>1210</v>
      </c>
      <c r="V1133" s="11"/>
      <c r="W1133" s="4"/>
      <c r="X1133" s="12"/>
      <c r="Y1133" s="14"/>
      <c r="Z1133" s="4"/>
      <c r="AA1133" s="13"/>
      <c r="AB1133" s="11"/>
      <c r="AC1133" s="4"/>
      <c r="AD1133" s="12"/>
      <c r="AE1133" s="13"/>
      <c r="AF1133" s="14">
        <v>4.9992000000000001</v>
      </c>
      <c r="AG1133" s="133"/>
      <c r="AI1133" s="96"/>
      <c r="AL1133" s="64">
        <v>4.1720769999999998</v>
      </c>
      <c r="AM1133" s="56">
        <v>15.26000000000014</v>
      </c>
      <c r="AN1133" s="56">
        <v>17.3</v>
      </c>
      <c r="AO1133" s="62">
        <v>23.560000000000159</v>
      </c>
      <c r="AQ1133" s="64">
        <v>4.082052749999999</v>
      </c>
      <c r="AR1133" s="56">
        <v>14.89999999999991</v>
      </c>
      <c r="AS1133" s="56">
        <v>16.39999999999997</v>
      </c>
      <c r="AT1133" s="62">
        <v>20.679999999999939</v>
      </c>
      <c r="AV1133" s="64">
        <v>3.728118733333333</v>
      </c>
      <c r="AW1133" s="56">
        <v>14.400000000000009</v>
      </c>
      <c r="AX1133" s="56">
        <v>15.920000000000019</v>
      </c>
      <c r="AY1133" s="62">
        <v>20.86000000000006</v>
      </c>
      <c r="BA1133" s="64">
        <v>3.1786317333333329</v>
      </c>
      <c r="BB1133" s="56">
        <v>16.659999999999989</v>
      </c>
      <c r="BC1133" s="56">
        <v>19.179999999999971</v>
      </c>
      <c r="BD1133" s="62">
        <v>31.400000000000009</v>
      </c>
      <c r="BF1133" s="64">
        <v>2.919683266666667</v>
      </c>
      <c r="BG1133" s="56">
        <v>20.38000000000002</v>
      </c>
      <c r="BH1133" s="56">
        <v>27.13999999999999</v>
      </c>
      <c r="BI1133" s="62">
        <v>57.100000000000058</v>
      </c>
      <c r="BJ1133" s="70"/>
      <c r="BK1133" s="51"/>
    </row>
    <row r="1134" spans="1:63" x14ac:dyDescent="0.4">
      <c r="A1134" s="147" t="s">
        <v>1211</v>
      </c>
      <c r="G1134" s="147" t="s">
        <v>1211</v>
      </c>
      <c r="H1134" s="159">
        <v>70.111999999999995</v>
      </c>
      <c r="I1134" s="153">
        <v>70.37</v>
      </c>
      <c r="J1134" s="153">
        <v>70.290000000000006</v>
      </c>
      <c r="K1134" s="153">
        <v>70.28</v>
      </c>
      <c r="L1134" s="153">
        <v>70.36</v>
      </c>
      <c r="M1134" s="80">
        <f t="shared" si="34"/>
        <v>70.37</v>
      </c>
      <c r="N1134" s="80">
        <f t="shared" si="35"/>
        <v>70.28</v>
      </c>
      <c r="O1134" s="153">
        <v>21.18</v>
      </c>
      <c r="P1134" s="153">
        <v>21.1</v>
      </c>
      <c r="Q1134" s="153">
        <v>21.05</v>
      </c>
      <c r="R1134" s="153">
        <v>21</v>
      </c>
      <c r="S1134" s="4"/>
      <c r="U1134" s="147" t="s">
        <v>1211</v>
      </c>
      <c r="V1134" s="11"/>
      <c r="W1134" s="4"/>
      <c r="X1134" s="12"/>
      <c r="Y1134" s="14"/>
      <c r="Z1134" s="4"/>
      <c r="AA1134" s="13"/>
      <c r="AB1134" s="11"/>
      <c r="AC1134" s="4"/>
      <c r="AD1134" s="12"/>
      <c r="AE1134" s="13"/>
      <c r="AF1134" s="14">
        <v>5.0019999999999998</v>
      </c>
      <c r="AG1134" s="133"/>
      <c r="AI1134" s="96"/>
      <c r="AL1134" s="64">
        <v>4.1715448166666667</v>
      </c>
      <c r="AM1134" s="56">
        <v>14.03999999999996</v>
      </c>
      <c r="AN1134" s="56">
        <v>15.95999999999993</v>
      </c>
      <c r="AO1134" s="62">
        <v>22.100000000000009</v>
      </c>
      <c r="AQ1134" s="64">
        <v>4.0817169833333322</v>
      </c>
      <c r="AR1134" s="56">
        <v>13.72</v>
      </c>
      <c r="AS1134" s="56">
        <v>15.09999999999998</v>
      </c>
      <c r="AT1134" s="62">
        <v>19.160000000000021</v>
      </c>
      <c r="AV1134" s="64">
        <v>3.7281724666666669</v>
      </c>
      <c r="AW1134" s="56">
        <v>13.320000000000039</v>
      </c>
      <c r="AX1134" s="56">
        <v>14.72000000000007</v>
      </c>
      <c r="AY1134" s="62">
        <v>19.399999999999999</v>
      </c>
      <c r="BA1134" s="64">
        <v>3.188040066666666</v>
      </c>
      <c r="BB1134" s="56">
        <v>15.919999999999931</v>
      </c>
      <c r="BC1134" s="56">
        <v>18.31999999999994</v>
      </c>
      <c r="BD1134" s="62">
        <v>30.039999999999981</v>
      </c>
      <c r="BF1134" s="64">
        <v>2.9355391166666669</v>
      </c>
      <c r="BG1134" s="56">
        <v>19.480000000000079</v>
      </c>
      <c r="BH1134" s="56">
        <v>26.200000000000049</v>
      </c>
      <c r="BI1134" s="62">
        <v>54.48000000000004</v>
      </c>
      <c r="BJ1134" s="70"/>
      <c r="BK1134" s="51"/>
    </row>
    <row r="1135" spans="1:63" x14ac:dyDescent="0.4">
      <c r="A1135" s="147" t="s">
        <v>1212</v>
      </c>
      <c r="G1135" s="147" t="s">
        <v>1212</v>
      </c>
      <c r="H1135" s="159">
        <v>70.067999999999998</v>
      </c>
      <c r="I1135" s="153">
        <v>70.319999999999993</v>
      </c>
      <c r="J1135" s="153">
        <v>70.33</v>
      </c>
      <c r="K1135" s="153">
        <v>70.27</v>
      </c>
      <c r="L1135" s="153">
        <v>70.3</v>
      </c>
      <c r="M1135" s="80">
        <f t="shared" si="34"/>
        <v>70.33</v>
      </c>
      <c r="N1135" s="80">
        <f t="shared" si="35"/>
        <v>70.27</v>
      </c>
      <c r="O1135" s="153">
        <v>21.2</v>
      </c>
      <c r="P1135" s="153">
        <v>21.13</v>
      </c>
      <c r="Q1135" s="153">
        <v>21.12</v>
      </c>
      <c r="R1135" s="153">
        <v>21.1</v>
      </c>
      <c r="S1135" s="4"/>
      <c r="U1135" s="147" t="s">
        <v>1212</v>
      </c>
      <c r="V1135" s="11"/>
      <c r="W1135" s="4"/>
      <c r="X1135" s="12"/>
      <c r="Y1135" s="14"/>
      <c r="Z1135" s="4"/>
      <c r="AA1135" s="13"/>
      <c r="AB1135" s="11"/>
      <c r="AC1135" s="4"/>
      <c r="AD1135" s="12"/>
      <c r="AE1135" s="13"/>
      <c r="AF1135" s="14">
        <v>4.9903000000000004</v>
      </c>
      <c r="AG1135" s="133"/>
      <c r="AI1135" s="96"/>
      <c r="AL1135" s="64">
        <v>4.1719252500000001</v>
      </c>
      <c r="AM1135" s="56">
        <v>13.640000000000009</v>
      </c>
      <c r="AN1135" s="56">
        <v>15.54000000000002</v>
      </c>
      <c r="AO1135" s="62">
        <v>21.679999999999922</v>
      </c>
      <c r="AQ1135" s="64">
        <v>4.0832226166666663</v>
      </c>
      <c r="AR1135" s="56">
        <v>13.56000000000002</v>
      </c>
      <c r="AS1135" s="56">
        <v>14.960000000000131</v>
      </c>
      <c r="AT1135" s="62">
        <v>19.000000000000039</v>
      </c>
      <c r="AV1135" s="64">
        <v>3.7298725500000001</v>
      </c>
      <c r="AW1135" s="56">
        <v>13.12000000000006</v>
      </c>
      <c r="AX1135" s="56">
        <v>14.50000000000005</v>
      </c>
      <c r="AY1135" s="62">
        <v>19.160000000000021</v>
      </c>
      <c r="BA1135" s="64">
        <v>3.1907977000000001</v>
      </c>
      <c r="BB1135" s="56">
        <v>15.619999999999919</v>
      </c>
      <c r="BC1135" s="56">
        <v>17.93999999999993</v>
      </c>
      <c r="BD1135" s="62">
        <v>29.539999999999988</v>
      </c>
      <c r="BF1135" s="64">
        <v>2.9363359999999998</v>
      </c>
      <c r="BG1135" s="56">
        <v>19.439999999999991</v>
      </c>
      <c r="BH1135" s="56">
        <v>25.879999999999988</v>
      </c>
      <c r="BI1135" s="62">
        <v>54.320000000000057</v>
      </c>
      <c r="BJ1135" s="70"/>
      <c r="BK1135" s="51"/>
    </row>
    <row r="1136" spans="1:63" x14ac:dyDescent="0.4">
      <c r="A1136" s="147" t="s">
        <v>1213</v>
      </c>
      <c r="G1136" s="147" t="s">
        <v>1213</v>
      </c>
      <c r="H1136" s="159">
        <v>69.966999999999999</v>
      </c>
      <c r="I1136" s="153">
        <v>70.27</v>
      </c>
      <c r="J1136" s="153">
        <v>70.38</v>
      </c>
      <c r="K1136" s="153">
        <v>70.3</v>
      </c>
      <c r="L1136" s="153">
        <v>70.34</v>
      </c>
      <c r="M1136" s="80">
        <f t="shared" si="34"/>
        <v>70.38</v>
      </c>
      <c r="N1136" s="80">
        <f t="shared" si="35"/>
        <v>70.27</v>
      </c>
      <c r="O1136" s="153">
        <v>21.18</v>
      </c>
      <c r="P1136" s="153">
        <v>21.01</v>
      </c>
      <c r="Q1136" s="153">
        <v>21.16</v>
      </c>
      <c r="R1136" s="153">
        <v>21.05</v>
      </c>
      <c r="S1136" s="4"/>
      <c r="U1136" s="147" t="s">
        <v>1213</v>
      </c>
      <c r="V1136" s="11"/>
      <c r="W1136" s="4"/>
      <c r="X1136" s="12"/>
      <c r="Y1136" s="14"/>
      <c r="Z1136" s="4"/>
      <c r="AA1136" s="13"/>
      <c r="AB1136" s="11"/>
      <c r="AC1136" s="4"/>
      <c r="AD1136" s="12"/>
      <c r="AE1136" s="13"/>
      <c r="AF1136" s="14">
        <v>4.9888000000000003</v>
      </c>
      <c r="AG1136" s="133"/>
      <c r="AI1136" s="96"/>
      <c r="AL1136" s="64">
        <v>4.1711987666666666</v>
      </c>
      <c r="AM1136" s="56">
        <v>13.940000000000021</v>
      </c>
      <c r="AN1136" s="56">
        <v>15.84000000000003</v>
      </c>
      <c r="AO1136" s="62">
        <v>21.979999999999929</v>
      </c>
      <c r="AQ1136" s="64">
        <v>4.0822949500000014</v>
      </c>
      <c r="AR1136" s="56">
        <v>13.57999999999997</v>
      </c>
      <c r="AS1136" s="56">
        <v>14.98000000000008</v>
      </c>
      <c r="AT1136" s="62">
        <v>19.059999999999992</v>
      </c>
      <c r="AV1136" s="64">
        <v>3.7287476000000011</v>
      </c>
      <c r="AW1136" s="56">
        <v>13.14000000000002</v>
      </c>
      <c r="AX1136" s="56">
        <v>14.52</v>
      </c>
      <c r="AY1136" s="62">
        <v>19.240000000000009</v>
      </c>
      <c r="BA1136" s="64">
        <v>3.185624600000001</v>
      </c>
      <c r="BB1136" s="56">
        <v>15.560000000000059</v>
      </c>
      <c r="BC1136" s="56">
        <v>17.960000000000061</v>
      </c>
      <c r="BD1136" s="62">
        <v>29.82000000000005</v>
      </c>
      <c r="BF1136" s="64">
        <v>2.9330988833333329</v>
      </c>
      <c r="BG1136" s="56">
        <v>19.280000000000008</v>
      </c>
      <c r="BH1136" s="56">
        <v>26.259999999999991</v>
      </c>
      <c r="BI1136" s="62">
        <v>55.620000000000047</v>
      </c>
      <c r="BJ1136" s="70"/>
      <c r="BK1136" s="51"/>
    </row>
    <row r="1137" spans="1:63" x14ac:dyDescent="0.4">
      <c r="A1137" s="147" t="s">
        <v>1214</v>
      </c>
      <c r="G1137" s="147" t="s">
        <v>1214</v>
      </c>
      <c r="H1137" s="159">
        <v>70.004999999999995</v>
      </c>
      <c r="I1137" s="153">
        <v>70.28</v>
      </c>
      <c r="J1137" s="153">
        <v>70.36</v>
      </c>
      <c r="K1137" s="153">
        <v>70.31</v>
      </c>
      <c r="L1137" s="153">
        <v>70.39</v>
      </c>
      <c r="M1137" s="80">
        <f t="shared" si="34"/>
        <v>70.39</v>
      </c>
      <c r="N1137" s="80">
        <f t="shared" si="35"/>
        <v>70.28</v>
      </c>
      <c r="O1137" s="153">
        <v>21.12</v>
      </c>
      <c r="P1137" s="153">
        <v>21.09</v>
      </c>
      <c r="Q1137" s="153">
        <v>21.15</v>
      </c>
      <c r="R1137" s="153">
        <v>21.1</v>
      </c>
      <c r="S1137" s="4"/>
      <c r="U1137" s="147" t="s">
        <v>1214</v>
      </c>
      <c r="V1137" s="11"/>
      <c r="W1137" s="4"/>
      <c r="X1137" s="12"/>
      <c r="Y1137" s="14"/>
      <c r="Z1137" s="4"/>
      <c r="AA1137" s="13"/>
      <c r="AB1137" s="11"/>
      <c r="AC1137" s="4"/>
      <c r="AD1137" s="12"/>
      <c r="AE1137" s="13"/>
      <c r="AF1137" s="14">
        <v>5.0176999999999996</v>
      </c>
      <c r="AG1137" s="133"/>
      <c r="AI1137" s="96"/>
      <c r="AL1137" s="64">
        <v>4.1707711333333339</v>
      </c>
      <c r="AM1137" s="56">
        <v>15.799999999999949</v>
      </c>
      <c r="AN1137" s="56">
        <v>17.859999999999939</v>
      </c>
      <c r="AO1137" s="62">
        <v>24.239999999999991</v>
      </c>
      <c r="AQ1137" s="64">
        <v>4.0795602666666673</v>
      </c>
      <c r="AR1137" s="56">
        <v>15.019999999999991</v>
      </c>
      <c r="AS1137" s="56">
        <v>16.54</v>
      </c>
      <c r="AT1137" s="62">
        <v>20.86000000000006</v>
      </c>
      <c r="AV1137" s="64">
        <v>3.726113066666668</v>
      </c>
      <c r="AW1137" s="56">
        <v>14.499999999999959</v>
      </c>
      <c r="AX1137" s="56">
        <v>16.019999999999971</v>
      </c>
      <c r="AY1137" s="62">
        <v>21</v>
      </c>
      <c r="BA1137" s="64">
        <v>3.1809620000000001</v>
      </c>
      <c r="BB1137" s="56">
        <v>16.760000000000019</v>
      </c>
      <c r="BC1137" s="56">
        <v>19.32</v>
      </c>
      <c r="BD1137" s="62">
        <v>31.500000000000039</v>
      </c>
      <c r="BF1137" s="64">
        <v>2.934163583333333</v>
      </c>
      <c r="BG1137" s="56">
        <v>20.440000000000062</v>
      </c>
      <c r="BH1137" s="56">
        <v>27.46000000000004</v>
      </c>
      <c r="BI1137" s="62">
        <v>56.240000000000023</v>
      </c>
      <c r="BJ1137" s="70"/>
      <c r="BK1137" s="51"/>
    </row>
    <row r="1138" spans="1:63" x14ac:dyDescent="0.4">
      <c r="A1138" s="147" t="s">
        <v>1215</v>
      </c>
      <c r="G1138" s="147" t="s">
        <v>1215</v>
      </c>
      <c r="H1138" s="159">
        <v>69.959000000000003</v>
      </c>
      <c r="I1138" s="153">
        <v>70.39</v>
      </c>
      <c r="J1138" s="153">
        <v>70.31</v>
      </c>
      <c r="K1138" s="153">
        <v>70.39</v>
      </c>
      <c r="L1138" s="153">
        <v>70.400000000000006</v>
      </c>
      <c r="M1138" s="80">
        <f t="shared" si="34"/>
        <v>70.400000000000006</v>
      </c>
      <c r="N1138" s="80">
        <f t="shared" si="35"/>
        <v>70.31</v>
      </c>
      <c r="O1138" s="153">
        <v>21.17</v>
      </c>
      <c r="P1138" s="153">
        <v>21.08</v>
      </c>
      <c r="Q1138" s="153">
        <v>21.1</v>
      </c>
      <c r="R1138" s="153">
        <v>21.01</v>
      </c>
      <c r="S1138" s="4"/>
      <c r="U1138" s="147" t="s">
        <v>1215</v>
      </c>
      <c r="V1138" s="11"/>
      <c r="W1138" s="4"/>
      <c r="X1138" s="12"/>
      <c r="Y1138" s="14"/>
      <c r="Z1138" s="4"/>
      <c r="AA1138" s="13"/>
      <c r="AB1138" s="11"/>
      <c r="AC1138" s="4"/>
      <c r="AD1138" s="12"/>
      <c r="AE1138" s="13"/>
      <c r="AF1138" s="14">
        <v>5.0282999999999998</v>
      </c>
      <c r="AG1138" s="133"/>
      <c r="AI1138" s="96"/>
      <c r="AL1138" s="64">
        <v>4.1706405499999999</v>
      </c>
      <c r="AM1138" s="56">
        <v>15.54000000000002</v>
      </c>
      <c r="AN1138" s="56">
        <v>17.560000000000109</v>
      </c>
      <c r="AO1138" s="62">
        <v>23.93999999999998</v>
      </c>
      <c r="AQ1138" s="64">
        <v>4.0812377500000014</v>
      </c>
      <c r="AR1138" s="56">
        <v>15.019999999999991</v>
      </c>
      <c r="AS1138" s="56">
        <v>16.5</v>
      </c>
      <c r="AT1138" s="62">
        <v>20.800000000000018</v>
      </c>
      <c r="AV1138" s="64">
        <v>3.727362400000001</v>
      </c>
      <c r="AW1138" s="56">
        <v>14.499999999999959</v>
      </c>
      <c r="AX1138" s="56">
        <v>16.019999999999971</v>
      </c>
      <c r="AY1138" s="62">
        <v>20.979999999999951</v>
      </c>
      <c r="BA1138" s="64">
        <v>3.181852549999999</v>
      </c>
      <c r="BB1138" s="56">
        <v>17.140000000000018</v>
      </c>
      <c r="BC1138" s="56">
        <v>19.680000000000049</v>
      </c>
      <c r="BD1138" s="62">
        <v>31.939999999999991</v>
      </c>
      <c r="BF1138" s="64">
        <v>2.9354680499999999</v>
      </c>
      <c r="BG1138" s="56">
        <v>20.88000000000001</v>
      </c>
      <c r="BH1138" s="56">
        <v>27.899999999999991</v>
      </c>
      <c r="BI1138" s="62">
        <v>56.760000000000048</v>
      </c>
      <c r="BJ1138" s="70"/>
      <c r="BK1138" s="51"/>
    </row>
    <row r="1139" spans="1:63" x14ac:dyDescent="0.4">
      <c r="A1139" s="147" t="s">
        <v>1216</v>
      </c>
      <c r="G1139" s="147" t="s">
        <v>1216</v>
      </c>
      <c r="H1139" s="159">
        <v>70.028999999999996</v>
      </c>
      <c r="I1139" s="153">
        <v>70.38</v>
      </c>
      <c r="J1139" s="153">
        <v>70.38</v>
      </c>
      <c r="K1139" s="153">
        <v>70.3</v>
      </c>
      <c r="L1139" s="153">
        <v>70.34</v>
      </c>
      <c r="M1139" s="80">
        <f t="shared" si="34"/>
        <v>70.38</v>
      </c>
      <c r="N1139" s="80">
        <f t="shared" si="35"/>
        <v>70.3</v>
      </c>
      <c r="O1139" s="153">
        <v>21.14</v>
      </c>
      <c r="P1139" s="153">
        <v>21.08</v>
      </c>
      <c r="Q1139" s="153">
        <v>21.11</v>
      </c>
      <c r="R1139" s="153">
        <v>21.1</v>
      </c>
      <c r="S1139" s="4"/>
      <c r="U1139" s="147" t="s">
        <v>1216</v>
      </c>
      <c r="V1139" s="11"/>
      <c r="W1139" s="4"/>
      <c r="X1139" s="12"/>
      <c r="Y1139" s="14"/>
      <c r="Z1139" s="4"/>
      <c r="AA1139" s="13"/>
      <c r="AB1139" s="11"/>
      <c r="AC1139" s="4"/>
      <c r="AD1139" s="12"/>
      <c r="AE1139" s="13"/>
      <c r="AF1139" s="14">
        <v>5.0144000000000002</v>
      </c>
      <c r="AG1139" s="133"/>
      <c r="AI1139" s="96"/>
      <c r="AL1139" s="64">
        <v>4.1705567833333337</v>
      </c>
      <c r="AM1139" s="56">
        <v>15.920000000000019</v>
      </c>
      <c r="AN1139" s="56">
        <v>17.960000000000061</v>
      </c>
      <c r="AO1139" s="62">
        <v>24.36000000000007</v>
      </c>
      <c r="AQ1139" s="64">
        <v>4.0787847666666677</v>
      </c>
      <c r="AR1139" s="56">
        <v>15.120000000000109</v>
      </c>
      <c r="AS1139" s="56">
        <v>16.620000000000079</v>
      </c>
      <c r="AT1139" s="62">
        <v>20.96</v>
      </c>
      <c r="AV1139" s="64">
        <v>3.7249357500000002</v>
      </c>
      <c r="AW1139" s="56">
        <v>14.580000000000039</v>
      </c>
      <c r="AX1139" s="56">
        <v>16.080000000000009</v>
      </c>
      <c r="AY1139" s="62">
        <v>21.079999999999991</v>
      </c>
      <c r="BA1139" s="64">
        <v>3.1798655166666672</v>
      </c>
      <c r="BB1139" s="56">
        <v>16.840000000000011</v>
      </c>
      <c r="BC1139" s="56">
        <v>19.36</v>
      </c>
      <c r="BD1139" s="62">
        <v>31.559999999999992</v>
      </c>
      <c r="BF1139" s="64">
        <v>2.9344337500000002</v>
      </c>
      <c r="BG1139" s="56">
        <v>20.699999999999989</v>
      </c>
      <c r="BH1139" s="56">
        <v>27.679999999999971</v>
      </c>
      <c r="BI1139" s="62">
        <v>56.460000000000043</v>
      </c>
      <c r="BJ1139" s="70"/>
      <c r="BK1139" s="51"/>
    </row>
    <row r="1140" spans="1:63" x14ac:dyDescent="0.4">
      <c r="A1140" s="147" t="s">
        <v>1217</v>
      </c>
      <c r="G1140" s="147" t="s">
        <v>1217</v>
      </c>
      <c r="H1140" s="159">
        <v>69.998000000000005</v>
      </c>
      <c r="I1140" s="153">
        <v>70.28</v>
      </c>
      <c r="J1140" s="153">
        <v>70.28</v>
      </c>
      <c r="K1140" s="153">
        <v>70.400000000000006</v>
      </c>
      <c r="L1140" s="153">
        <v>70.31</v>
      </c>
      <c r="M1140" s="80">
        <f t="shared" si="34"/>
        <v>70.400000000000006</v>
      </c>
      <c r="N1140" s="80">
        <f t="shared" si="35"/>
        <v>70.28</v>
      </c>
      <c r="O1140" s="153">
        <v>21.17</v>
      </c>
      <c r="P1140" s="153">
        <v>21.15</v>
      </c>
      <c r="Q1140" s="153">
        <v>21.14</v>
      </c>
      <c r="R1140" s="153">
        <v>21.05</v>
      </c>
      <c r="S1140" s="4"/>
      <c r="U1140" s="147" t="s">
        <v>1217</v>
      </c>
      <c r="V1140" s="11"/>
      <c r="W1140" s="4"/>
      <c r="X1140" s="12"/>
      <c r="Y1140" s="14"/>
      <c r="Z1140" s="4"/>
      <c r="AA1140" s="13"/>
      <c r="AB1140" s="11"/>
      <c r="AC1140" s="4"/>
      <c r="AD1140" s="12"/>
      <c r="AE1140" s="13"/>
      <c r="AF1140" s="14">
        <v>5.0130999999999997</v>
      </c>
      <c r="AG1140" s="133"/>
      <c r="AI1140" s="96"/>
      <c r="AL1140" s="64">
        <v>4.1708177333333332</v>
      </c>
      <c r="AM1140" s="56">
        <v>15.41999999999994</v>
      </c>
      <c r="AN1140" s="56">
        <v>17.419999999999899</v>
      </c>
      <c r="AO1140" s="62">
        <v>23.799999999999951</v>
      </c>
      <c r="AQ1140" s="64">
        <v>4.0805129999999998</v>
      </c>
      <c r="AR1140" s="56">
        <v>14.799999999999971</v>
      </c>
      <c r="AS1140" s="56">
        <v>16.27999999999998</v>
      </c>
      <c r="AT1140" s="62">
        <v>20.639999999999951</v>
      </c>
      <c r="AV1140" s="64">
        <v>3.727064266666666</v>
      </c>
      <c r="AW1140" s="56">
        <v>14.33999999999997</v>
      </c>
      <c r="AX1140" s="56">
        <v>15.84000000000003</v>
      </c>
      <c r="AY1140" s="62">
        <v>20.77999999999998</v>
      </c>
      <c r="BA1140" s="64">
        <v>3.1821066166666672</v>
      </c>
      <c r="BB1140" s="56">
        <v>16.54</v>
      </c>
      <c r="BC1140" s="56">
        <v>19.059999999999992</v>
      </c>
      <c r="BD1140" s="62">
        <v>31.13999999999999</v>
      </c>
      <c r="BF1140" s="64">
        <v>2.933892133333333</v>
      </c>
      <c r="BG1140" s="56">
        <v>20.16</v>
      </c>
      <c r="BH1140" s="56">
        <v>26.719999999999992</v>
      </c>
      <c r="BI1140" s="62">
        <v>55.039999999999978</v>
      </c>
      <c r="BJ1140" s="70"/>
      <c r="BK1140" s="51"/>
    </row>
    <row r="1141" spans="1:63" x14ac:dyDescent="0.4">
      <c r="A1141" s="147" t="s">
        <v>1218</v>
      </c>
      <c r="G1141" s="147" t="s">
        <v>1218</v>
      </c>
      <c r="H1141" s="159">
        <v>69.983999999999995</v>
      </c>
      <c r="I1141" s="153">
        <v>70.37</v>
      </c>
      <c r="J1141" s="153">
        <v>70.37</v>
      </c>
      <c r="K1141" s="153">
        <v>70.38</v>
      </c>
      <c r="L1141" s="153">
        <v>70.400000000000006</v>
      </c>
      <c r="M1141" s="80">
        <f t="shared" si="34"/>
        <v>70.400000000000006</v>
      </c>
      <c r="N1141" s="80">
        <f t="shared" si="35"/>
        <v>70.37</v>
      </c>
      <c r="O1141" s="153">
        <v>21.22</v>
      </c>
      <c r="P1141" s="153">
        <v>21.02</v>
      </c>
      <c r="Q1141" s="153">
        <v>21.05</v>
      </c>
      <c r="R1141" s="153">
        <v>21.02</v>
      </c>
      <c r="S1141" s="4"/>
      <c r="U1141" s="147" t="s">
        <v>1218</v>
      </c>
      <c r="V1141" s="11"/>
      <c r="W1141" s="4"/>
      <c r="X1141" s="12"/>
      <c r="Y1141" s="14"/>
      <c r="Z1141" s="4"/>
      <c r="AA1141" s="13"/>
      <c r="AB1141" s="11"/>
      <c r="AC1141" s="4"/>
      <c r="AD1141" s="12"/>
      <c r="AE1141" s="13"/>
      <c r="AF1141" s="14">
        <v>5.0029000000000003</v>
      </c>
      <c r="AG1141" s="133"/>
      <c r="AI1141" s="96"/>
      <c r="AL1141" s="64">
        <v>4.1715518833333336</v>
      </c>
      <c r="AM1141" s="56">
        <v>15.16000000000002</v>
      </c>
      <c r="AN1141" s="56">
        <v>17.179999999999929</v>
      </c>
      <c r="AO1141" s="62">
        <v>23.46000000000004</v>
      </c>
      <c r="AQ1141" s="64">
        <v>4.081901966666666</v>
      </c>
      <c r="AR1141" s="56">
        <v>15.039999999999941</v>
      </c>
      <c r="AS1141" s="56">
        <v>16.54</v>
      </c>
      <c r="AT1141" s="62">
        <v>20.86000000000006</v>
      </c>
      <c r="AV1141" s="64">
        <v>3.7276940166666659</v>
      </c>
      <c r="AW1141" s="56">
        <v>14.57999999999995</v>
      </c>
      <c r="AX1141" s="56">
        <v>16.07999999999992</v>
      </c>
      <c r="AY1141" s="62">
        <v>21.059999999999949</v>
      </c>
      <c r="BA1141" s="64">
        <v>3.1777303666666672</v>
      </c>
      <c r="BB1141" s="56">
        <v>16.72000000000002</v>
      </c>
      <c r="BC1141" s="56">
        <v>19.280000000000008</v>
      </c>
      <c r="BD1141" s="62">
        <v>31.559999999999992</v>
      </c>
      <c r="BF1141" s="64">
        <v>2.921302400000001</v>
      </c>
      <c r="BG1141" s="56">
        <v>20.439999999999969</v>
      </c>
      <c r="BH1141" s="56">
        <v>27.099999999999991</v>
      </c>
      <c r="BI1141" s="62">
        <v>56.839999999999961</v>
      </c>
      <c r="BJ1141" s="70"/>
      <c r="BK1141" s="51"/>
    </row>
    <row r="1142" spans="1:63" x14ac:dyDescent="0.4">
      <c r="A1142" s="147" t="s">
        <v>1219</v>
      </c>
      <c r="G1142" s="147" t="s">
        <v>1219</v>
      </c>
      <c r="H1142" s="159">
        <v>70.033000000000001</v>
      </c>
      <c r="I1142" s="153">
        <v>70.3</v>
      </c>
      <c r="J1142" s="153">
        <v>70.28</v>
      </c>
      <c r="K1142" s="153">
        <v>70.319999999999993</v>
      </c>
      <c r="L1142" s="153">
        <v>70.290000000000006</v>
      </c>
      <c r="M1142" s="80">
        <f t="shared" si="34"/>
        <v>70.319999999999993</v>
      </c>
      <c r="N1142" s="80">
        <f t="shared" si="35"/>
        <v>70.28</v>
      </c>
      <c r="O1142" s="153">
        <v>21.07</v>
      </c>
      <c r="P1142" s="153">
        <v>21.03</v>
      </c>
      <c r="Q1142" s="153">
        <v>21.14</v>
      </c>
      <c r="R1142" s="153">
        <v>21.04</v>
      </c>
      <c r="S1142" s="4"/>
      <c r="U1142" s="147" t="s">
        <v>1219</v>
      </c>
      <c r="V1142" s="11"/>
      <c r="W1142" s="4"/>
      <c r="X1142" s="12"/>
      <c r="Y1142" s="14"/>
      <c r="Z1142" s="4"/>
      <c r="AA1142" s="13"/>
      <c r="AB1142" s="11"/>
      <c r="AC1142" s="4"/>
      <c r="AD1142" s="12"/>
      <c r="AE1142" s="13"/>
      <c r="AF1142" s="14">
        <v>5.0214999999999996</v>
      </c>
      <c r="AG1142" s="133"/>
      <c r="AI1142" s="96"/>
      <c r="AL1142" s="64">
        <v>4.1711556166666668</v>
      </c>
      <c r="AM1142" s="56">
        <v>16.040000000000099</v>
      </c>
      <c r="AN1142" s="56">
        <v>18.079999999999959</v>
      </c>
      <c r="AO1142" s="62">
        <v>24.460000000000019</v>
      </c>
      <c r="AQ1142" s="64">
        <v>4.080077066666667</v>
      </c>
      <c r="AR1142" s="56">
        <v>15.259999999999961</v>
      </c>
      <c r="AS1142" s="56">
        <v>16.79999999999993</v>
      </c>
      <c r="AT1142" s="62">
        <v>21.13999999999994</v>
      </c>
      <c r="AV1142" s="64">
        <v>3.725652283333333</v>
      </c>
      <c r="AW1142" s="56">
        <v>14.699999999999941</v>
      </c>
      <c r="AX1142" s="56">
        <v>16.219999999999949</v>
      </c>
      <c r="AY1142" s="62">
        <v>21.199999999999971</v>
      </c>
      <c r="BA1142" s="64">
        <v>3.1736561333333331</v>
      </c>
      <c r="BB1142" s="56">
        <v>16.88000000000001</v>
      </c>
      <c r="BC1142" s="56">
        <v>19.420000000000041</v>
      </c>
      <c r="BD1142" s="62">
        <v>31.80000000000005</v>
      </c>
      <c r="BF1142" s="64">
        <v>2.9193483833333329</v>
      </c>
      <c r="BG1142" s="56">
        <v>20.460000000000012</v>
      </c>
      <c r="BH1142" s="56">
        <v>27.280000000000019</v>
      </c>
      <c r="BI1142" s="62">
        <v>57.059999999999981</v>
      </c>
      <c r="BJ1142" s="70"/>
      <c r="BK1142" s="51"/>
    </row>
    <row r="1143" spans="1:63" x14ac:dyDescent="0.4">
      <c r="A1143" s="147" t="s">
        <v>1220</v>
      </c>
      <c r="G1143" s="147" t="s">
        <v>1220</v>
      </c>
      <c r="H1143" s="159">
        <v>70.257999999999996</v>
      </c>
      <c r="I1143" s="153">
        <v>70.27</v>
      </c>
      <c r="J1143" s="153">
        <v>70.319999999999993</v>
      </c>
      <c r="K1143" s="153">
        <v>70.37</v>
      </c>
      <c r="L1143" s="153">
        <v>70.34</v>
      </c>
      <c r="M1143" s="80">
        <f t="shared" si="34"/>
        <v>70.37</v>
      </c>
      <c r="N1143" s="80">
        <f t="shared" si="35"/>
        <v>70.27</v>
      </c>
      <c r="O1143" s="153">
        <v>21.14</v>
      </c>
      <c r="P1143" s="153">
        <v>21.15</v>
      </c>
      <c r="Q1143" s="153">
        <v>21.15</v>
      </c>
      <c r="R1143" s="153">
        <v>21.05</v>
      </c>
      <c r="S1143" s="4"/>
      <c r="U1143" s="147" t="s">
        <v>1220</v>
      </c>
      <c r="V1143" s="11"/>
      <c r="W1143" s="4"/>
      <c r="X1143" s="12"/>
      <c r="Y1143" s="14"/>
      <c r="Z1143" s="4"/>
      <c r="AA1143" s="13"/>
      <c r="AB1143" s="11"/>
      <c r="AC1143" s="4"/>
      <c r="AD1143" s="12"/>
      <c r="AE1143" s="13"/>
      <c r="AF1143" s="14">
        <v>4.9992999999999999</v>
      </c>
      <c r="AG1143" s="133"/>
      <c r="AI1143" s="96"/>
      <c r="AL1143" s="64">
        <v>4.1710875000000014</v>
      </c>
      <c r="AM1143" s="56">
        <v>15.06000000000007</v>
      </c>
      <c r="AN1143" s="56">
        <v>17.060000000000031</v>
      </c>
      <c r="AO1143" s="62">
        <v>23.340000000000138</v>
      </c>
      <c r="AQ1143" s="64">
        <v>4.0827149166666672</v>
      </c>
      <c r="AR1143" s="56">
        <v>14.979999999999899</v>
      </c>
      <c r="AS1143" s="56">
        <v>16.499999999999911</v>
      </c>
      <c r="AT1143" s="62">
        <v>20.77999999999998</v>
      </c>
      <c r="AV1143" s="64">
        <v>3.7287719833333339</v>
      </c>
      <c r="AW1143" s="56">
        <v>14.57999999999995</v>
      </c>
      <c r="AX1143" s="56">
        <v>16.080000000000009</v>
      </c>
      <c r="AY1143" s="62">
        <v>21.039999999999988</v>
      </c>
      <c r="BA1143" s="64">
        <v>3.1834183666666669</v>
      </c>
      <c r="BB1143" s="56">
        <v>16.739999999999981</v>
      </c>
      <c r="BC1143" s="56">
        <v>19.25999999999997</v>
      </c>
      <c r="BD1143" s="62">
        <v>31.37999999999996</v>
      </c>
      <c r="BF1143" s="64">
        <v>2.923982416666667</v>
      </c>
      <c r="BG1143" s="56">
        <v>20.61999999999999</v>
      </c>
      <c r="BH1143" s="56">
        <v>27.299999999999969</v>
      </c>
      <c r="BI1143" s="62">
        <v>56.959999999999937</v>
      </c>
      <c r="BJ1143" s="70"/>
      <c r="BK1143" s="51"/>
    </row>
    <row r="1144" spans="1:63" x14ac:dyDescent="0.4">
      <c r="A1144" s="147" t="s">
        <v>1221</v>
      </c>
      <c r="G1144" s="147" t="s">
        <v>1221</v>
      </c>
      <c r="H1144" s="159">
        <v>70.102000000000004</v>
      </c>
      <c r="I1144" s="153">
        <v>70.31</v>
      </c>
      <c r="J1144" s="153">
        <v>70.36</v>
      </c>
      <c r="K1144" s="153">
        <v>70.3</v>
      </c>
      <c r="L1144" s="153">
        <v>70.27</v>
      </c>
      <c r="M1144" s="80">
        <f t="shared" si="34"/>
        <v>70.36</v>
      </c>
      <c r="N1144" s="80">
        <f t="shared" si="35"/>
        <v>70.27</v>
      </c>
      <c r="O1144" s="153">
        <v>21.19</v>
      </c>
      <c r="P1144" s="153">
        <v>21.13</v>
      </c>
      <c r="Q1144" s="153">
        <v>21.17</v>
      </c>
      <c r="R1144" s="153">
        <v>21.06</v>
      </c>
      <c r="S1144" s="4"/>
      <c r="U1144" s="147" t="s">
        <v>1221</v>
      </c>
      <c r="V1144" s="11"/>
      <c r="W1144" s="4"/>
      <c r="X1144" s="12"/>
      <c r="Y1144" s="14"/>
      <c r="Z1144" s="4"/>
      <c r="AA1144" s="13"/>
      <c r="AB1144" s="11"/>
      <c r="AC1144" s="4"/>
      <c r="AD1144" s="12"/>
      <c r="AE1144" s="13"/>
      <c r="AF1144" s="14">
        <v>4.9993999999999996</v>
      </c>
      <c r="AG1144" s="133"/>
      <c r="AI1144" s="96"/>
      <c r="AL1144" s="64">
        <v>4.171751116666667</v>
      </c>
      <c r="AM1144" s="56">
        <v>13.999999999999879</v>
      </c>
      <c r="AN1144" s="56">
        <v>15.87999999999994</v>
      </c>
      <c r="AO1144" s="62">
        <v>22.059999999999921</v>
      </c>
      <c r="AQ1144" s="64">
        <v>4.0826709500000007</v>
      </c>
      <c r="AR1144" s="56">
        <v>13.899999999999929</v>
      </c>
      <c r="AS1144" s="56">
        <v>15.279999999999919</v>
      </c>
      <c r="AT1144" s="62">
        <v>19.32</v>
      </c>
      <c r="AV1144" s="64">
        <v>3.7308674833333328</v>
      </c>
      <c r="AW1144" s="56">
        <v>13.45999999999998</v>
      </c>
      <c r="AX1144" s="56">
        <v>14.86000000000001</v>
      </c>
      <c r="AY1144" s="62">
        <v>19.54000000000002</v>
      </c>
      <c r="BA1144" s="64">
        <v>3.2045714333333328</v>
      </c>
      <c r="BB1144" s="56">
        <v>15.62000000000001</v>
      </c>
      <c r="BC1144" s="56">
        <v>17.860000000000031</v>
      </c>
      <c r="BD1144" s="62">
        <v>28.88000000000002</v>
      </c>
      <c r="BF1144" s="64">
        <v>2.9347167833333332</v>
      </c>
      <c r="BG1144" s="56">
        <v>19.30000000000005</v>
      </c>
      <c r="BH1144" s="56">
        <v>25.699999999999971</v>
      </c>
      <c r="BI1144" s="62">
        <v>53.479999999999983</v>
      </c>
      <c r="BJ1144" s="70"/>
      <c r="BK1144" s="51"/>
    </row>
    <row r="1145" spans="1:63" x14ac:dyDescent="0.4">
      <c r="A1145" s="147" t="s">
        <v>1222</v>
      </c>
      <c r="G1145" s="147" t="s">
        <v>1222</v>
      </c>
      <c r="H1145" s="159">
        <v>70.03</v>
      </c>
      <c r="I1145" s="153">
        <v>70.37</v>
      </c>
      <c r="J1145" s="153">
        <v>70.349999999999994</v>
      </c>
      <c r="K1145" s="153">
        <v>70.37</v>
      </c>
      <c r="L1145" s="153">
        <v>70.28</v>
      </c>
      <c r="M1145" s="80">
        <f t="shared" si="34"/>
        <v>70.37</v>
      </c>
      <c r="N1145" s="80">
        <f t="shared" si="35"/>
        <v>70.28</v>
      </c>
      <c r="O1145" s="153">
        <v>21.2</v>
      </c>
      <c r="P1145" s="153">
        <v>21.17</v>
      </c>
      <c r="Q1145" s="153">
        <v>21.09</v>
      </c>
      <c r="R1145" s="153">
        <v>21.04</v>
      </c>
      <c r="S1145" s="4"/>
      <c r="U1145" s="147" t="s">
        <v>1222</v>
      </c>
      <c r="V1145" s="11"/>
      <c r="W1145" s="4"/>
      <c r="X1145" s="12"/>
      <c r="Y1145" s="14"/>
      <c r="Z1145" s="4"/>
      <c r="AA1145" s="13"/>
      <c r="AB1145" s="11"/>
      <c r="AC1145" s="4"/>
      <c r="AD1145" s="12"/>
      <c r="AE1145" s="13"/>
      <c r="AF1145" s="14">
        <v>4.9942000000000002</v>
      </c>
      <c r="AG1145" s="133"/>
      <c r="AI1145" s="96"/>
      <c r="AL1145" s="64">
        <v>4.1710099666666673</v>
      </c>
      <c r="AM1145" s="56">
        <v>14.400000000000009</v>
      </c>
      <c r="AN1145" s="56">
        <v>16.300000000000029</v>
      </c>
      <c r="AO1145" s="62">
        <v>22.480000000000011</v>
      </c>
      <c r="AQ1145" s="64">
        <v>4.0815003499999989</v>
      </c>
      <c r="AR1145" s="56">
        <v>14.00000000000006</v>
      </c>
      <c r="AS1145" s="56">
        <v>15.39999999999999</v>
      </c>
      <c r="AT1145" s="62">
        <v>19.49999999999994</v>
      </c>
      <c r="AV1145" s="64">
        <v>3.7287721166666672</v>
      </c>
      <c r="AW1145" s="56">
        <v>13.620000000000051</v>
      </c>
      <c r="AX1145" s="56">
        <v>15.019999999999991</v>
      </c>
      <c r="AY1145" s="62">
        <v>19.760000000000041</v>
      </c>
      <c r="BA1145" s="64">
        <v>3.194374133333334</v>
      </c>
      <c r="BB1145" s="56">
        <v>16.219999999999949</v>
      </c>
      <c r="BC1145" s="56">
        <v>18.559999999999999</v>
      </c>
      <c r="BD1145" s="62">
        <v>30.07999999999997</v>
      </c>
      <c r="BF1145" s="64">
        <v>2.936067033333333</v>
      </c>
      <c r="BG1145" s="56">
        <v>19.979999999999979</v>
      </c>
      <c r="BH1145" s="56">
        <v>26.560000000000009</v>
      </c>
      <c r="BI1145" s="62">
        <v>54.8</v>
      </c>
      <c r="BJ1145" s="70"/>
      <c r="BK1145" s="51"/>
    </row>
    <row r="1146" spans="1:63" x14ac:dyDescent="0.4">
      <c r="A1146" s="147" t="s">
        <v>1223</v>
      </c>
      <c r="G1146" s="147" t="s">
        <v>1223</v>
      </c>
      <c r="H1146" s="159">
        <v>70.004000000000005</v>
      </c>
      <c r="I1146" s="153">
        <v>70.38</v>
      </c>
      <c r="J1146" s="153">
        <v>70.349999999999994</v>
      </c>
      <c r="K1146" s="153">
        <v>70.34</v>
      </c>
      <c r="L1146" s="153">
        <v>70.349999999999994</v>
      </c>
      <c r="M1146" s="80">
        <f t="shared" si="34"/>
        <v>70.38</v>
      </c>
      <c r="N1146" s="80">
        <f t="shared" si="35"/>
        <v>70.34</v>
      </c>
      <c r="O1146" s="153">
        <v>21.18</v>
      </c>
      <c r="P1146" s="153">
        <v>21.11</v>
      </c>
      <c r="Q1146" s="153">
        <v>21.13</v>
      </c>
      <c r="R1146" s="153">
        <v>21.02</v>
      </c>
      <c r="S1146" s="4"/>
      <c r="U1146" s="147" t="s">
        <v>1223</v>
      </c>
      <c r="V1146" s="11"/>
      <c r="W1146" s="4"/>
      <c r="X1146" s="12"/>
      <c r="Y1146" s="14"/>
      <c r="Z1146" s="4"/>
      <c r="AA1146" s="13"/>
      <c r="AB1146" s="11"/>
      <c r="AC1146" s="4"/>
      <c r="AD1146" s="12"/>
      <c r="AE1146" s="13"/>
      <c r="AF1146" s="14">
        <v>4.9942000000000002</v>
      </c>
      <c r="AG1146" s="133"/>
      <c r="AI1146" s="96"/>
      <c r="AL1146" s="64">
        <v>4.1702643999999998</v>
      </c>
      <c r="AM1146" s="56">
        <v>14.02000000000001</v>
      </c>
      <c r="AN1146" s="56">
        <v>15.90000000000007</v>
      </c>
      <c r="AO1146" s="62">
        <v>22.060000000000102</v>
      </c>
      <c r="AQ1146" s="64">
        <v>4.0827790833333344</v>
      </c>
      <c r="AR1146" s="56">
        <v>13.78000000000004</v>
      </c>
      <c r="AS1146" s="56">
        <v>15.199999999999919</v>
      </c>
      <c r="AT1146" s="62">
        <v>19.319999999999919</v>
      </c>
      <c r="AV1146" s="64">
        <v>3.7294815666666672</v>
      </c>
      <c r="AW1146" s="56">
        <v>13.400000000000031</v>
      </c>
      <c r="AX1146" s="56">
        <v>14.780000000000021</v>
      </c>
      <c r="AY1146" s="62">
        <v>19.54000000000002</v>
      </c>
      <c r="BA1146" s="64">
        <v>3.1874301333333341</v>
      </c>
      <c r="BB1146" s="56">
        <v>16.099999999999959</v>
      </c>
      <c r="BC1146" s="56">
        <v>18.53999999999996</v>
      </c>
      <c r="BD1146" s="62">
        <v>30.45999999999998</v>
      </c>
      <c r="BF1146" s="64">
        <v>2.9378158833333332</v>
      </c>
      <c r="BG1146" s="56">
        <v>19.840000000000039</v>
      </c>
      <c r="BH1146" s="56">
        <v>26.74000000000003</v>
      </c>
      <c r="BI1146" s="62">
        <v>55.6</v>
      </c>
      <c r="BJ1146" s="70"/>
      <c r="BK1146" s="51"/>
    </row>
    <row r="1147" spans="1:63" x14ac:dyDescent="0.4">
      <c r="A1147" s="147" t="s">
        <v>1224</v>
      </c>
      <c r="G1147" s="147" t="s">
        <v>1224</v>
      </c>
      <c r="H1147" s="159">
        <v>70.004999999999995</v>
      </c>
      <c r="I1147" s="153">
        <v>70.38</v>
      </c>
      <c r="J1147" s="153">
        <v>70.349999999999994</v>
      </c>
      <c r="K1147" s="153">
        <v>70.349999999999994</v>
      </c>
      <c r="L1147" s="153">
        <v>70.400000000000006</v>
      </c>
      <c r="M1147" s="80">
        <f t="shared" si="34"/>
        <v>70.400000000000006</v>
      </c>
      <c r="N1147" s="80">
        <f t="shared" si="35"/>
        <v>70.349999999999994</v>
      </c>
      <c r="O1147" s="153">
        <v>21.19</v>
      </c>
      <c r="P1147" s="153">
        <v>21.04</v>
      </c>
      <c r="Q1147" s="153">
        <v>21.14</v>
      </c>
      <c r="R1147" s="153">
        <v>21.06</v>
      </c>
      <c r="S1147" s="4"/>
      <c r="U1147" s="147" t="s">
        <v>1224</v>
      </c>
      <c r="V1147" s="11"/>
      <c r="W1147" s="4"/>
      <c r="X1147" s="12"/>
      <c r="Y1147" s="14"/>
      <c r="Z1147" s="4"/>
      <c r="AA1147" s="13"/>
      <c r="AB1147" s="11"/>
      <c r="AC1147" s="4"/>
      <c r="AD1147" s="12"/>
      <c r="AE1147" s="13"/>
      <c r="AF1147" s="14">
        <v>5.0151000000000003</v>
      </c>
      <c r="AG1147" s="133"/>
      <c r="AI1147" s="96"/>
      <c r="AL1147" s="64">
        <v>4.1702413666666667</v>
      </c>
      <c r="AM1147" s="56">
        <v>15.680000000000049</v>
      </c>
      <c r="AN1147" s="56">
        <v>17.700000000000141</v>
      </c>
      <c r="AO1147" s="62">
        <v>24.10000000000014</v>
      </c>
      <c r="AQ1147" s="64">
        <v>4.0805954333333316</v>
      </c>
      <c r="AR1147" s="56">
        <v>15.15999999999984</v>
      </c>
      <c r="AS1147" s="56">
        <v>16.659999999999901</v>
      </c>
      <c r="AT1147" s="62">
        <v>20.999999999999911</v>
      </c>
      <c r="AV1147" s="64">
        <v>3.7265171166666669</v>
      </c>
      <c r="AW1147" s="56">
        <v>14.619999999999941</v>
      </c>
      <c r="AX1147" s="56">
        <v>16.12</v>
      </c>
      <c r="AY1147" s="62">
        <v>21.140000000000029</v>
      </c>
      <c r="BA1147" s="64">
        <v>3.180214133333334</v>
      </c>
      <c r="BB1147" s="56">
        <v>16.85999999999996</v>
      </c>
      <c r="BC1147" s="56">
        <v>19.399999999999999</v>
      </c>
      <c r="BD1147" s="62">
        <v>31.619999999999941</v>
      </c>
      <c r="BF1147" s="64">
        <v>2.935723616666666</v>
      </c>
      <c r="BG1147" s="56">
        <v>20.64000000000004</v>
      </c>
      <c r="BH1147" s="56">
        <v>27.540000000000031</v>
      </c>
      <c r="BI1147" s="62">
        <v>56.300000000000061</v>
      </c>
      <c r="BJ1147" s="70"/>
      <c r="BK1147" s="51"/>
    </row>
    <row r="1148" spans="1:63" x14ac:dyDescent="0.4">
      <c r="A1148" s="147" t="s">
        <v>1225</v>
      </c>
      <c r="G1148" s="147" t="s">
        <v>1225</v>
      </c>
      <c r="H1148" s="159">
        <v>69.980999999999995</v>
      </c>
      <c r="I1148" s="153">
        <v>70.37</v>
      </c>
      <c r="J1148" s="153">
        <v>70.33</v>
      </c>
      <c r="K1148" s="153">
        <v>70.36</v>
      </c>
      <c r="L1148" s="153">
        <v>70.319999999999993</v>
      </c>
      <c r="M1148" s="80">
        <f t="shared" si="34"/>
        <v>70.37</v>
      </c>
      <c r="N1148" s="80">
        <f t="shared" si="35"/>
        <v>70.319999999999993</v>
      </c>
      <c r="O1148" s="153">
        <v>21.19</v>
      </c>
      <c r="P1148" s="153">
        <v>21.12</v>
      </c>
      <c r="Q1148" s="153">
        <v>21.1</v>
      </c>
      <c r="R1148" s="153">
        <v>21.07</v>
      </c>
      <c r="S1148" s="4"/>
      <c r="U1148" s="147" t="s">
        <v>1225</v>
      </c>
      <c r="V1148" s="11"/>
      <c r="W1148" s="4"/>
      <c r="X1148" s="12"/>
      <c r="Y1148" s="14"/>
      <c r="Z1148" s="4"/>
      <c r="AA1148" s="13"/>
      <c r="AB1148" s="11"/>
      <c r="AC1148" s="4"/>
      <c r="AD1148" s="12"/>
      <c r="AE1148" s="13"/>
      <c r="AF1148" s="14">
        <v>5.008</v>
      </c>
      <c r="AG1148" s="133"/>
      <c r="AI1148" s="96"/>
      <c r="AL1148" s="64">
        <v>4.1699115833333336</v>
      </c>
      <c r="AM1148" s="56">
        <v>15.17999999999997</v>
      </c>
      <c r="AN1148" s="56">
        <v>17.159999999999979</v>
      </c>
      <c r="AO1148" s="62">
        <v>23.500000000000121</v>
      </c>
      <c r="AQ1148" s="64">
        <v>4.0805350833333334</v>
      </c>
      <c r="AR1148" s="56">
        <v>14.799999999999971</v>
      </c>
      <c r="AS1148" s="56">
        <v>16.259999999999941</v>
      </c>
      <c r="AT1148" s="62">
        <v>20.599999999999952</v>
      </c>
      <c r="AV1148" s="64">
        <v>3.7265152833333328</v>
      </c>
      <c r="AW1148" s="56">
        <v>14.44000000000001</v>
      </c>
      <c r="AX1148" s="56">
        <v>15.920000000000019</v>
      </c>
      <c r="AY1148" s="62">
        <v>20.920000000000009</v>
      </c>
      <c r="BA1148" s="64">
        <v>3.1806500500000001</v>
      </c>
      <c r="BB1148" s="56">
        <v>16.79999999999993</v>
      </c>
      <c r="BC1148" s="56">
        <v>19.32</v>
      </c>
      <c r="BD1148" s="62">
        <v>31.559999999999992</v>
      </c>
      <c r="BF1148" s="64">
        <v>2.938755916666667</v>
      </c>
      <c r="BG1148" s="56">
        <v>20.54</v>
      </c>
      <c r="BH1148" s="56">
        <v>27.359999999999921</v>
      </c>
      <c r="BI1148" s="62">
        <v>55.799999999999983</v>
      </c>
      <c r="BJ1148" s="70"/>
      <c r="BK1148" s="51"/>
    </row>
    <row r="1149" spans="1:63" x14ac:dyDescent="0.4">
      <c r="A1149" s="147" t="s">
        <v>1226</v>
      </c>
      <c r="G1149" s="147" t="s">
        <v>1226</v>
      </c>
      <c r="H1149" s="159">
        <v>69.965000000000003</v>
      </c>
      <c r="I1149" s="153">
        <v>70.3</v>
      </c>
      <c r="J1149" s="153">
        <v>70.349999999999994</v>
      </c>
      <c r="K1149" s="153">
        <v>70.39</v>
      </c>
      <c r="L1149" s="153">
        <v>70.39</v>
      </c>
      <c r="M1149" s="80">
        <f t="shared" si="34"/>
        <v>70.39</v>
      </c>
      <c r="N1149" s="80">
        <f t="shared" si="35"/>
        <v>70.3</v>
      </c>
      <c r="O1149" s="153">
        <v>21.19</v>
      </c>
      <c r="P1149" s="153">
        <v>21.05</v>
      </c>
      <c r="Q1149" s="153">
        <v>21.15</v>
      </c>
      <c r="R1149" s="153">
        <v>21.09</v>
      </c>
      <c r="S1149" s="4"/>
      <c r="U1149" s="147" t="s">
        <v>1226</v>
      </c>
      <c r="V1149" s="11"/>
      <c r="W1149" s="4"/>
      <c r="X1149" s="12"/>
      <c r="Y1149" s="14"/>
      <c r="Z1149" s="4"/>
      <c r="AA1149" s="13"/>
      <c r="AB1149" s="11"/>
      <c r="AC1149" s="4"/>
      <c r="AD1149" s="12"/>
      <c r="AE1149" s="13"/>
      <c r="AF1149" s="14">
        <v>5.0288000000000004</v>
      </c>
      <c r="AG1149" s="133"/>
      <c r="AI1149" s="96"/>
      <c r="AL1149" s="64">
        <v>4.1705363666666662</v>
      </c>
      <c r="AM1149" s="56">
        <v>15.7</v>
      </c>
      <c r="AN1149" s="56">
        <v>17.71999999999991</v>
      </c>
      <c r="AO1149" s="62">
        <v>24.080000000000009</v>
      </c>
      <c r="AQ1149" s="64">
        <v>4.0811215499999998</v>
      </c>
      <c r="AR1149" s="56">
        <v>15.199999999999919</v>
      </c>
      <c r="AS1149" s="56">
        <v>16.72000000000002</v>
      </c>
      <c r="AT1149" s="62">
        <v>21.079999999999991</v>
      </c>
      <c r="AV1149" s="64">
        <v>3.7271410500000002</v>
      </c>
      <c r="AW1149" s="56">
        <v>14.57999999999995</v>
      </c>
      <c r="AX1149" s="56">
        <v>16.099999999999959</v>
      </c>
      <c r="AY1149" s="62">
        <v>21.099999999999941</v>
      </c>
      <c r="BA1149" s="64">
        <v>3.1814075833333342</v>
      </c>
      <c r="BB1149" s="56">
        <v>16.800000000000011</v>
      </c>
      <c r="BC1149" s="56">
        <v>19.32</v>
      </c>
      <c r="BD1149" s="62">
        <v>31.500000000000039</v>
      </c>
      <c r="BF1149" s="64">
        <v>2.935747650000001</v>
      </c>
      <c r="BG1149" s="56">
        <v>20.560000000000041</v>
      </c>
      <c r="BH1149" s="56">
        <v>27.47999999999999</v>
      </c>
      <c r="BI1149" s="62">
        <v>56.240000000000023</v>
      </c>
      <c r="BJ1149" s="70"/>
      <c r="BK1149" s="51"/>
    </row>
    <row r="1150" spans="1:63" x14ac:dyDescent="0.4">
      <c r="A1150" s="147" t="s">
        <v>1227</v>
      </c>
      <c r="G1150" s="147" t="s">
        <v>1227</v>
      </c>
      <c r="H1150" s="159">
        <v>69.971000000000004</v>
      </c>
      <c r="I1150" s="153">
        <v>70.31</v>
      </c>
      <c r="J1150" s="153">
        <v>70.34</v>
      </c>
      <c r="K1150" s="153">
        <v>70.3</v>
      </c>
      <c r="L1150" s="153">
        <v>70.400000000000006</v>
      </c>
      <c r="M1150" s="80">
        <f t="shared" si="34"/>
        <v>70.400000000000006</v>
      </c>
      <c r="N1150" s="80">
        <f t="shared" si="35"/>
        <v>70.3</v>
      </c>
      <c r="O1150" s="153">
        <v>21.15</v>
      </c>
      <c r="P1150" s="153">
        <v>21.12</v>
      </c>
      <c r="Q1150" s="153">
        <v>21.13</v>
      </c>
      <c r="R1150" s="153">
        <v>21.07</v>
      </c>
      <c r="S1150" s="4"/>
      <c r="U1150" s="147" t="s">
        <v>1227</v>
      </c>
      <c r="V1150" s="11"/>
      <c r="W1150" s="4"/>
      <c r="X1150" s="12"/>
      <c r="Y1150" s="14"/>
      <c r="Z1150" s="4"/>
      <c r="AA1150" s="13"/>
      <c r="AB1150" s="11"/>
      <c r="AC1150" s="4"/>
      <c r="AD1150" s="12"/>
      <c r="AE1150" s="13"/>
      <c r="AF1150" s="14">
        <v>5.0075000000000003</v>
      </c>
      <c r="AG1150" s="133"/>
      <c r="AI1150" s="96"/>
      <c r="AL1150" s="64">
        <v>4.1701541833333344</v>
      </c>
      <c r="AM1150" s="56">
        <v>15.32</v>
      </c>
      <c r="AN1150" s="56">
        <v>17.339999999999911</v>
      </c>
      <c r="AO1150" s="62">
        <v>23.70000000000001</v>
      </c>
      <c r="AQ1150" s="64">
        <v>4.0817157999999987</v>
      </c>
      <c r="AR1150" s="56">
        <v>14.98000000000008</v>
      </c>
      <c r="AS1150" s="56">
        <v>16.4600000000001</v>
      </c>
      <c r="AT1150" s="62">
        <v>20.820000000000061</v>
      </c>
      <c r="AV1150" s="64">
        <v>3.727774966666666</v>
      </c>
      <c r="AW1150" s="56">
        <v>14.48</v>
      </c>
      <c r="AX1150" s="56">
        <v>15.97999999999997</v>
      </c>
      <c r="AY1150" s="62">
        <v>20.939999999999959</v>
      </c>
      <c r="BA1150" s="64">
        <v>3.1827418500000002</v>
      </c>
      <c r="BB1150" s="56">
        <v>16.85999999999996</v>
      </c>
      <c r="BC1150" s="56">
        <v>19.380000000000042</v>
      </c>
      <c r="BD1150" s="62">
        <v>31.59999999999998</v>
      </c>
      <c r="BF1150" s="64">
        <v>2.9410463999999998</v>
      </c>
      <c r="BG1150" s="56">
        <v>20.55999999999996</v>
      </c>
      <c r="BH1150" s="56">
        <v>27.519999999999989</v>
      </c>
      <c r="BI1150" s="62">
        <v>56.039999999999957</v>
      </c>
      <c r="BJ1150" s="70"/>
      <c r="BK1150" s="51"/>
    </row>
    <row r="1151" spans="1:63" x14ac:dyDescent="0.4">
      <c r="A1151" s="147" t="s">
        <v>1228</v>
      </c>
      <c r="G1151" s="147" t="s">
        <v>1228</v>
      </c>
      <c r="H1151" s="159">
        <v>69.995999999999995</v>
      </c>
      <c r="I1151" s="153">
        <v>70.400000000000006</v>
      </c>
      <c r="J1151" s="153">
        <v>70.349999999999994</v>
      </c>
      <c r="K1151" s="153">
        <v>70.37</v>
      </c>
      <c r="L1151" s="153">
        <v>70.36</v>
      </c>
      <c r="M1151" s="80">
        <f t="shared" si="34"/>
        <v>70.400000000000006</v>
      </c>
      <c r="N1151" s="80">
        <f t="shared" si="35"/>
        <v>70.349999999999994</v>
      </c>
      <c r="O1151" s="153">
        <v>21.19</v>
      </c>
      <c r="P1151" s="153">
        <v>21.13</v>
      </c>
      <c r="Q1151" s="153">
        <v>21.13</v>
      </c>
      <c r="R1151" s="153">
        <v>21.01</v>
      </c>
      <c r="S1151" s="4"/>
      <c r="U1151" s="147" t="s">
        <v>1228</v>
      </c>
      <c r="V1151" s="11"/>
      <c r="W1151" s="4"/>
      <c r="X1151" s="12"/>
      <c r="Y1151" s="14"/>
      <c r="Z1151" s="4"/>
      <c r="AA1151" s="13"/>
      <c r="AB1151" s="11"/>
      <c r="AC1151" s="4"/>
      <c r="AD1151" s="12"/>
      <c r="AE1151" s="13"/>
      <c r="AF1151" s="14">
        <v>5.0269000000000004</v>
      </c>
      <c r="AG1151" s="133"/>
      <c r="AI1151" s="96"/>
      <c r="AL1151" s="64">
        <v>4.170936283333333</v>
      </c>
      <c r="AM1151" s="56">
        <v>15.91999999999984</v>
      </c>
      <c r="AN1151" s="56">
        <v>17.980000000000022</v>
      </c>
      <c r="AO1151" s="62">
        <v>24.359999999999889</v>
      </c>
      <c r="AQ1151" s="64">
        <v>4.0815902000000008</v>
      </c>
      <c r="AR1151" s="56">
        <v>15.41999999999994</v>
      </c>
      <c r="AS1151" s="56">
        <v>16.959999999999908</v>
      </c>
      <c r="AT1151" s="62">
        <v>21.339999999999911</v>
      </c>
      <c r="AV1151" s="64">
        <v>3.7274814000000012</v>
      </c>
      <c r="AW1151" s="56">
        <v>14.9</v>
      </c>
      <c r="AX1151" s="56">
        <v>16.39999999999997</v>
      </c>
      <c r="AY1151" s="62">
        <v>21.439999999999952</v>
      </c>
      <c r="BA1151" s="64">
        <v>3.1768122999999999</v>
      </c>
      <c r="BB1151" s="56">
        <v>17.13999999999993</v>
      </c>
      <c r="BC1151" s="56">
        <v>19.739999999999998</v>
      </c>
      <c r="BD1151" s="62">
        <v>32.159999999999933</v>
      </c>
      <c r="BF1151" s="64">
        <v>2.9187865500000001</v>
      </c>
      <c r="BG1151" s="56">
        <v>20.840000000000011</v>
      </c>
      <c r="BH1151" s="56">
        <v>27.540000000000031</v>
      </c>
      <c r="BI1151" s="62">
        <v>57.639999999999958</v>
      </c>
      <c r="BJ1151" s="70"/>
      <c r="BK1151" s="51"/>
    </row>
    <row r="1152" spans="1:63" x14ac:dyDescent="0.4">
      <c r="A1152" s="147" t="s">
        <v>1229</v>
      </c>
      <c r="G1152" s="147" t="s">
        <v>1229</v>
      </c>
      <c r="H1152" s="159">
        <v>69.988</v>
      </c>
      <c r="I1152" s="153">
        <v>70.349999999999994</v>
      </c>
      <c r="J1152" s="153">
        <v>70.28</v>
      </c>
      <c r="K1152" s="153">
        <v>70.33</v>
      </c>
      <c r="L1152" s="153">
        <v>70.36</v>
      </c>
      <c r="M1152" s="80">
        <f t="shared" si="34"/>
        <v>70.36</v>
      </c>
      <c r="N1152" s="80">
        <f t="shared" si="35"/>
        <v>70.28</v>
      </c>
      <c r="O1152" s="153">
        <v>21.16</v>
      </c>
      <c r="P1152" s="153">
        <v>20.97</v>
      </c>
      <c r="Q1152" s="153">
        <v>21.13</v>
      </c>
      <c r="R1152" s="153">
        <v>21.08</v>
      </c>
      <c r="S1152" s="4"/>
      <c r="U1152" s="147" t="s">
        <v>1229</v>
      </c>
      <c r="V1152" s="11"/>
      <c r="W1152" s="4"/>
      <c r="X1152" s="12"/>
      <c r="Y1152" s="14"/>
      <c r="Z1152" s="4"/>
      <c r="AA1152" s="13"/>
      <c r="AB1152" s="11"/>
      <c r="AC1152" s="4"/>
      <c r="AD1152" s="12"/>
      <c r="AE1152" s="13"/>
      <c r="AF1152" s="14">
        <v>5.0006000000000004</v>
      </c>
      <c r="AG1152" s="133"/>
      <c r="AI1152" s="96"/>
      <c r="AL1152" s="64">
        <v>4.1711220500000001</v>
      </c>
      <c r="AM1152" s="56">
        <v>15.240000000000011</v>
      </c>
      <c r="AN1152" s="56">
        <v>17.23999999999997</v>
      </c>
      <c r="AO1152" s="62">
        <v>23.47999999999999</v>
      </c>
      <c r="AQ1152" s="64">
        <v>4.0814788833333324</v>
      </c>
      <c r="AR1152" s="56">
        <v>15.17999999999997</v>
      </c>
      <c r="AS1152" s="56">
        <v>16.679999999999939</v>
      </c>
      <c r="AT1152" s="62">
        <v>21.01999999999995</v>
      </c>
      <c r="AV1152" s="64">
        <v>3.7272561333333329</v>
      </c>
      <c r="AW1152" s="56">
        <v>14.52</v>
      </c>
      <c r="AX1152" s="56">
        <v>16.019999999999971</v>
      </c>
      <c r="AY1152" s="62">
        <v>21.01999999999995</v>
      </c>
      <c r="BA1152" s="64">
        <v>3.1766893</v>
      </c>
      <c r="BB1152" s="56">
        <v>16.999999999999989</v>
      </c>
      <c r="BC1152" s="56">
        <v>19.559999999999981</v>
      </c>
      <c r="BD1152" s="62">
        <v>31.939999999999991</v>
      </c>
      <c r="BF1152" s="64">
        <v>2.9208951999999999</v>
      </c>
      <c r="BG1152" s="56">
        <v>20.720000000000031</v>
      </c>
      <c r="BH1152" s="56">
        <v>27.44</v>
      </c>
      <c r="BI1152" s="62">
        <v>57.319999999999993</v>
      </c>
      <c r="BJ1152" s="70"/>
      <c r="BK1152" s="51"/>
    </row>
    <row r="1153" spans="1:63" x14ac:dyDescent="0.4">
      <c r="A1153" s="147" t="s">
        <v>1230</v>
      </c>
      <c r="G1153" s="147" t="s">
        <v>1230</v>
      </c>
      <c r="H1153" s="159">
        <v>70.007999999999996</v>
      </c>
      <c r="I1153" s="153">
        <v>70.36</v>
      </c>
      <c r="J1153" s="153">
        <v>70.319999999999993</v>
      </c>
      <c r="K1153" s="153">
        <v>70.39</v>
      </c>
      <c r="L1153" s="153">
        <v>70.290000000000006</v>
      </c>
      <c r="M1153" s="80">
        <f t="shared" si="34"/>
        <v>70.39</v>
      </c>
      <c r="N1153" s="80">
        <f t="shared" si="35"/>
        <v>70.290000000000006</v>
      </c>
      <c r="O1153" s="153">
        <v>21.02</v>
      </c>
      <c r="P1153" s="153">
        <v>21.06</v>
      </c>
      <c r="Q1153" s="153">
        <v>21.09</v>
      </c>
      <c r="R1153" s="153">
        <v>21.07</v>
      </c>
      <c r="S1153" s="4"/>
      <c r="U1153" s="147" t="s">
        <v>1230</v>
      </c>
      <c r="V1153" s="11"/>
      <c r="W1153" s="4"/>
      <c r="X1153" s="12"/>
      <c r="Y1153" s="14"/>
      <c r="Z1153" s="4"/>
      <c r="AA1153" s="13"/>
      <c r="AB1153" s="11"/>
      <c r="AC1153" s="4"/>
      <c r="AD1153" s="12"/>
      <c r="AE1153" s="13"/>
      <c r="AF1153" s="14">
        <v>4.9976000000000003</v>
      </c>
      <c r="AG1153" s="133"/>
      <c r="AI1153" s="96"/>
      <c r="AL1153" s="64">
        <v>4.1707622666666664</v>
      </c>
      <c r="AM1153" s="56">
        <v>14.56</v>
      </c>
      <c r="AN1153" s="56">
        <v>16.520000000000049</v>
      </c>
      <c r="AO1153" s="62">
        <v>22.700000000000031</v>
      </c>
      <c r="AQ1153" s="64">
        <v>4.0804819500000002</v>
      </c>
      <c r="AR1153" s="56">
        <v>13.999999999999879</v>
      </c>
      <c r="AS1153" s="56">
        <v>15.41999999999994</v>
      </c>
      <c r="AT1153" s="62">
        <v>19.559999999999981</v>
      </c>
      <c r="AV1153" s="64">
        <v>3.7265203666666671</v>
      </c>
      <c r="AW1153" s="56">
        <v>13.619999999999971</v>
      </c>
      <c r="AX1153" s="56">
        <v>14.99999999999995</v>
      </c>
      <c r="AY1153" s="62">
        <v>19.759999999999959</v>
      </c>
      <c r="BA1153" s="64">
        <v>3.18478255</v>
      </c>
      <c r="BB1153" s="56">
        <v>15.87999999999994</v>
      </c>
      <c r="BC1153" s="56">
        <v>18.279999999999941</v>
      </c>
      <c r="BD1153" s="62">
        <v>30.07999999999997</v>
      </c>
      <c r="BF1153" s="64">
        <v>2.9367540166666659</v>
      </c>
      <c r="BG1153" s="56">
        <v>19.54000000000002</v>
      </c>
      <c r="BH1153" s="56">
        <v>26.039999999999971</v>
      </c>
      <c r="BI1153" s="62">
        <v>54.11999999999999</v>
      </c>
      <c r="BJ1153" s="70"/>
      <c r="BK1153" s="51"/>
    </row>
    <row r="1154" spans="1:63" x14ac:dyDescent="0.4">
      <c r="A1154" s="147" t="s">
        <v>1231</v>
      </c>
      <c r="G1154" s="147" t="s">
        <v>1231</v>
      </c>
      <c r="H1154" s="159">
        <v>69.927999999999997</v>
      </c>
      <c r="I1154" s="153">
        <v>70.34</v>
      </c>
      <c r="J1154" s="153">
        <v>70.36</v>
      </c>
      <c r="K1154" s="153">
        <v>70.36</v>
      </c>
      <c r="L1154" s="153">
        <v>70.349999999999994</v>
      </c>
      <c r="M1154" s="80">
        <f t="shared" si="34"/>
        <v>70.36</v>
      </c>
      <c r="N1154" s="80">
        <f t="shared" si="35"/>
        <v>70.34</v>
      </c>
      <c r="O1154" s="153">
        <v>21.13</v>
      </c>
      <c r="P1154" s="153">
        <v>21.11</v>
      </c>
      <c r="Q1154" s="153">
        <v>21.11</v>
      </c>
      <c r="R1154" s="153">
        <v>21.1</v>
      </c>
      <c r="S1154" s="4"/>
      <c r="U1154" s="147" t="s">
        <v>1231</v>
      </c>
      <c r="V1154" s="11"/>
      <c r="W1154" s="4"/>
      <c r="X1154" s="12"/>
      <c r="Y1154" s="14"/>
      <c r="Z1154" s="4"/>
      <c r="AA1154" s="13"/>
      <c r="AB1154" s="11"/>
      <c r="AC1154" s="4"/>
      <c r="AD1154" s="12"/>
      <c r="AE1154" s="13"/>
      <c r="AF1154" s="14">
        <v>4.9997999999999996</v>
      </c>
      <c r="AG1154" s="133"/>
      <c r="AI1154" s="96"/>
      <c r="AL1154" s="64">
        <v>4.1708968000000004</v>
      </c>
      <c r="AM1154" s="56">
        <v>14.380000000000059</v>
      </c>
      <c r="AN1154" s="56">
        <v>16.300000000000029</v>
      </c>
      <c r="AO1154" s="62">
        <v>22.480000000000011</v>
      </c>
      <c r="AQ1154" s="64">
        <v>4.0825285333333321</v>
      </c>
      <c r="AR1154" s="56">
        <v>14.20000000000012</v>
      </c>
      <c r="AS1154" s="56">
        <v>15.60000000000006</v>
      </c>
      <c r="AT1154" s="62">
        <v>19.739999999999998</v>
      </c>
      <c r="AV1154" s="64">
        <v>3.728632133333333</v>
      </c>
      <c r="AW1154" s="56">
        <v>13.879999999999979</v>
      </c>
      <c r="AX1154" s="56">
        <v>15.30000000000005</v>
      </c>
      <c r="AY1154" s="62">
        <v>20.100000000000051</v>
      </c>
      <c r="BA1154" s="64">
        <v>3.1892475500000002</v>
      </c>
      <c r="BB1154" s="56">
        <v>16.699999999999982</v>
      </c>
      <c r="BC1154" s="56">
        <v>19.139999999999979</v>
      </c>
      <c r="BD1154" s="62">
        <v>31.12000000000004</v>
      </c>
      <c r="BF1154" s="64">
        <v>2.9469435333333331</v>
      </c>
      <c r="BG1154" s="56">
        <v>20.340000000000021</v>
      </c>
      <c r="BH1154" s="56">
        <v>26.98</v>
      </c>
      <c r="BI1154" s="62">
        <v>55.039999999999978</v>
      </c>
      <c r="BJ1154" s="70"/>
      <c r="BK1154" s="51"/>
    </row>
    <row r="1155" spans="1:63" x14ac:dyDescent="0.4">
      <c r="A1155" s="147" t="s">
        <v>1232</v>
      </c>
      <c r="G1155" s="147" t="s">
        <v>1232</v>
      </c>
      <c r="H1155" s="159">
        <v>69.995000000000005</v>
      </c>
      <c r="I1155" s="153">
        <v>70.31</v>
      </c>
      <c r="J1155" s="153">
        <v>70.290000000000006</v>
      </c>
      <c r="K1155" s="153">
        <v>70.349999999999994</v>
      </c>
      <c r="L1155" s="153">
        <v>70.349999999999994</v>
      </c>
      <c r="M1155" s="80">
        <f t="shared" si="34"/>
        <v>70.349999999999994</v>
      </c>
      <c r="N1155" s="80">
        <f t="shared" si="35"/>
        <v>70.290000000000006</v>
      </c>
      <c r="O1155" s="153">
        <v>21.14</v>
      </c>
      <c r="P1155" s="153">
        <v>21.1</v>
      </c>
      <c r="Q1155" s="153">
        <v>21.11</v>
      </c>
      <c r="R1155" s="153">
        <v>21.08</v>
      </c>
      <c r="S1155" s="4"/>
      <c r="U1155" s="147" t="s">
        <v>1232</v>
      </c>
      <c r="V1155" s="11"/>
      <c r="W1155" s="4"/>
      <c r="X1155" s="12"/>
      <c r="Y1155" s="14"/>
      <c r="Z1155" s="4"/>
      <c r="AA1155" s="13"/>
      <c r="AB1155" s="11"/>
      <c r="AC1155" s="4"/>
      <c r="AD1155" s="12"/>
      <c r="AE1155" s="13"/>
      <c r="AF1155" s="14">
        <v>5.0042999999999997</v>
      </c>
      <c r="AG1155" s="133"/>
      <c r="AI1155" s="96"/>
      <c r="AL1155" s="64">
        <v>4.1704984499999993</v>
      </c>
      <c r="AM1155" s="56">
        <v>14.57999999999995</v>
      </c>
      <c r="AN1155" s="56">
        <v>16.499999999999911</v>
      </c>
      <c r="AO1155" s="62">
        <v>22.69999999999985</v>
      </c>
      <c r="AQ1155" s="64">
        <v>4.0817301499999994</v>
      </c>
      <c r="AR1155" s="56">
        <v>14.179999999999991</v>
      </c>
      <c r="AS1155" s="56">
        <v>15.60000000000006</v>
      </c>
      <c r="AT1155" s="62">
        <v>19.80000000000004</v>
      </c>
      <c r="AV1155" s="64">
        <v>3.7276731999999999</v>
      </c>
      <c r="AW1155" s="56">
        <v>13.839999999999989</v>
      </c>
      <c r="AX1155" s="56">
        <v>15.21999999999997</v>
      </c>
      <c r="AY1155" s="62">
        <v>20.039999999999921</v>
      </c>
      <c r="BA1155" s="64">
        <v>3.1851118500000002</v>
      </c>
      <c r="BB1155" s="56">
        <v>16.180000000000039</v>
      </c>
      <c r="BC1155" s="56">
        <v>18.62000000000004</v>
      </c>
      <c r="BD1155" s="62">
        <v>30.560000000000009</v>
      </c>
      <c r="BF1155" s="64">
        <v>2.9419610999999999</v>
      </c>
      <c r="BG1155" s="56">
        <v>19.81999999999999</v>
      </c>
      <c r="BH1155" s="56">
        <v>26.379999999999981</v>
      </c>
      <c r="BI1155" s="62">
        <v>54.400000000000048</v>
      </c>
      <c r="BJ1155" s="70"/>
      <c r="BK1155" s="51"/>
    </row>
    <row r="1156" spans="1:63" x14ac:dyDescent="0.4">
      <c r="A1156" s="147" t="s">
        <v>1233</v>
      </c>
      <c r="G1156" s="147" t="s">
        <v>1233</v>
      </c>
      <c r="H1156" s="159">
        <v>69.971000000000004</v>
      </c>
      <c r="I1156" s="153">
        <v>70.290000000000006</v>
      </c>
      <c r="J1156" s="153">
        <v>70.36</v>
      </c>
      <c r="K1156" s="153">
        <v>70.33</v>
      </c>
      <c r="L1156" s="153">
        <v>70.36</v>
      </c>
      <c r="M1156" s="80">
        <f t="shared" si="34"/>
        <v>70.36</v>
      </c>
      <c r="N1156" s="80">
        <f t="shared" si="35"/>
        <v>70.290000000000006</v>
      </c>
      <c r="O1156" s="153">
        <v>21.18</v>
      </c>
      <c r="P1156" s="153">
        <v>21.14</v>
      </c>
      <c r="Q1156" s="153">
        <v>21.12</v>
      </c>
      <c r="R1156" s="153">
        <v>21.06</v>
      </c>
      <c r="S1156" s="4"/>
      <c r="U1156" s="147" t="s">
        <v>1233</v>
      </c>
      <c r="V1156" s="11"/>
      <c r="W1156" s="4"/>
      <c r="X1156" s="12"/>
      <c r="Y1156" s="14"/>
      <c r="Z1156" s="4"/>
      <c r="AA1156" s="13"/>
      <c r="AB1156" s="11"/>
      <c r="AC1156" s="4"/>
      <c r="AD1156" s="12"/>
      <c r="AE1156" s="13"/>
      <c r="AF1156" s="14">
        <v>4.9991000000000003</v>
      </c>
      <c r="AG1156" s="133"/>
      <c r="AI1156" s="96"/>
      <c r="AL1156" s="64">
        <v>4.1702057833333326</v>
      </c>
      <c r="AM1156" s="56">
        <v>15.32</v>
      </c>
      <c r="AN1156" s="56">
        <v>17.27999999999987</v>
      </c>
      <c r="AO1156" s="62">
        <v>23.579999999999931</v>
      </c>
      <c r="AQ1156" s="64">
        <v>4.0822278666666678</v>
      </c>
      <c r="AR1156" s="56">
        <v>15.240000000000011</v>
      </c>
      <c r="AS1156" s="56">
        <v>16.760000000000019</v>
      </c>
      <c r="AT1156" s="62">
        <v>21.10000000000003</v>
      </c>
      <c r="AV1156" s="64">
        <v>3.727733516666667</v>
      </c>
      <c r="AW1156" s="56">
        <v>14.75999999999997</v>
      </c>
      <c r="AX1156" s="56">
        <v>16.259999999999941</v>
      </c>
      <c r="AY1156" s="62">
        <v>21.299999999999919</v>
      </c>
      <c r="BA1156" s="64">
        <v>3.185018533333333</v>
      </c>
      <c r="BB1156" s="56">
        <v>16.699999999999982</v>
      </c>
      <c r="BC1156" s="56">
        <v>19.200000000000021</v>
      </c>
      <c r="BD1156" s="62">
        <v>31.320000000000011</v>
      </c>
      <c r="BF1156" s="64">
        <v>2.937675233333334</v>
      </c>
      <c r="BG1156" s="56">
        <v>20.220000000000041</v>
      </c>
      <c r="BH1156" s="56">
        <v>26.719999999999992</v>
      </c>
      <c r="BI1156" s="62">
        <v>54.740000000000052</v>
      </c>
      <c r="BJ1156" s="70"/>
      <c r="BK1156" s="51"/>
    </row>
    <row r="1157" spans="1:63" x14ac:dyDescent="0.4">
      <c r="A1157" s="147" t="s">
        <v>1234</v>
      </c>
      <c r="G1157" s="147" t="s">
        <v>1234</v>
      </c>
      <c r="H1157" s="159">
        <v>70.087000000000003</v>
      </c>
      <c r="I1157" s="153">
        <v>70.38</v>
      </c>
      <c r="J1157" s="153">
        <v>70.290000000000006</v>
      </c>
      <c r="K1157" s="153">
        <v>70.27</v>
      </c>
      <c r="L1157" s="153">
        <v>70.37</v>
      </c>
      <c r="M1157" s="80">
        <f t="shared" si="34"/>
        <v>70.38</v>
      </c>
      <c r="N1157" s="80">
        <f t="shared" si="35"/>
        <v>70.27</v>
      </c>
      <c r="O1157" s="153">
        <v>21.15</v>
      </c>
      <c r="P1157" s="153">
        <v>21.08</v>
      </c>
      <c r="Q1157" s="153">
        <v>21.1</v>
      </c>
      <c r="R1157" s="153">
        <v>21.04</v>
      </c>
      <c r="S1157" s="4"/>
      <c r="U1157" s="147" t="s">
        <v>1234</v>
      </c>
      <c r="V1157" s="11"/>
      <c r="W1157" s="4"/>
      <c r="X1157" s="12"/>
      <c r="Y1157" s="14"/>
      <c r="Z1157" s="4"/>
      <c r="AA1157" s="13"/>
      <c r="AB1157" s="11"/>
      <c r="AC1157" s="4"/>
      <c r="AD1157" s="12"/>
      <c r="AE1157" s="13"/>
      <c r="AF1157" s="14">
        <v>5.0221999999999998</v>
      </c>
      <c r="AG1157" s="133"/>
      <c r="AI1157" s="96"/>
      <c r="AL1157" s="64">
        <v>4.1728067166666669</v>
      </c>
      <c r="AM1157" s="56">
        <v>14.400000000000009</v>
      </c>
      <c r="AN1157" s="56">
        <v>16.39999999999997</v>
      </c>
      <c r="AO1157" s="62">
        <v>22.599999999999909</v>
      </c>
      <c r="AQ1157" s="64">
        <v>4.0816079000000007</v>
      </c>
      <c r="AR1157" s="56">
        <v>14.19999999999995</v>
      </c>
      <c r="AS1157" s="56">
        <v>15.65999999999992</v>
      </c>
      <c r="AT1157" s="62">
        <v>19.759999999999959</v>
      </c>
      <c r="AV1157" s="64">
        <v>3.7284893166666659</v>
      </c>
      <c r="AW1157" s="56">
        <v>13.72</v>
      </c>
      <c r="AX1157" s="56">
        <v>15.220000000000059</v>
      </c>
      <c r="AY1157" s="62">
        <v>20.000000000000021</v>
      </c>
      <c r="BA1157" s="64">
        <v>3.1844730166666668</v>
      </c>
      <c r="BB1157" s="56">
        <v>16.16</v>
      </c>
      <c r="BC1157" s="56">
        <v>18.619999999999951</v>
      </c>
      <c r="BD1157" s="62">
        <v>30.479999999999929</v>
      </c>
      <c r="BF1157" s="64">
        <v>2.9123483000000001</v>
      </c>
      <c r="BG1157" s="56">
        <v>20.26000000000003</v>
      </c>
      <c r="BH1157" s="56">
        <v>27.179999999999978</v>
      </c>
      <c r="BI1157" s="62">
        <v>57.7</v>
      </c>
      <c r="BJ1157" s="70"/>
      <c r="BK1157" s="51"/>
    </row>
    <row r="1158" spans="1:63" x14ac:dyDescent="0.4">
      <c r="A1158" s="147" t="s">
        <v>1235</v>
      </c>
      <c r="G1158" s="147" t="s">
        <v>1235</v>
      </c>
      <c r="H1158" s="159">
        <v>69.953999999999994</v>
      </c>
      <c r="I1158" s="153">
        <v>70.349999999999994</v>
      </c>
      <c r="J1158" s="153">
        <v>70.36</v>
      </c>
      <c r="K1158" s="153">
        <v>70.38</v>
      </c>
      <c r="L1158" s="153">
        <v>70.37</v>
      </c>
      <c r="M1158" s="80">
        <f t="shared" ref="M1158:M1221" si="36">MAX(I1158:L1158)</f>
        <v>70.38</v>
      </c>
      <c r="N1158" s="80">
        <f t="shared" ref="N1158:N1221" si="37">MIN(I1158:L1158)</f>
        <v>70.349999999999994</v>
      </c>
      <c r="O1158" s="153">
        <v>21.14</v>
      </c>
      <c r="P1158" s="153">
        <v>21.1</v>
      </c>
      <c r="Q1158" s="153">
        <v>21.11</v>
      </c>
      <c r="R1158" s="153">
        <v>21.07</v>
      </c>
      <c r="S1158" s="4"/>
      <c r="U1158" s="147" t="s">
        <v>1235</v>
      </c>
      <c r="V1158" s="11"/>
      <c r="W1158" s="4"/>
      <c r="X1158" s="12"/>
      <c r="Y1158" s="14"/>
      <c r="Z1158" s="4"/>
      <c r="AA1158" s="13"/>
      <c r="AB1158" s="11"/>
      <c r="AC1158" s="4"/>
      <c r="AD1158" s="12"/>
      <c r="AE1158" s="13"/>
      <c r="AF1158" s="14">
        <v>5.0377999999999998</v>
      </c>
      <c r="AG1158" s="133"/>
      <c r="AI1158" s="96"/>
      <c r="AL1158" s="64">
        <v>4.1727722500000004</v>
      </c>
      <c r="AM1158" s="56">
        <v>14.65999999999994</v>
      </c>
      <c r="AN1158" s="56">
        <v>16.679999999999851</v>
      </c>
      <c r="AO1158" s="62">
        <v>22.879999999999971</v>
      </c>
      <c r="AQ1158" s="64">
        <v>4.081247583333333</v>
      </c>
      <c r="AR1158" s="56">
        <v>14.279999999999941</v>
      </c>
      <c r="AS1158" s="56">
        <v>15.78</v>
      </c>
      <c r="AT1158" s="62">
        <v>19.8599999999999</v>
      </c>
      <c r="AV1158" s="64">
        <v>3.7294086333333332</v>
      </c>
      <c r="AW1158" s="56">
        <v>13.79999999999999</v>
      </c>
      <c r="AX1158" s="56">
        <v>15.32</v>
      </c>
      <c r="AY1158" s="62">
        <v>20.12</v>
      </c>
      <c r="BA1158" s="64">
        <v>3.1901316999999998</v>
      </c>
      <c r="BB1158" s="56">
        <v>15.96000000000002</v>
      </c>
      <c r="BC1158" s="56">
        <v>18.379999999999971</v>
      </c>
      <c r="BD1158" s="62">
        <v>29.999999999999979</v>
      </c>
      <c r="BF1158" s="64">
        <v>2.9110098500000001</v>
      </c>
      <c r="BG1158" s="56">
        <v>19.859999999999989</v>
      </c>
      <c r="BH1158" s="56">
        <v>26.52000000000001</v>
      </c>
      <c r="BI1158" s="62">
        <v>56.48</v>
      </c>
      <c r="BJ1158" s="70"/>
      <c r="BK1158" s="51"/>
    </row>
    <row r="1159" spans="1:63" x14ac:dyDescent="0.4">
      <c r="A1159" s="147" t="s">
        <v>1236</v>
      </c>
      <c r="G1159" s="147" t="s">
        <v>1236</v>
      </c>
      <c r="H1159" s="159">
        <v>69.981999999999999</v>
      </c>
      <c r="I1159" s="153">
        <v>70.39</v>
      </c>
      <c r="J1159" s="153">
        <v>70.34</v>
      </c>
      <c r="K1159" s="153">
        <v>70.33</v>
      </c>
      <c r="L1159" s="153">
        <v>70.319999999999993</v>
      </c>
      <c r="M1159" s="80">
        <f t="shared" si="36"/>
        <v>70.39</v>
      </c>
      <c r="N1159" s="80">
        <f t="shared" si="37"/>
        <v>70.319999999999993</v>
      </c>
      <c r="O1159" s="153">
        <v>21.12</v>
      </c>
      <c r="P1159" s="153">
        <v>21.07</v>
      </c>
      <c r="Q1159" s="153">
        <v>21.15</v>
      </c>
      <c r="R1159" s="153">
        <v>21.06</v>
      </c>
      <c r="S1159" s="4"/>
      <c r="U1159" s="147" t="s">
        <v>1236</v>
      </c>
      <c r="V1159" s="11"/>
      <c r="W1159" s="4"/>
      <c r="X1159" s="12"/>
      <c r="Y1159" s="14"/>
      <c r="Z1159" s="4"/>
      <c r="AA1159" s="13"/>
      <c r="AB1159" s="11"/>
      <c r="AC1159" s="4"/>
      <c r="AD1159" s="12"/>
      <c r="AE1159" s="13"/>
      <c r="AF1159" s="14">
        <v>5.0110000000000001</v>
      </c>
      <c r="AG1159" s="133"/>
      <c r="AI1159" s="96"/>
      <c r="AL1159" s="64">
        <v>4.1729766333333327</v>
      </c>
      <c r="AM1159" s="56">
        <v>15.140000000000059</v>
      </c>
      <c r="AN1159" s="56">
        <v>17.18000000000011</v>
      </c>
      <c r="AO1159" s="62">
        <v>23.360000000000088</v>
      </c>
      <c r="AQ1159" s="64">
        <v>4.0813636333333339</v>
      </c>
      <c r="AR1159" s="56">
        <v>14.50000000000014</v>
      </c>
      <c r="AS1159" s="56">
        <v>16.000000000000011</v>
      </c>
      <c r="AT1159" s="62">
        <v>20.160000000000089</v>
      </c>
      <c r="AV1159" s="64">
        <v>3.728020366666668</v>
      </c>
      <c r="AW1159" s="56">
        <v>14.03999999999996</v>
      </c>
      <c r="AX1159" s="56">
        <v>15.54000000000002</v>
      </c>
      <c r="AY1159" s="62">
        <v>20.359999999999982</v>
      </c>
      <c r="BA1159" s="64">
        <v>3.1833033333333329</v>
      </c>
      <c r="BB1159" s="56">
        <v>16.359999999999971</v>
      </c>
      <c r="BC1159" s="56">
        <v>18.820000000000011</v>
      </c>
      <c r="BD1159" s="62">
        <v>30.759999999999991</v>
      </c>
      <c r="BF1159" s="64">
        <v>2.9142950666666669</v>
      </c>
      <c r="BG1159" s="56">
        <v>20.439999999999969</v>
      </c>
      <c r="BH1159" s="56">
        <v>27.37999999999996</v>
      </c>
      <c r="BI1159" s="62">
        <v>57.66</v>
      </c>
      <c r="BJ1159" s="70"/>
      <c r="BK1159" s="51"/>
    </row>
    <row r="1160" spans="1:63" x14ac:dyDescent="0.4">
      <c r="A1160" s="147" t="s">
        <v>1237</v>
      </c>
      <c r="G1160" s="147" t="s">
        <v>1237</v>
      </c>
      <c r="H1160" s="159">
        <v>70.004999999999995</v>
      </c>
      <c r="I1160" s="153">
        <v>70.290000000000006</v>
      </c>
      <c r="J1160" s="153">
        <v>70.34</v>
      </c>
      <c r="K1160" s="153">
        <v>70.31</v>
      </c>
      <c r="L1160" s="153">
        <v>70.39</v>
      </c>
      <c r="M1160" s="80">
        <f t="shared" si="36"/>
        <v>70.39</v>
      </c>
      <c r="N1160" s="80">
        <f t="shared" si="37"/>
        <v>70.290000000000006</v>
      </c>
      <c r="O1160" s="153">
        <v>21.08</v>
      </c>
      <c r="P1160" s="153">
        <v>21.05</v>
      </c>
      <c r="Q1160" s="153">
        <v>21.13</v>
      </c>
      <c r="R1160" s="153">
        <v>21.08</v>
      </c>
      <c r="S1160" s="4"/>
      <c r="U1160" s="147" t="s">
        <v>1237</v>
      </c>
      <c r="V1160" s="11"/>
      <c r="W1160" s="4"/>
      <c r="X1160" s="12"/>
      <c r="Y1160" s="14"/>
      <c r="Z1160" s="4"/>
      <c r="AA1160" s="13"/>
      <c r="AB1160" s="11"/>
      <c r="AC1160" s="4"/>
      <c r="AD1160" s="12"/>
      <c r="AE1160" s="13"/>
      <c r="AF1160" s="14">
        <v>4.9981999999999998</v>
      </c>
      <c r="AG1160" s="133"/>
      <c r="AI1160" s="96"/>
      <c r="AL1160" s="64">
        <v>4.1731920499999999</v>
      </c>
      <c r="AM1160" s="56">
        <v>14.57999999999995</v>
      </c>
      <c r="AN1160" s="56">
        <v>16.579999999999909</v>
      </c>
      <c r="AO1160" s="62">
        <v>22.6799999999999</v>
      </c>
      <c r="AQ1160" s="64">
        <v>4.0817565333333334</v>
      </c>
      <c r="AR1160" s="56">
        <v>14.1</v>
      </c>
      <c r="AS1160" s="56">
        <v>15.5800000000001</v>
      </c>
      <c r="AT1160" s="62">
        <v>19.640000000000061</v>
      </c>
      <c r="AV1160" s="64">
        <v>3.728480616666666</v>
      </c>
      <c r="AW1160" s="56">
        <v>13.619999999999971</v>
      </c>
      <c r="AX1160" s="56">
        <v>15.120000000000021</v>
      </c>
      <c r="AY1160" s="62">
        <v>19.879999999999939</v>
      </c>
      <c r="BA1160" s="64">
        <v>3.1844678666666661</v>
      </c>
      <c r="BB1160" s="56">
        <v>16.139999999999951</v>
      </c>
      <c r="BC1160" s="56">
        <v>18.599999999999991</v>
      </c>
      <c r="BD1160" s="62">
        <v>30.45999999999998</v>
      </c>
      <c r="BF1160" s="64">
        <v>2.916997016666667</v>
      </c>
      <c r="BG1160" s="56">
        <v>20.12</v>
      </c>
      <c r="BH1160" s="56">
        <v>26.98</v>
      </c>
      <c r="BI1160" s="62">
        <v>56.86</v>
      </c>
      <c r="BJ1160" s="70"/>
      <c r="BK1160" s="51"/>
    </row>
    <row r="1161" spans="1:63" x14ac:dyDescent="0.4">
      <c r="A1161" s="147" t="s">
        <v>1238</v>
      </c>
      <c r="G1161" s="147" t="s">
        <v>1238</v>
      </c>
      <c r="H1161" s="159">
        <v>69.995999999999995</v>
      </c>
      <c r="I1161" s="153">
        <v>70.349999999999994</v>
      </c>
      <c r="J1161" s="153">
        <v>70.349999999999994</v>
      </c>
      <c r="K1161" s="153">
        <v>70.319999999999993</v>
      </c>
      <c r="L1161" s="153">
        <v>70.28</v>
      </c>
      <c r="M1161" s="80">
        <f t="shared" si="36"/>
        <v>70.349999999999994</v>
      </c>
      <c r="N1161" s="80">
        <f t="shared" si="37"/>
        <v>70.28</v>
      </c>
      <c r="O1161" s="153">
        <v>21.18</v>
      </c>
      <c r="P1161" s="153">
        <v>21</v>
      </c>
      <c r="Q1161" s="153">
        <v>21.11</v>
      </c>
      <c r="R1161" s="153">
        <v>21.03</v>
      </c>
      <c r="S1161" s="4"/>
      <c r="U1161" s="147" t="s">
        <v>1238</v>
      </c>
      <c r="V1161" s="11"/>
      <c r="W1161" s="4"/>
      <c r="X1161" s="12"/>
      <c r="Y1161" s="14"/>
      <c r="Z1161" s="4"/>
      <c r="AA1161" s="13"/>
      <c r="AB1161" s="11"/>
      <c r="AC1161" s="4"/>
      <c r="AD1161" s="12"/>
      <c r="AE1161" s="13"/>
      <c r="AF1161" s="14">
        <v>4.9950999999999999</v>
      </c>
      <c r="AG1161" s="133"/>
      <c r="AI1161" s="96"/>
      <c r="AL1161" s="64">
        <v>4.173916283333333</v>
      </c>
      <c r="AM1161" s="56">
        <v>14.33999999999997</v>
      </c>
      <c r="AN1161" s="56">
        <v>16.319999999999979</v>
      </c>
      <c r="AO1161" s="62">
        <v>22.43999999999993</v>
      </c>
      <c r="AQ1161" s="64">
        <v>4.082753966666667</v>
      </c>
      <c r="AR1161" s="56">
        <v>14.119999999999949</v>
      </c>
      <c r="AS1161" s="56">
        <v>15.599999999999881</v>
      </c>
      <c r="AT1161" s="62">
        <v>19.639999999999969</v>
      </c>
      <c r="AV1161" s="64">
        <v>3.72932745</v>
      </c>
      <c r="AW1161" s="56">
        <v>13.66000000000005</v>
      </c>
      <c r="AX1161" s="56">
        <v>15.16000000000002</v>
      </c>
      <c r="AY1161" s="62">
        <v>19.92000000000003</v>
      </c>
      <c r="BA1161" s="64">
        <v>3.1807337333333332</v>
      </c>
      <c r="BB1161" s="56">
        <v>16.38000000000002</v>
      </c>
      <c r="BC1161" s="56">
        <v>18.900000000000009</v>
      </c>
      <c r="BD1161" s="62">
        <v>30.959999999999969</v>
      </c>
      <c r="BF1161" s="64">
        <v>2.9019152333333329</v>
      </c>
      <c r="BG1161" s="56">
        <v>20.38000000000002</v>
      </c>
      <c r="BH1161" s="56">
        <v>27.06</v>
      </c>
      <c r="BI1161" s="62">
        <v>58.60000000000003</v>
      </c>
      <c r="BJ1161" s="70"/>
      <c r="BK1161" s="51"/>
    </row>
    <row r="1162" spans="1:63" x14ac:dyDescent="0.4">
      <c r="A1162" s="147" t="s">
        <v>1239</v>
      </c>
      <c r="G1162" s="147" t="s">
        <v>1239</v>
      </c>
      <c r="H1162" s="159">
        <v>70.002399999999994</v>
      </c>
      <c r="I1162" s="153">
        <v>70.27</v>
      </c>
      <c r="J1162" s="153">
        <v>70.33</v>
      </c>
      <c r="K1162" s="153">
        <v>70.28</v>
      </c>
      <c r="L1162" s="153">
        <v>70.349999999999994</v>
      </c>
      <c r="M1162" s="80">
        <f t="shared" si="36"/>
        <v>70.349999999999994</v>
      </c>
      <c r="N1162" s="80">
        <f t="shared" si="37"/>
        <v>70.27</v>
      </c>
      <c r="O1162" s="153">
        <v>21.15</v>
      </c>
      <c r="P1162" s="153">
        <v>21.07</v>
      </c>
      <c r="Q1162" s="153">
        <v>21.1</v>
      </c>
      <c r="R1162" s="153">
        <v>21.06</v>
      </c>
      <c r="S1162" s="4"/>
      <c r="U1162" s="147" t="s">
        <v>1239</v>
      </c>
      <c r="V1162" s="11"/>
      <c r="W1162" s="4"/>
      <c r="X1162" s="12"/>
      <c r="Y1162" s="14"/>
      <c r="Z1162" s="4"/>
      <c r="AA1162" s="13"/>
      <c r="AB1162" s="11"/>
      <c r="AC1162" s="4"/>
      <c r="AD1162" s="12"/>
      <c r="AE1162" s="13"/>
      <c r="AF1162" s="14">
        <v>4.9973999999999998</v>
      </c>
      <c r="AG1162" s="133"/>
      <c r="AI1162" s="96"/>
      <c r="AL1162" s="64">
        <v>4.1736350999999994</v>
      </c>
      <c r="AM1162" s="56">
        <v>14.87999999999996</v>
      </c>
      <c r="AN1162" s="56">
        <v>16.899999999999871</v>
      </c>
      <c r="AO1162" s="62">
        <v>23.02</v>
      </c>
      <c r="AQ1162" s="64">
        <v>4.0816252500000001</v>
      </c>
      <c r="AR1162" s="56">
        <v>14.43999999999992</v>
      </c>
      <c r="AS1162" s="56">
        <v>15.95999999999993</v>
      </c>
      <c r="AT1162" s="62">
        <v>20.07999999999992</v>
      </c>
      <c r="AV1162" s="64">
        <v>3.7281572500000002</v>
      </c>
      <c r="AW1162" s="56">
        <v>14.00000000000006</v>
      </c>
      <c r="AX1162" s="56">
        <v>15.54000000000002</v>
      </c>
      <c r="AY1162" s="62">
        <v>20.36000000000007</v>
      </c>
      <c r="BA1162" s="64">
        <v>3.1795893666666668</v>
      </c>
      <c r="BB1162" s="56">
        <v>16.400000000000059</v>
      </c>
      <c r="BC1162" s="56">
        <v>18.920000000000051</v>
      </c>
      <c r="BD1162" s="62">
        <v>30.920000000000059</v>
      </c>
      <c r="BF1162" s="64">
        <v>2.9000329499999999</v>
      </c>
      <c r="BG1162" s="56">
        <v>20.419999999999931</v>
      </c>
      <c r="BH1162" s="56">
        <v>27.179999999999978</v>
      </c>
      <c r="BI1162" s="62">
        <v>58.779999999999973</v>
      </c>
      <c r="BJ1162" s="70"/>
      <c r="BK1162" s="51"/>
    </row>
    <row r="1163" spans="1:63" x14ac:dyDescent="0.4">
      <c r="A1163" s="147" t="s">
        <v>1240</v>
      </c>
      <c r="G1163" s="147" t="s">
        <v>1240</v>
      </c>
      <c r="H1163" s="159">
        <v>69.897999999999996</v>
      </c>
      <c r="I1163" s="153">
        <v>70.38</v>
      </c>
      <c r="J1163" s="153">
        <v>70.38</v>
      </c>
      <c r="K1163" s="153">
        <v>70.36</v>
      </c>
      <c r="L1163" s="153">
        <v>70.3</v>
      </c>
      <c r="M1163" s="80">
        <f t="shared" si="36"/>
        <v>70.38</v>
      </c>
      <c r="N1163" s="80">
        <f t="shared" si="37"/>
        <v>70.3</v>
      </c>
      <c r="O1163" s="153">
        <v>21.14</v>
      </c>
      <c r="P1163" s="153">
        <v>21.15</v>
      </c>
      <c r="Q1163" s="153">
        <v>21.17</v>
      </c>
      <c r="R1163" s="153">
        <v>21.12</v>
      </c>
      <c r="S1163" s="4"/>
      <c r="U1163" s="147" t="s">
        <v>1240</v>
      </c>
      <c r="V1163" s="11"/>
      <c r="W1163" s="4"/>
      <c r="X1163" s="12"/>
      <c r="Y1163" s="14"/>
      <c r="Z1163" s="4"/>
      <c r="AA1163" s="13"/>
      <c r="AB1163" s="11"/>
      <c r="AC1163" s="4"/>
      <c r="AD1163" s="12"/>
      <c r="AE1163" s="13"/>
      <c r="AF1163" s="14">
        <v>5.0019999999999998</v>
      </c>
      <c r="AG1163" s="133"/>
      <c r="AI1163" s="96"/>
      <c r="AL1163" s="64">
        <v>4.1734394666666663</v>
      </c>
      <c r="AM1163" s="56">
        <v>13.57999999999997</v>
      </c>
      <c r="AN1163" s="56">
        <v>15.479999999999981</v>
      </c>
      <c r="AO1163" s="62">
        <v>21.460000000000079</v>
      </c>
      <c r="AQ1163" s="64">
        <v>4.0825267833333321</v>
      </c>
      <c r="AR1163" s="56">
        <v>13.2200000000001</v>
      </c>
      <c r="AS1163" s="56">
        <v>14.60000000000008</v>
      </c>
      <c r="AT1163" s="62">
        <v>18.460000000000051</v>
      </c>
      <c r="AV1163" s="64">
        <v>3.7296033500000001</v>
      </c>
      <c r="AW1163" s="56">
        <v>12.83999999999992</v>
      </c>
      <c r="AX1163" s="56">
        <v>14.25999999999998</v>
      </c>
      <c r="AY1163" s="62">
        <v>18.77999999999993</v>
      </c>
      <c r="BA1163" s="64">
        <v>3.1890907000000008</v>
      </c>
      <c r="BB1163" s="56">
        <v>15.340000000000041</v>
      </c>
      <c r="BC1163" s="56">
        <v>17.68000000000001</v>
      </c>
      <c r="BD1163" s="62">
        <v>29.239999999999981</v>
      </c>
      <c r="BF1163" s="64">
        <v>2.9207109999999998</v>
      </c>
      <c r="BG1163" s="56">
        <v>19.240000000000009</v>
      </c>
      <c r="BH1163" s="56">
        <v>25.740000000000052</v>
      </c>
      <c r="BI1163" s="62">
        <v>54.980000000000032</v>
      </c>
      <c r="BJ1163" s="70"/>
      <c r="BK1163" s="51"/>
    </row>
    <row r="1164" spans="1:63" x14ac:dyDescent="0.4">
      <c r="A1164" s="147" t="s">
        <v>1241</v>
      </c>
      <c r="G1164" s="147" t="s">
        <v>1241</v>
      </c>
      <c r="H1164" s="159">
        <v>70.099999999999994</v>
      </c>
      <c r="I1164" s="153">
        <v>70.38</v>
      </c>
      <c r="J1164" s="153">
        <v>70.39</v>
      </c>
      <c r="K1164" s="153">
        <v>70.3</v>
      </c>
      <c r="L1164" s="153">
        <v>70.37</v>
      </c>
      <c r="M1164" s="80">
        <f t="shared" si="36"/>
        <v>70.39</v>
      </c>
      <c r="N1164" s="80">
        <f t="shared" si="37"/>
        <v>70.3</v>
      </c>
      <c r="O1164" s="153">
        <v>21.2</v>
      </c>
      <c r="P1164" s="153">
        <v>21.06</v>
      </c>
      <c r="Q1164" s="153">
        <v>21.1</v>
      </c>
      <c r="R1164" s="153">
        <v>21.06</v>
      </c>
      <c r="S1164" s="4"/>
      <c r="U1164" s="147" t="s">
        <v>1241</v>
      </c>
      <c r="V1164" s="11"/>
      <c r="W1164" s="4"/>
      <c r="X1164" s="12"/>
      <c r="Y1164" s="14"/>
      <c r="Z1164" s="4"/>
      <c r="AA1164" s="13"/>
      <c r="AB1164" s="11"/>
      <c r="AC1164" s="4"/>
      <c r="AD1164" s="12"/>
      <c r="AE1164" s="13"/>
      <c r="AF1164" s="14">
        <v>5.0075000000000003</v>
      </c>
      <c r="AG1164" s="133"/>
      <c r="AI1164" s="96"/>
      <c r="AL1164" s="64">
        <v>4.1731526666666658</v>
      </c>
      <c r="AM1164" s="56">
        <v>13.56000000000002</v>
      </c>
      <c r="AN1164" s="56">
        <v>15.479999999999981</v>
      </c>
      <c r="AO1164" s="62">
        <v>21.439999999999952</v>
      </c>
      <c r="AQ1164" s="64">
        <v>4.0823236500000011</v>
      </c>
      <c r="AR1164" s="56">
        <v>13.239999999999871</v>
      </c>
      <c r="AS1164" s="56">
        <v>14.620000000000029</v>
      </c>
      <c r="AT1164" s="62">
        <v>18.499999999999961</v>
      </c>
      <c r="AV1164" s="64">
        <v>3.7293124166666658</v>
      </c>
      <c r="AW1164" s="56">
        <v>12.860000000000049</v>
      </c>
      <c r="AX1164" s="56">
        <v>14.28000000000003</v>
      </c>
      <c r="AY1164" s="62">
        <v>18.799999999999969</v>
      </c>
      <c r="BA1164" s="64">
        <v>3.1868317666666668</v>
      </c>
      <c r="BB1164" s="56">
        <v>15.39999999999999</v>
      </c>
      <c r="BC1164" s="56">
        <v>17.78000000000004</v>
      </c>
      <c r="BD1164" s="62">
        <v>29.44000000000004</v>
      </c>
      <c r="BF1164" s="64">
        <v>2.9220451166666672</v>
      </c>
      <c r="BG1164" s="56">
        <v>19.34000000000005</v>
      </c>
      <c r="BH1164" s="56">
        <v>25.820000000000039</v>
      </c>
      <c r="BI1164" s="62">
        <v>54.940000000000033</v>
      </c>
      <c r="BJ1164" s="70"/>
      <c r="BK1164" s="51"/>
    </row>
    <row r="1165" spans="1:63" x14ac:dyDescent="0.4">
      <c r="A1165" s="147" t="s">
        <v>1242</v>
      </c>
      <c r="G1165" s="147" t="s">
        <v>1242</v>
      </c>
      <c r="H1165" s="159">
        <v>70.024000000000001</v>
      </c>
      <c r="I1165" s="153">
        <v>70.31</v>
      </c>
      <c r="J1165" s="153">
        <v>70.37</v>
      </c>
      <c r="K1165" s="153">
        <v>70.400000000000006</v>
      </c>
      <c r="L1165" s="153">
        <v>70.27</v>
      </c>
      <c r="M1165" s="80">
        <f t="shared" si="36"/>
        <v>70.400000000000006</v>
      </c>
      <c r="N1165" s="80">
        <f t="shared" si="37"/>
        <v>70.27</v>
      </c>
      <c r="O1165" s="153">
        <v>21.16</v>
      </c>
      <c r="P1165" s="153">
        <v>21.03</v>
      </c>
      <c r="Q1165" s="153">
        <v>21.16</v>
      </c>
      <c r="R1165" s="153">
        <v>21.1</v>
      </c>
      <c r="S1165" s="4"/>
      <c r="U1165" s="147" t="s">
        <v>1242</v>
      </c>
      <c r="V1165" s="11"/>
      <c r="W1165" s="4"/>
      <c r="X1165" s="12"/>
      <c r="Y1165" s="14"/>
      <c r="Z1165" s="4"/>
      <c r="AA1165" s="13"/>
      <c r="AB1165" s="11"/>
      <c r="AC1165" s="4"/>
      <c r="AD1165" s="12"/>
      <c r="AE1165" s="13"/>
      <c r="AF1165" s="14">
        <v>5.0125000000000002</v>
      </c>
      <c r="AG1165" s="133"/>
      <c r="AI1165" s="96"/>
      <c r="AL1165" s="64">
        <v>4.1727044833333338</v>
      </c>
      <c r="AM1165" s="56">
        <v>12.979999999999951</v>
      </c>
      <c r="AN1165" s="56">
        <v>14.86000000000001</v>
      </c>
      <c r="AO1165" s="62">
        <v>20.800000000000018</v>
      </c>
      <c r="AQ1165" s="64">
        <v>4.0836037166666657</v>
      </c>
      <c r="AR1165" s="56">
        <v>12.919999999999909</v>
      </c>
      <c r="AS1165" s="56">
        <v>14.279999999999941</v>
      </c>
      <c r="AT1165" s="62">
        <v>18.079999999999959</v>
      </c>
      <c r="AV1165" s="64">
        <v>3.7309047833333331</v>
      </c>
      <c r="AW1165" s="56">
        <v>12.54</v>
      </c>
      <c r="AX1165" s="56">
        <v>13.899999999999929</v>
      </c>
      <c r="AY1165" s="62">
        <v>18.379999999999971</v>
      </c>
      <c r="BA1165" s="64">
        <v>3.1939357666666668</v>
      </c>
      <c r="BB1165" s="56">
        <v>15.000000000000041</v>
      </c>
      <c r="BC1165" s="56">
        <v>17.280000000000051</v>
      </c>
      <c r="BD1165" s="62">
        <v>28.580000000000009</v>
      </c>
      <c r="BF1165" s="64">
        <v>2.9211535666666659</v>
      </c>
      <c r="BG1165" s="56">
        <v>18.880000000000049</v>
      </c>
      <c r="BH1165" s="56">
        <v>25.45999999999999</v>
      </c>
      <c r="BI1165" s="62">
        <v>54.640000000000022</v>
      </c>
      <c r="BJ1165" s="70"/>
      <c r="BK1165" s="51"/>
    </row>
    <row r="1166" spans="1:63" x14ac:dyDescent="0.4">
      <c r="A1166" s="147" t="s">
        <v>1243</v>
      </c>
      <c r="G1166" s="147" t="s">
        <v>1243</v>
      </c>
      <c r="H1166" s="159">
        <v>70.088999999999999</v>
      </c>
      <c r="I1166" s="153">
        <v>70.39</v>
      </c>
      <c r="J1166" s="153">
        <v>70.349999999999994</v>
      </c>
      <c r="K1166" s="153">
        <v>70.400000000000006</v>
      </c>
      <c r="L1166" s="153">
        <v>70.33</v>
      </c>
      <c r="M1166" s="80">
        <f t="shared" si="36"/>
        <v>70.400000000000006</v>
      </c>
      <c r="N1166" s="80">
        <f t="shared" si="37"/>
        <v>70.33</v>
      </c>
      <c r="O1166" s="153">
        <v>21.15</v>
      </c>
      <c r="P1166" s="153">
        <v>20.97</v>
      </c>
      <c r="Q1166" s="153">
        <v>21.11</v>
      </c>
      <c r="R1166" s="153">
        <v>21.08</v>
      </c>
      <c r="S1166" s="4"/>
      <c r="U1166" s="147" t="s">
        <v>1243</v>
      </c>
      <c r="V1166" s="11"/>
      <c r="W1166" s="4"/>
      <c r="X1166" s="12"/>
      <c r="Y1166" s="14"/>
      <c r="Z1166" s="4"/>
      <c r="AA1166" s="13"/>
      <c r="AB1166" s="11"/>
      <c r="AC1166" s="4"/>
      <c r="AD1166" s="12"/>
      <c r="AE1166" s="13"/>
      <c r="AF1166" s="14">
        <v>4.9867999999999997</v>
      </c>
      <c r="AG1166" s="133"/>
      <c r="AI1166" s="96"/>
      <c r="AL1166" s="64">
        <v>4.1720711499999998</v>
      </c>
      <c r="AM1166" s="56">
        <v>14.87999999999996</v>
      </c>
      <c r="AN1166" s="56">
        <v>16.939999999999959</v>
      </c>
      <c r="AO1166" s="62">
        <v>23.199999999999928</v>
      </c>
      <c r="AQ1166" s="64">
        <v>4.0810821166666669</v>
      </c>
      <c r="AR1166" s="56">
        <v>14.24000000000003</v>
      </c>
      <c r="AS1166" s="56">
        <v>15.760000000000041</v>
      </c>
      <c r="AT1166" s="62">
        <v>19.81999999999999</v>
      </c>
      <c r="AV1166" s="64">
        <v>3.7280474666666672</v>
      </c>
      <c r="AW1166" s="56">
        <v>13.839999999999989</v>
      </c>
      <c r="AX1166" s="56">
        <v>15.39999999999999</v>
      </c>
      <c r="AY1166" s="62">
        <v>20.26000000000003</v>
      </c>
      <c r="BA1166" s="64">
        <v>3.184921333333333</v>
      </c>
      <c r="BB1166" s="56">
        <v>15.96000000000002</v>
      </c>
      <c r="BC1166" s="56">
        <v>18.41999999999997</v>
      </c>
      <c r="BD1166" s="62">
        <v>30.29999999999999</v>
      </c>
      <c r="BF1166" s="64">
        <v>2.902822683333333</v>
      </c>
      <c r="BG1166" s="56">
        <v>19.760000000000041</v>
      </c>
      <c r="BH1166" s="56">
        <v>25.960000000000068</v>
      </c>
      <c r="BI1166" s="62">
        <v>56.400000000000013</v>
      </c>
      <c r="BJ1166" s="70"/>
      <c r="BK1166" s="51"/>
    </row>
    <row r="1167" spans="1:63" x14ac:dyDescent="0.4">
      <c r="A1167" s="147" t="s">
        <v>1244</v>
      </c>
      <c r="G1167" s="147" t="s">
        <v>1244</v>
      </c>
      <c r="H1167" s="159">
        <v>69.995999999999995</v>
      </c>
      <c r="I1167" s="153">
        <v>70.38</v>
      </c>
      <c r="J1167" s="153">
        <v>70.28</v>
      </c>
      <c r="K1167" s="153">
        <v>70.31</v>
      </c>
      <c r="L1167" s="153">
        <v>70.28</v>
      </c>
      <c r="M1167" s="80">
        <f t="shared" si="36"/>
        <v>70.38</v>
      </c>
      <c r="N1167" s="80">
        <f t="shared" si="37"/>
        <v>70.28</v>
      </c>
      <c r="O1167" s="153">
        <v>21.14</v>
      </c>
      <c r="P1167" s="153">
        <v>21.03</v>
      </c>
      <c r="Q1167" s="153">
        <v>21.13</v>
      </c>
      <c r="R1167" s="153">
        <v>21.05</v>
      </c>
      <c r="S1167" s="4"/>
      <c r="U1167" s="147" t="s">
        <v>1244</v>
      </c>
      <c r="V1167" s="11"/>
      <c r="W1167" s="4"/>
      <c r="X1167" s="12"/>
      <c r="Y1167" s="14"/>
      <c r="Z1167" s="4"/>
      <c r="AA1167" s="13"/>
      <c r="AB1167" s="11"/>
      <c r="AC1167" s="4"/>
      <c r="AD1167" s="12"/>
      <c r="AE1167" s="13"/>
      <c r="AF1167" s="14">
        <v>5.0119999999999996</v>
      </c>
      <c r="AG1167" s="133"/>
      <c r="AI1167" s="96"/>
      <c r="AL1167" s="64">
        <v>4.1726902333333333</v>
      </c>
      <c r="AM1167" s="56">
        <v>14.02000000000001</v>
      </c>
      <c r="AN1167" s="56">
        <v>15.95999999999993</v>
      </c>
      <c r="AO1167" s="62">
        <v>21.979999999999929</v>
      </c>
      <c r="AQ1167" s="64">
        <v>4.0807481833333332</v>
      </c>
      <c r="AR1167" s="56">
        <v>13.81999999999994</v>
      </c>
      <c r="AS1167" s="56">
        <v>15.279999999999919</v>
      </c>
      <c r="AT1167" s="62">
        <v>19.32</v>
      </c>
      <c r="AV1167" s="64">
        <v>3.729178816666666</v>
      </c>
      <c r="AW1167" s="56">
        <v>13.520000000000019</v>
      </c>
      <c r="AX1167" s="56">
        <v>15.019999999999991</v>
      </c>
      <c r="AY1167" s="62">
        <v>19.78</v>
      </c>
      <c r="BA1167" s="64">
        <v>3.1920906666666671</v>
      </c>
      <c r="BB1167" s="56">
        <v>15.839999999999939</v>
      </c>
      <c r="BC1167" s="56">
        <v>18.239999999999949</v>
      </c>
      <c r="BD1167" s="62">
        <v>29.760000000000009</v>
      </c>
      <c r="BF1167" s="64">
        <v>2.9114484833333329</v>
      </c>
      <c r="BG1167" s="56">
        <v>19.880000000000031</v>
      </c>
      <c r="BH1167" s="56">
        <v>26.480000000000011</v>
      </c>
      <c r="BI1167" s="62">
        <v>56.380000000000052</v>
      </c>
      <c r="BJ1167" s="70"/>
      <c r="BK1167" s="51"/>
    </row>
    <row r="1168" spans="1:63" x14ac:dyDescent="0.4">
      <c r="A1168" s="147" t="s">
        <v>1245</v>
      </c>
      <c r="G1168" s="147" t="s">
        <v>1245</v>
      </c>
      <c r="H1168" s="159">
        <v>69.974000000000004</v>
      </c>
      <c r="I1168" s="153">
        <v>70.400000000000006</v>
      </c>
      <c r="J1168" s="153">
        <v>70.38</v>
      </c>
      <c r="K1168" s="153">
        <v>70.38</v>
      </c>
      <c r="L1168" s="153">
        <v>70.39</v>
      </c>
      <c r="M1168" s="80">
        <f t="shared" si="36"/>
        <v>70.400000000000006</v>
      </c>
      <c r="N1168" s="80">
        <f t="shared" si="37"/>
        <v>70.38</v>
      </c>
      <c r="O1168" s="153">
        <v>21.14</v>
      </c>
      <c r="P1168" s="153">
        <v>21.15</v>
      </c>
      <c r="Q1168" s="153">
        <v>21.16</v>
      </c>
      <c r="R1168" s="153">
        <v>21.09</v>
      </c>
      <c r="S1168" s="4"/>
      <c r="U1168" s="147" t="s">
        <v>1245</v>
      </c>
      <c r="V1168" s="11"/>
      <c r="W1168" s="4"/>
      <c r="X1168" s="12"/>
      <c r="Y1168" s="14"/>
      <c r="Z1168" s="4"/>
      <c r="AA1168" s="13"/>
      <c r="AB1168" s="11"/>
      <c r="AC1168" s="4"/>
      <c r="AD1168" s="12"/>
      <c r="AE1168" s="13"/>
      <c r="AF1168" s="14">
        <v>4.9603000000000002</v>
      </c>
      <c r="AG1168" s="133"/>
      <c r="AI1168" s="96"/>
      <c r="AL1168" s="64">
        <v>4.1726503333333334</v>
      </c>
      <c r="AM1168" s="56">
        <v>14.959999999999949</v>
      </c>
      <c r="AN1168" s="56">
        <v>16.999999999999989</v>
      </c>
      <c r="AO1168" s="62">
        <v>23.220000000000059</v>
      </c>
      <c r="AQ1168" s="64">
        <v>4.0808060666666659</v>
      </c>
      <c r="AR1168" s="56">
        <v>14.30000000000007</v>
      </c>
      <c r="AS1168" s="56">
        <v>15.799999999999949</v>
      </c>
      <c r="AT1168" s="62">
        <v>19.899999999999981</v>
      </c>
      <c r="AV1168" s="64">
        <v>3.7274240833333341</v>
      </c>
      <c r="AW1168" s="56">
        <v>13.879999999999979</v>
      </c>
      <c r="AX1168" s="56">
        <v>15.39999999999999</v>
      </c>
      <c r="AY1168" s="62">
        <v>20.2</v>
      </c>
      <c r="BA1168" s="64">
        <v>3.1838162333333342</v>
      </c>
      <c r="BB1168" s="56">
        <v>16.259999999999941</v>
      </c>
      <c r="BC1168" s="56">
        <v>18.719999999999981</v>
      </c>
      <c r="BD1168" s="62">
        <v>30.6</v>
      </c>
      <c r="BF1168" s="64">
        <v>2.9134655</v>
      </c>
      <c r="BG1168" s="56">
        <v>20.359999999999982</v>
      </c>
      <c r="BH1168" s="56">
        <v>27.219999999999981</v>
      </c>
      <c r="BI1168" s="62">
        <v>57.24</v>
      </c>
      <c r="BJ1168" s="70"/>
      <c r="BK1168" s="51"/>
    </row>
    <row r="1169" spans="1:63" x14ac:dyDescent="0.4">
      <c r="A1169" s="147" t="s">
        <v>1246</v>
      </c>
      <c r="G1169" s="147" t="s">
        <v>1246</v>
      </c>
      <c r="H1169" s="159">
        <v>69.948999999999998</v>
      </c>
      <c r="I1169" s="153">
        <v>70.28</v>
      </c>
      <c r="J1169" s="153">
        <v>70.319999999999993</v>
      </c>
      <c r="K1169" s="153">
        <v>70.28</v>
      </c>
      <c r="L1169" s="153">
        <v>70.3</v>
      </c>
      <c r="M1169" s="80">
        <f t="shared" si="36"/>
        <v>70.319999999999993</v>
      </c>
      <c r="N1169" s="80">
        <f t="shared" si="37"/>
        <v>70.28</v>
      </c>
      <c r="O1169" s="153">
        <v>21.17</v>
      </c>
      <c r="P1169" s="153">
        <v>21.16</v>
      </c>
      <c r="Q1169" s="153">
        <v>21.11</v>
      </c>
      <c r="R1169" s="153">
        <v>21.05</v>
      </c>
      <c r="S1169" s="4"/>
      <c r="U1169" s="147" t="s">
        <v>1246</v>
      </c>
      <c r="V1169" s="11"/>
      <c r="W1169" s="4"/>
      <c r="X1169" s="12"/>
      <c r="Y1169" s="14"/>
      <c r="Z1169" s="4"/>
      <c r="AA1169" s="13"/>
      <c r="AB1169" s="11"/>
      <c r="AC1169" s="4"/>
      <c r="AD1169" s="12"/>
      <c r="AE1169" s="13"/>
      <c r="AF1169" s="14">
        <v>4.9996</v>
      </c>
      <c r="AG1169" s="133"/>
      <c r="AI1169" s="96"/>
      <c r="AL1169" s="64">
        <v>4.1724343999999993</v>
      </c>
      <c r="AM1169" s="56">
        <v>14.81999999999992</v>
      </c>
      <c r="AN1169" s="56">
        <v>16.840000000000011</v>
      </c>
      <c r="AO1169" s="62">
        <v>22.999999999999861</v>
      </c>
      <c r="AQ1169" s="64">
        <v>4.0814728666666671</v>
      </c>
      <c r="AR1169" s="56">
        <v>14.380000000000059</v>
      </c>
      <c r="AS1169" s="56">
        <v>15.87999999999994</v>
      </c>
      <c r="AT1169" s="62">
        <v>20.04000000000001</v>
      </c>
      <c r="AV1169" s="64">
        <v>3.7284433333333329</v>
      </c>
      <c r="AW1169" s="56">
        <v>13.879999999999979</v>
      </c>
      <c r="AX1169" s="56">
        <v>15.41999999999994</v>
      </c>
      <c r="AY1169" s="62">
        <v>20.239999999999991</v>
      </c>
      <c r="BA1169" s="64">
        <v>3.184380533333333</v>
      </c>
      <c r="BB1169" s="56">
        <v>16.27999999999998</v>
      </c>
      <c r="BC1169" s="56">
        <v>18.75999999999998</v>
      </c>
      <c r="BD1169" s="62">
        <v>30.660000000000039</v>
      </c>
      <c r="BF1169" s="64">
        <v>2.915531216666666</v>
      </c>
      <c r="BG1169" s="56">
        <v>20.259999999999941</v>
      </c>
      <c r="BH1169" s="56">
        <v>27.219999999999981</v>
      </c>
      <c r="BI1169" s="62">
        <v>57.259999999999962</v>
      </c>
      <c r="BJ1169" s="70"/>
      <c r="BK1169" s="51"/>
    </row>
    <row r="1170" spans="1:63" x14ac:dyDescent="0.4">
      <c r="A1170" s="147" t="s">
        <v>1247</v>
      </c>
      <c r="G1170" s="147" t="s">
        <v>1247</v>
      </c>
      <c r="H1170" s="159">
        <v>70.075999999999993</v>
      </c>
      <c r="I1170" s="153">
        <v>70.3</v>
      </c>
      <c r="J1170" s="153">
        <v>70.33</v>
      </c>
      <c r="K1170" s="153">
        <v>70.3</v>
      </c>
      <c r="L1170" s="153">
        <v>70.28</v>
      </c>
      <c r="M1170" s="80">
        <f t="shared" si="36"/>
        <v>70.33</v>
      </c>
      <c r="N1170" s="80">
        <f t="shared" si="37"/>
        <v>70.28</v>
      </c>
      <c r="O1170" s="153">
        <v>21.17</v>
      </c>
      <c r="P1170" s="153">
        <v>21.14</v>
      </c>
      <c r="Q1170" s="153">
        <v>21.11</v>
      </c>
      <c r="R1170" s="153">
        <v>21.03</v>
      </c>
      <c r="S1170" s="4"/>
      <c r="U1170" s="147" t="s">
        <v>1247</v>
      </c>
      <c r="V1170" s="11"/>
      <c r="W1170" s="4"/>
      <c r="X1170" s="12"/>
      <c r="Y1170" s="14"/>
      <c r="Z1170" s="4"/>
      <c r="AA1170" s="13"/>
      <c r="AB1170" s="11"/>
      <c r="AC1170" s="4"/>
      <c r="AD1170" s="12"/>
      <c r="AE1170" s="13"/>
      <c r="AF1170" s="14">
        <v>5.0056000000000003</v>
      </c>
      <c r="AG1170" s="133"/>
      <c r="AI1170" s="96"/>
      <c r="AL1170" s="64">
        <v>4.1727923333333337</v>
      </c>
      <c r="AM1170" s="56">
        <v>14.43999999999992</v>
      </c>
      <c r="AN1170" s="56">
        <v>16.43999999999988</v>
      </c>
      <c r="AO1170" s="62">
        <v>22.519999999999921</v>
      </c>
      <c r="AQ1170" s="64">
        <v>4.082343783333334</v>
      </c>
      <c r="AR1170" s="56">
        <v>14.33999999999997</v>
      </c>
      <c r="AS1170" s="56">
        <v>15.799999999999949</v>
      </c>
      <c r="AT1170" s="62">
        <v>19.919999999999941</v>
      </c>
      <c r="AV1170" s="64">
        <v>3.7295338</v>
      </c>
      <c r="AW1170" s="56">
        <v>13.700000000000051</v>
      </c>
      <c r="AX1170" s="56">
        <v>15.20000000000001</v>
      </c>
      <c r="AY1170" s="62">
        <v>19.960000000000019</v>
      </c>
      <c r="BA1170" s="64">
        <v>3.1857649499999998</v>
      </c>
      <c r="BB1170" s="56">
        <v>16.019999999999971</v>
      </c>
      <c r="BC1170" s="56">
        <v>18.459999999999969</v>
      </c>
      <c r="BD1170" s="62">
        <v>30.279999999999951</v>
      </c>
      <c r="BF1170" s="64">
        <v>2.916477233333334</v>
      </c>
      <c r="BG1170" s="56">
        <v>20.05999999999997</v>
      </c>
      <c r="BH1170" s="56">
        <v>26.89999999999992</v>
      </c>
      <c r="BI1170" s="62">
        <v>56.959999999999937</v>
      </c>
      <c r="BJ1170" s="70"/>
      <c r="BK1170" s="51"/>
    </row>
    <row r="1171" spans="1:63" x14ac:dyDescent="0.4">
      <c r="A1171" s="147" t="s">
        <v>1248</v>
      </c>
      <c r="G1171" s="147" t="s">
        <v>1248</v>
      </c>
      <c r="H1171" s="159">
        <v>70.075000000000003</v>
      </c>
      <c r="I1171" s="153">
        <v>70.290000000000006</v>
      </c>
      <c r="J1171" s="153">
        <v>70.290000000000006</v>
      </c>
      <c r="K1171" s="153">
        <v>70.400000000000006</v>
      </c>
      <c r="L1171" s="153">
        <v>70.37</v>
      </c>
      <c r="M1171" s="80">
        <f t="shared" si="36"/>
        <v>70.400000000000006</v>
      </c>
      <c r="N1171" s="80">
        <f t="shared" si="37"/>
        <v>70.290000000000006</v>
      </c>
      <c r="O1171" s="153">
        <v>21.19</v>
      </c>
      <c r="P1171" s="153">
        <v>21.15</v>
      </c>
      <c r="Q1171" s="153">
        <v>21.13</v>
      </c>
      <c r="R1171" s="153">
        <v>21.08</v>
      </c>
      <c r="S1171" s="4"/>
      <c r="U1171" s="147" t="s">
        <v>1248</v>
      </c>
      <c r="V1171" s="11"/>
      <c r="W1171" s="4"/>
      <c r="X1171" s="12"/>
      <c r="Y1171" s="14"/>
      <c r="Z1171" s="4"/>
      <c r="AA1171" s="13"/>
      <c r="AB1171" s="11"/>
      <c r="AC1171" s="4"/>
      <c r="AD1171" s="12"/>
      <c r="AE1171" s="13"/>
      <c r="AF1171" s="14">
        <v>4.9980000000000002</v>
      </c>
      <c r="AG1171" s="133"/>
      <c r="AI1171" s="96"/>
      <c r="AL1171" s="64">
        <v>4.1735273500000014</v>
      </c>
      <c r="AM1171" s="56">
        <v>14.460000000000051</v>
      </c>
      <c r="AN1171" s="56">
        <v>16.460000000000012</v>
      </c>
      <c r="AO1171" s="62">
        <v>22.579999999999959</v>
      </c>
      <c r="AQ1171" s="64">
        <v>4.0824604499999984</v>
      </c>
      <c r="AR1171" s="56">
        <v>14.239999999999849</v>
      </c>
      <c r="AS1171" s="56">
        <v>15.71999999999996</v>
      </c>
      <c r="AT1171" s="62">
        <v>19.779999999999909</v>
      </c>
      <c r="AV1171" s="64">
        <v>3.7301385833333329</v>
      </c>
      <c r="AW1171" s="56">
        <v>13.79999999999999</v>
      </c>
      <c r="AX1171" s="56">
        <v>15.32</v>
      </c>
      <c r="AY1171" s="62">
        <v>20.060000000000059</v>
      </c>
      <c r="BA1171" s="64">
        <v>3.187169233333333</v>
      </c>
      <c r="BB1171" s="56">
        <v>16.180000000000039</v>
      </c>
      <c r="BC1171" s="56">
        <v>18.62000000000004</v>
      </c>
      <c r="BD1171" s="62">
        <v>30.360000000000031</v>
      </c>
      <c r="BF1171" s="64">
        <v>2.899928366666666</v>
      </c>
      <c r="BG1171" s="56">
        <v>20.27999999999999</v>
      </c>
      <c r="BH1171" s="56">
        <v>26.959999999999962</v>
      </c>
      <c r="BI1171" s="62">
        <v>58.659999999999982</v>
      </c>
      <c r="BJ1171" s="70"/>
      <c r="BK1171" s="51"/>
    </row>
    <row r="1172" spans="1:63" x14ac:dyDescent="0.4">
      <c r="A1172" s="147" t="s">
        <v>1249</v>
      </c>
      <c r="G1172" s="147" t="s">
        <v>1249</v>
      </c>
      <c r="H1172" s="159">
        <v>70.031999999999996</v>
      </c>
      <c r="I1172" s="153">
        <v>70.400000000000006</v>
      </c>
      <c r="J1172" s="153">
        <v>70.33</v>
      </c>
      <c r="K1172" s="153">
        <v>70.31</v>
      </c>
      <c r="L1172" s="153">
        <v>70.37</v>
      </c>
      <c r="M1172" s="80">
        <f t="shared" si="36"/>
        <v>70.400000000000006</v>
      </c>
      <c r="N1172" s="80">
        <f t="shared" si="37"/>
        <v>70.31</v>
      </c>
      <c r="O1172" s="153">
        <v>21.18</v>
      </c>
      <c r="P1172" s="153">
        <v>21.16</v>
      </c>
      <c r="Q1172" s="153">
        <v>21.15</v>
      </c>
      <c r="R1172" s="153">
        <v>21.09</v>
      </c>
      <c r="S1172" s="4"/>
      <c r="U1172" s="147" t="s">
        <v>1249</v>
      </c>
      <c r="V1172" s="11"/>
      <c r="W1172" s="4"/>
      <c r="X1172" s="12"/>
      <c r="Y1172" s="14"/>
      <c r="Z1172" s="4"/>
      <c r="AA1172" s="13"/>
      <c r="AB1172" s="11"/>
      <c r="AC1172" s="4"/>
      <c r="AD1172" s="12"/>
      <c r="AE1172" s="13"/>
      <c r="AF1172" s="14">
        <v>4.9951999999999996</v>
      </c>
      <c r="AG1172" s="133"/>
      <c r="AI1172" s="96"/>
      <c r="AL1172" s="64">
        <v>4.1734552166666674</v>
      </c>
      <c r="AM1172" s="56">
        <v>13.899999999999929</v>
      </c>
      <c r="AN1172" s="56">
        <v>15.84000000000003</v>
      </c>
      <c r="AO1172" s="62">
        <v>21.819999999999951</v>
      </c>
      <c r="AQ1172" s="64">
        <v>4.0814624166666666</v>
      </c>
      <c r="AR1172" s="56">
        <v>13.68000000000009</v>
      </c>
      <c r="AS1172" s="56">
        <v>15.120000000000109</v>
      </c>
      <c r="AT1172" s="62">
        <v>19.09999999999998</v>
      </c>
      <c r="AV1172" s="64">
        <v>3.7286027000000002</v>
      </c>
      <c r="AW1172" s="56">
        <v>13.079999999999981</v>
      </c>
      <c r="AX1172" s="56">
        <v>14.52</v>
      </c>
      <c r="AY1172" s="62">
        <v>19.179999999999971</v>
      </c>
      <c r="BA1172" s="64">
        <v>3.1826292999999999</v>
      </c>
      <c r="BB1172" s="56">
        <v>15.17999999999997</v>
      </c>
      <c r="BC1172" s="56">
        <v>17.559999999999931</v>
      </c>
      <c r="BD1172" s="62">
        <v>29.179999999999939</v>
      </c>
      <c r="BF1172" s="64">
        <v>2.8986132666666671</v>
      </c>
      <c r="BG1172" s="56">
        <v>19.059999999999992</v>
      </c>
      <c r="BH1172" s="56">
        <v>25.520000000000032</v>
      </c>
      <c r="BI1172" s="62">
        <v>56.880000000000038</v>
      </c>
      <c r="BJ1172" s="70"/>
      <c r="BK1172" s="51"/>
    </row>
    <row r="1173" spans="1:63" x14ac:dyDescent="0.4">
      <c r="A1173" s="147" t="s">
        <v>1250</v>
      </c>
      <c r="G1173" s="147" t="s">
        <v>1250</v>
      </c>
      <c r="H1173" s="159">
        <v>70.091999999999999</v>
      </c>
      <c r="I1173" s="153">
        <v>70.31</v>
      </c>
      <c r="J1173" s="153">
        <v>70.31</v>
      </c>
      <c r="K1173" s="153">
        <v>70.3</v>
      </c>
      <c r="L1173" s="153">
        <v>70.290000000000006</v>
      </c>
      <c r="M1173" s="80">
        <f t="shared" si="36"/>
        <v>70.31</v>
      </c>
      <c r="N1173" s="80">
        <f t="shared" si="37"/>
        <v>70.290000000000006</v>
      </c>
      <c r="O1173" s="153">
        <v>21.21</v>
      </c>
      <c r="P1173" s="153">
        <v>21.16</v>
      </c>
      <c r="Q1173" s="153">
        <v>21.11</v>
      </c>
      <c r="R1173" s="153">
        <v>21.08</v>
      </c>
      <c r="S1173" s="4"/>
      <c r="U1173" s="147" t="s">
        <v>1250</v>
      </c>
      <c r="V1173" s="11"/>
      <c r="W1173" s="4"/>
      <c r="X1173" s="12"/>
      <c r="Y1173" s="14"/>
      <c r="Z1173" s="4"/>
      <c r="AA1173" s="13"/>
      <c r="AB1173" s="11"/>
      <c r="AC1173" s="4"/>
      <c r="AD1173" s="12"/>
      <c r="AE1173" s="13"/>
      <c r="AF1173" s="14">
        <v>4.9973000000000001</v>
      </c>
      <c r="AG1173" s="133"/>
      <c r="AI1173" s="96"/>
      <c r="AL1173" s="64">
        <v>4.1734699833333329</v>
      </c>
      <c r="AM1173" s="56">
        <v>13.8399999999999</v>
      </c>
      <c r="AN1173" s="56">
        <v>15.73999999999991</v>
      </c>
      <c r="AO1173" s="62">
        <v>21.679999999999922</v>
      </c>
      <c r="AQ1173" s="64">
        <v>4.0815964000000013</v>
      </c>
      <c r="AR1173" s="56">
        <v>13.219999999999921</v>
      </c>
      <c r="AS1173" s="56">
        <v>14.5999999999999</v>
      </c>
      <c r="AT1173" s="62">
        <v>18.43999999999992</v>
      </c>
      <c r="AV1173" s="64">
        <v>3.7289708166666671</v>
      </c>
      <c r="AW1173" s="56">
        <v>12.78000000000006</v>
      </c>
      <c r="AX1173" s="56">
        <v>14.179999999999991</v>
      </c>
      <c r="AY1173" s="62">
        <v>18.679999999999989</v>
      </c>
      <c r="BA1173" s="64">
        <v>3.1904395666666669</v>
      </c>
      <c r="BB1173" s="56">
        <v>15.240000000000011</v>
      </c>
      <c r="BC1173" s="56">
        <v>17.56000000000002</v>
      </c>
      <c r="BD1173" s="62">
        <v>28.960000000000012</v>
      </c>
      <c r="BF1173" s="64">
        <v>2.9175882166666671</v>
      </c>
      <c r="BG1173" s="56">
        <v>19.140000000000072</v>
      </c>
      <c r="BH1173" s="56">
        <v>25.660000000000061</v>
      </c>
      <c r="BI1173" s="62">
        <v>54.900000000000041</v>
      </c>
      <c r="BJ1173" s="70"/>
      <c r="BK1173" s="51"/>
    </row>
    <row r="1174" spans="1:63" x14ac:dyDescent="0.4">
      <c r="A1174" s="147" t="s">
        <v>1251</v>
      </c>
      <c r="G1174" s="147" t="s">
        <v>1251</v>
      </c>
      <c r="H1174" s="159">
        <v>70.018000000000001</v>
      </c>
      <c r="I1174" s="153">
        <v>70.3</v>
      </c>
      <c r="J1174" s="153">
        <v>70.319999999999993</v>
      </c>
      <c r="K1174" s="153">
        <v>70.36</v>
      </c>
      <c r="L1174" s="153">
        <v>70.28</v>
      </c>
      <c r="M1174" s="80">
        <f t="shared" si="36"/>
        <v>70.36</v>
      </c>
      <c r="N1174" s="80">
        <f t="shared" si="37"/>
        <v>70.28</v>
      </c>
      <c r="O1174" s="153">
        <v>21.17</v>
      </c>
      <c r="P1174" s="153">
        <v>21.05</v>
      </c>
      <c r="Q1174" s="153">
        <v>21.15</v>
      </c>
      <c r="R1174" s="153">
        <v>21.03</v>
      </c>
      <c r="S1174" s="4"/>
      <c r="U1174" s="147" t="s">
        <v>1251</v>
      </c>
      <c r="V1174" s="11"/>
      <c r="W1174" s="4"/>
      <c r="X1174" s="12"/>
      <c r="Y1174" s="14"/>
      <c r="Z1174" s="4"/>
      <c r="AA1174" s="13"/>
      <c r="AB1174" s="11"/>
      <c r="AC1174" s="4"/>
      <c r="AD1174" s="12"/>
      <c r="AE1174" s="13"/>
      <c r="AF1174" s="14">
        <v>4.9946999999999999</v>
      </c>
      <c r="AG1174" s="133"/>
      <c r="AI1174" s="96"/>
      <c r="AL1174" s="64">
        <v>4.1738460833333342</v>
      </c>
      <c r="AM1174" s="56">
        <v>13.81999999999994</v>
      </c>
      <c r="AN1174" s="56">
        <v>15.7</v>
      </c>
      <c r="AO1174" s="62">
        <v>21.659999999999972</v>
      </c>
      <c r="AQ1174" s="64">
        <v>4.081803316666667</v>
      </c>
      <c r="AR1174" s="56">
        <v>13.24000000000005</v>
      </c>
      <c r="AS1174" s="56">
        <v>14.63999999999999</v>
      </c>
      <c r="AT1174" s="62">
        <v>18.460000000000051</v>
      </c>
      <c r="AV1174" s="64">
        <v>3.7298163</v>
      </c>
      <c r="AW1174" s="56">
        <v>12.900000000000039</v>
      </c>
      <c r="AX1174" s="56">
        <v>14.30000000000007</v>
      </c>
      <c r="AY1174" s="62">
        <v>18.820000000000011</v>
      </c>
      <c r="BA1174" s="64">
        <v>3.1957980833333339</v>
      </c>
      <c r="BB1174" s="56">
        <v>15.28</v>
      </c>
      <c r="BC1174" s="56">
        <v>17.600000000000019</v>
      </c>
      <c r="BD1174" s="62">
        <v>28.800000000000029</v>
      </c>
      <c r="BF1174" s="64">
        <v>2.9128695000000011</v>
      </c>
      <c r="BG1174" s="56">
        <v>19.34000000000005</v>
      </c>
      <c r="BH1174" s="56">
        <v>25.860000000000039</v>
      </c>
      <c r="BI1174" s="62">
        <v>55.52000000000001</v>
      </c>
      <c r="BJ1174" s="70"/>
      <c r="BK1174" s="51"/>
    </row>
    <row r="1175" spans="1:63" x14ac:dyDescent="0.4">
      <c r="A1175" s="147" t="s">
        <v>1252</v>
      </c>
      <c r="G1175" s="147" t="s">
        <v>1252</v>
      </c>
      <c r="H1175" s="159">
        <v>69.954999999999998</v>
      </c>
      <c r="I1175" s="153">
        <v>70.3</v>
      </c>
      <c r="J1175" s="153">
        <v>70.38</v>
      </c>
      <c r="K1175" s="153">
        <v>70.290000000000006</v>
      </c>
      <c r="L1175" s="153">
        <v>70.31</v>
      </c>
      <c r="M1175" s="80">
        <f t="shared" si="36"/>
        <v>70.38</v>
      </c>
      <c r="N1175" s="80">
        <f t="shared" si="37"/>
        <v>70.290000000000006</v>
      </c>
      <c r="O1175" s="153">
        <v>21.21</v>
      </c>
      <c r="P1175" s="153">
        <v>21.07</v>
      </c>
      <c r="Q1175" s="153">
        <v>21.14</v>
      </c>
      <c r="R1175" s="153">
        <v>21.04</v>
      </c>
      <c r="S1175" s="4"/>
      <c r="U1175" s="147" t="s">
        <v>1252</v>
      </c>
      <c r="V1175" s="11"/>
      <c r="W1175" s="4"/>
      <c r="X1175" s="12"/>
      <c r="Y1175" s="14"/>
      <c r="Z1175" s="4"/>
      <c r="AA1175" s="13"/>
      <c r="AB1175" s="11"/>
      <c r="AC1175" s="4"/>
      <c r="AD1175" s="12"/>
      <c r="AE1175" s="13"/>
      <c r="AF1175" s="14">
        <v>5.0060000000000002</v>
      </c>
      <c r="AG1175" s="133"/>
      <c r="AI1175" s="96"/>
      <c r="AL1175" s="64">
        <v>4.1736287500000007</v>
      </c>
      <c r="AM1175" s="56">
        <v>13.559999999999841</v>
      </c>
      <c r="AN1175" s="56">
        <v>15.45999999999985</v>
      </c>
      <c r="AO1175" s="62">
        <v>21.419999999999991</v>
      </c>
      <c r="AQ1175" s="64">
        <v>4.0821058999999984</v>
      </c>
      <c r="AR1175" s="56">
        <v>13.100000000000019</v>
      </c>
      <c r="AS1175" s="56">
        <v>14.48</v>
      </c>
      <c r="AT1175" s="62">
        <v>18.300000000000072</v>
      </c>
      <c r="AV1175" s="64">
        <v>3.7291560499999989</v>
      </c>
      <c r="AW1175" s="56">
        <v>12.680000000000019</v>
      </c>
      <c r="AX1175" s="56">
        <v>14.08000000000005</v>
      </c>
      <c r="AY1175" s="62">
        <v>18.580000000000041</v>
      </c>
      <c r="BA1175" s="64">
        <v>3.188416183333334</v>
      </c>
      <c r="BB1175" s="56">
        <v>15.21999999999997</v>
      </c>
      <c r="BC1175" s="56">
        <v>17.559999999999931</v>
      </c>
      <c r="BD1175" s="62">
        <v>29.04</v>
      </c>
      <c r="BF1175" s="64">
        <v>2.915504433333334</v>
      </c>
      <c r="BG1175" s="56">
        <v>19.139999999999979</v>
      </c>
      <c r="BH1175" s="56">
        <v>25.68000000000001</v>
      </c>
      <c r="BI1175" s="62">
        <v>55.319999999999943</v>
      </c>
      <c r="BJ1175" s="70"/>
      <c r="BK1175" s="51"/>
    </row>
    <row r="1176" spans="1:63" x14ac:dyDescent="0.4">
      <c r="A1176" s="147" t="s">
        <v>1253</v>
      </c>
      <c r="G1176" s="147" t="s">
        <v>1253</v>
      </c>
      <c r="H1176" s="159">
        <v>69.924000000000007</v>
      </c>
      <c r="I1176" s="153">
        <v>70.38</v>
      </c>
      <c r="J1176" s="153">
        <v>70.290000000000006</v>
      </c>
      <c r="K1176" s="153">
        <v>70.28</v>
      </c>
      <c r="L1176" s="153">
        <v>70.33</v>
      </c>
      <c r="M1176" s="80">
        <f t="shared" si="36"/>
        <v>70.38</v>
      </c>
      <c r="N1176" s="80">
        <f t="shared" si="37"/>
        <v>70.28</v>
      </c>
      <c r="O1176" s="153">
        <v>21.08</v>
      </c>
      <c r="P1176" s="153">
        <v>21.02</v>
      </c>
      <c r="Q1176" s="153">
        <v>21.13</v>
      </c>
      <c r="R1176" s="153">
        <v>21.09</v>
      </c>
      <c r="S1176" s="4"/>
      <c r="U1176" s="147" t="s">
        <v>1253</v>
      </c>
      <c r="V1176" s="11"/>
      <c r="W1176" s="4"/>
      <c r="X1176" s="12"/>
      <c r="Y1176" s="14"/>
      <c r="Z1176" s="4"/>
      <c r="AA1176" s="13"/>
      <c r="AB1176" s="11"/>
      <c r="AC1176" s="4"/>
      <c r="AD1176" s="12"/>
      <c r="AE1176" s="13"/>
      <c r="AF1176" s="14">
        <v>4.9801000000000002</v>
      </c>
      <c r="AG1176" s="133"/>
      <c r="AI1176" s="96"/>
      <c r="AL1176" s="64">
        <v>4.1741905333333333</v>
      </c>
      <c r="AM1176" s="56">
        <v>13.81999999999994</v>
      </c>
      <c r="AN1176" s="56">
        <v>15.78</v>
      </c>
      <c r="AO1176" s="62">
        <v>21.8</v>
      </c>
      <c r="AQ1176" s="64">
        <v>4.0831082333333342</v>
      </c>
      <c r="AR1176" s="56">
        <v>13.49999999999998</v>
      </c>
      <c r="AS1176" s="56">
        <v>14.94</v>
      </c>
      <c r="AT1176" s="62">
        <v>18.87999999999996</v>
      </c>
      <c r="AV1176" s="64">
        <v>3.7301656166666661</v>
      </c>
      <c r="AW1176" s="56">
        <v>13.15999999999997</v>
      </c>
      <c r="AX1176" s="56">
        <v>14.620000000000029</v>
      </c>
      <c r="AY1176" s="62">
        <v>19.240000000000009</v>
      </c>
      <c r="BA1176" s="64">
        <v>3.183687766666667</v>
      </c>
      <c r="BB1176" s="56">
        <v>15.859999999999991</v>
      </c>
      <c r="BC1176" s="56">
        <v>18.299999999999979</v>
      </c>
      <c r="BD1176" s="62">
        <v>30.119999999999969</v>
      </c>
      <c r="BF1176" s="64">
        <v>2.9092695833333329</v>
      </c>
      <c r="BG1176" s="56">
        <v>19.83999999999995</v>
      </c>
      <c r="BH1176" s="56">
        <v>26.440000000000019</v>
      </c>
      <c r="BI1176" s="62">
        <v>56.879999999999953</v>
      </c>
      <c r="BJ1176" s="70"/>
      <c r="BK1176" s="51"/>
    </row>
    <row r="1177" spans="1:63" x14ac:dyDescent="0.4">
      <c r="A1177" s="147" t="s">
        <v>1254</v>
      </c>
      <c r="G1177" s="147" t="s">
        <v>1254</v>
      </c>
      <c r="H1177" s="159">
        <v>69.954999999999998</v>
      </c>
      <c r="I1177" s="153">
        <v>70.31</v>
      </c>
      <c r="J1177" s="153">
        <v>70.34</v>
      </c>
      <c r="K1177" s="153">
        <v>70.37</v>
      </c>
      <c r="L1177" s="153">
        <v>70.290000000000006</v>
      </c>
      <c r="M1177" s="80">
        <f t="shared" si="36"/>
        <v>70.37</v>
      </c>
      <c r="N1177" s="80">
        <f t="shared" si="37"/>
        <v>70.290000000000006</v>
      </c>
      <c r="O1177" s="153">
        <v>21.15</v>
      </c>
      <c r="P1177" s="153">
        <v>21.09</v>
      </c>
      <c r="Q1177" s="153">
        <v>21.13</v>
      </c>
      <c r="R1177" s="153">
        <v>21.03</v>
      </c>
      <c r="S1177" s="4"/>
      <c r="U1177" s="147" t="s">
        <v>1254</v>
      </c>
      <c r="V1177" s="11"/>
      <c r="W1177" s="4"/>
      <c r="X1177" s="12"/>
      <c r="Y1177" s="14"/>
      <c r="Z1177" s="4"/>
      <c r="AA1177" s="13"/>
      <c r="AB1177" s="11"/>
      <c r="AC1177" s="4"/>
      <c r="AD1177" s="12"/>
      <c r="AE1177" s="13"/>
      <c r="AF1177" s="14">
        <v>5.0007000000000001</v>
      </c>
      <c r="AG1177" s="133"/>
      <c r="AI1177" s="96"/>
      <c r="AL1177" s="64">
        <v>4.1728909999999999</v>
      </c>
      <c r="AM1177" s="56">
        <v>13.72</v>
      </c>
      <c r="AN1177" s="56">
        <v>15.640000000000139</v>
      </c>
      <c r="AO1177" s="62">
        <v>21.640000000000011</v>
      </c>
      <c r="AQ1177" s="64">
        <v>4.0813386166666668</v>
      </c>
      <c r="AR1177" s="56">
        <v>13.30000000000009</v>
      </c>
      <c r="AS1177" s="56">
        <v>14.700000000000021</v>
      </c>
      <c r="AT1177" s="62">
        <v>18.62000000000004</v>
      </c>
      <c r="AV1177" s="64">
        <v>3.72740735</v>
      </c>
      <c r="AW1177" s="56">
        <v>12.94000000000004</v>
      </c>
      <c r="AX1177" s="56">
        <v>14.379999999999971</v>
      </c>
      <c r="AY1177" s="62">
        <v>19.000000000000039</v>
      </c>
      <c r="BA1177" s="64">
        <v>3.1823499000000002</v>
      </c>
      <c r="BB1177" s="56">
        <v>15.460000000000029</v>
      </c>
      <c r="BC1177" s="56">
        <v>17.860000000000031</v>
      </c>
      <c r="BD1177" s="62">
        <v>29.699999999999971</v>
      </c>
      <c r="BF1177" s="64">
        <v>2.9204024666666659</v>
      </c>
      <c r="BG1177" s="56">
        <v>19.240000000000009</v>
      </c>
      <c r="BH1177" s="56">
        <v>25.699999999999971</v>
      </c>
      <c r="BI1177" s="62">
        <v>54.699999999999967</v>
      </c>
      <c r="BJ1177" s="70"/>
      <c r="BK1177" s="51"/>
    </row>
    <row r="1178" spans="1:63" x14ac:dyDescent="0.4">
      <c r="A1178" s="147" t="s">
        <v>1255</v>
      </c>
      <c r="G1178" s="147" t="s">
        <v>1255</v>
      </c>
      <c r="H1178" s="159">
        <v>69.992999999999995</v>
      </c>
      <c r="I1178" s="153">
        <v>70.349999999999994</v>
      </c>
      <c r="J1178" s="153">
        <v>70.34</v>
      </c>
      <c r="K1178" s="153">
        <v>70.290000000000006</v>
      </c>
      <c r="L1178" s="153">
        <v>70.349999999999994</v>
      </c>
      <c r="M1178" s="80">
        <f t="shared" si="36"/>
        <v>70.349999999999994</v>
      </c>
      <c r="N1178" s="80">
        <f t="shared" si="37"/>
        <v>70.290000000000006</v>
      </c>
      <c r="O1178" s="153">
        <v>21.19</v>
      </c>
      <c r="P1178" s="153">
        <v>21.12</v>
      </c>
      <c r="Q1178" s="153">
        <v>21.17</v>
      </c>
      <c r="R1178" s="153">
        <v>21.11</v>
      </c>
      <c r="S1178" s="4"/>
      <c r="U1178" s="147" t="s">
        <v>1255</v>
      </c>
      <c r="V1178" s="11"/>
      <c r="W1178" s="4"/>
      <c r="X1178" s="12"/>
      <c r="Y1178" s="14"/>
      <c r="Z1178" s="4"/>
      <c r="AA1178" s="13"/>
      <c r="AB1178" s="11"/>
      <c r="AC1178" s="4"/>
      <c r="AD1178" s="12"/>
      <c r="AE1178" s="13"/>
      <c r="AF1178" s="14">
        <v>4.9546000000000001</v>
      </c>
      <c r="AG1178" s="133"/>
      <c r="AI1178" s="96"/>
      <c r="AL1178" s="64">
        <v>4.1741418833333332</v>
      </c>
      <c r="AM1178" s="56">
        <v>13.620000000000051</v>
      </c>
      <c r="AN1178" s="56">
        <v>15.54000000000002</v>
      </c>
      <c r="AO1178" s="62">
        <v>21.52000000000012</v>
      </c>
      <c r="AQ1178" s="64">
        <v>4.0817221999999989</v>
      </c>
      <c r="AR1178" s="56">
        <v>13.11999999999998</v>
      </c>
      <c r="AS1178" s="56">
        <v>14.52000000000009</v>
      </c>
      <c r="AT1178" s="62">
        <v>18.400000000000109</v>
      </c>
      <c r="AV1178" s="64">
        <v>3.7289203500000001</v>
      </c>
      <c r="AW1178" s="56">
        <v>12.659999999999981</v>
      </c>
      <c r="AX1178" s="56">
        <v>14.08000000000005</v>
      </c>
      <c r="AY1178" s="62">
        <v>18.599999999999991</v>
      </c>
      <c r="BA1178" s="64">
        <v>3.182950916666667</v>
      </c>
      <c r="BB1178" s="56">
        <v>14.959999999999949</v>
      </c>
      <c r="BC1178" s="56">
        <v>17.34</v>
      </c>
      <c r="BD1178" s="62">
        <v>28.939999999999969</v>
      </c>
      <c r="BF1178" s="64">
        <v>2.9084216000000001</v>
      </c>
      <c r="BG1178" s="56">
        <v>18.75999999999998</v>
      </c>
      <c r="BH1178" s="56">
        <v>25.260000000000019</v>
      </c>
      <c r="BI1178" s="62">
        <v>55.440000000000033</v>
      </c>
      <c r="BJ1178" s="70"/>
      <c r="BK1178" s="51"/>
    </row>
    <row r="1179" spans="1:63" x14ac:dyDescent="0.4">
      <c r="A1179" s="147" t="s">
        <v>1256</v>
      </c>
      <c r="G1179" s="147" t="s">
        <v>1256</v>
      </c>
      <c r="H1179" s="159">
        <v>69.947999999999993</v>
      </c>
      <c r="I1179" s="153">
        <v>70.31</v>
      </c>
      <c r="J1179" s="153">
        <v>70.33</v>
      </c>
      <c r="K1179" s="153">
        <v>70.28</v>
      </c>
      <c r="L1179" s="153">
        <v>70.33</v>
      </c>
      <c r="M1179" s="80">
        <f t="shared" si="36"/>
        <v>70.33</v>
      </c>
      <c r="N1179" s="80">
        <f t="shared" si="37"/>
        <v>70.28</v>
      </c>
      <c r="O1179" s="153">
        <v>21.13</v>
      </c>
      <c r="P1179" s="153">
        <v>21.17</v>
      </c>
      <c r="Q1179" s="153">
        <v>21.16</v>
      </c>
      <c r="R1179" s="153">
        <v>21.06</v>
      </c>
      <c r="S1179" s="4"/>
      <c r="U1179" s="147" t="s">
        <v>1256</v>
      </c>
      <c r="V1179" s="11"/>
      <c r="W1179" s="4"/>
      <c r="X1179" s="12"/>
      <c r="Y1179" s="14"/>
      <c r="Z1179" s="4"/>
      <c r="AA1179" s="13"/>
      <c r="AB1179" s="11"/>
      <c r="AC1179" s="4"/>
      <c r="AD1179" s="12"/>
      <c r="AE1179" s="13"/>
      <c r="AF1179" s="14">
        <v>4.9923000000000002</v>
      </c>
      <c r="AG1179" s="133"/>
      <c r="AI1179" s="96"/>
      <c r="AL1179" s="64">
        <v>4.1738102833333333</v>
      </c>
      <c r="AM1179" s="56">
        <v>13.419999999999989</v>
      </c>
      <c r="AN1179" s="56">
        <v>15.32</v>
      </c>
      <c r="AO1179" s="62">
        <v>21.299999999999919</v>
      </c>
      <c r="AQ1179" s="64">
        <v>4.0830926500000011</v>
      </c>
      <c r="AR1179" s="56">
        <v>13.080000000000069</v>
      </c>
      <c r="AS1179" s="56">
        <v>14.48</v>
      </c>
      <c r="AT1179" s="62">
        <v>18.299999999999979</v>
      </c>
      <c r="AV1179" s="64">
        <v>3.7301794166666662</v>
      </c>
      <c r="AW1179" s="56">
        <v>12.73999999999997</v>
      </c>
      <c r="AX1179" s="56">
        <v>14.15999999999995</v>
      </c>
      <c r="AY1179" s="62">
        <v>18.700000000000031</v>
      </c>
      <c r="BA1179" s="64">
        <v>3.1854594999999999</v>
      </c>
      <c r="BB1179" s="56">
        <v>15.82000000000008</v>
      </c>
      <c r="BC1179" s="56">
        <v>18.219999999999992</v>
      </c>
      <c r="BD1179" s="62">
        <v>29.980000000000029</v>
      </c>
      <c r="BF1179" s="64">
        <v>2.9098556666666671</v>
      </c>
      <c r="BG1179" s="56">
        <v>19.799999999999951</v>
      </c>
      <c r="BH1179" s="56">
        <v>26.41999999999998</v>
      </c>
      <c r="BI1179" s="62">
        <v>56.799999999999962</v>
      </c>
      <c r="BJ1179" s="70"/>
      <c r="BK1179" s="51"/>
    </row>
    <row r="1180" spans="1:63" x14ac:dyDescent="0.4">
      <c r="A1180" s="147" t="s">
        <v>1257</v>
      </c>
      <c r="G1180" s="147" t="s">
        <v>1257</v>
      </c>
      <c r="H1180" s="159">
        <v>69.959000000000003</v>
      </c>
      <c r="I1180" s="153">
        <v>70.31</v>
      </c>
      <c r="J1180" s="153">
        <v>70.38</v>
      </c>
      <c r="K1180" s="153">
        <v>70.28</v>
      </c>
      <c r="L1180" s="153">
        <v>70.319999999999993</v>
      </c>
      <c r="M1180" s="80">
        <f t="shared" si="36"/>
        <v>70.38</v>
      </c>
      <c r="N1180" s="80">
        <f t="shared" si="37"/>
        <v>70.28</v>
      </c>
      <c r="O1180" s="153">
        <v>21.18</v>
      </c>
      <c r="P1180" s="153">
        <v>20.97</v>
      </c>
      <c r="Q1180" s="153">
        <v>21.08</v>
      </c>
      <c r="R1180" s="153">
        <v>21.04</v>
      </c>
      <c r="S1180" s="4"/>
      <c r="U1180" s="147" t="s">
        <v>1257</v>
      </c>
      <c r="V1180" s="11"/>
      <c r="W1180" s="4"/>
      <c r="X1180" s="12"/>
      <c r="Y1180" s="14"/>
      <c r="Z1180" s="4"/>
      <c r="AA1180" s="13"/>
      <c r="AB1180" s="11"/>
      <c r="AC1180" s="4"/>
      <c r="AD1180" s="12"/>
      <c r="AE1180" s="13"/>
      <c r="AF1180" s="14">
        <v>4.9923000000000002</v>
      </c>
      <c r="AG1180" s="133"/>
      <c r="AI1180" s="96"/>
      <c r="AL1180" s="64">
        <v>4.1732394166666662</v>
      </c>
      <c r="AM1180" s="56">
        <v>13.419999999999989</v>
      </c>
      <c r="AN1180" s="56">
        <v>15.32</v>
      </c>
      <c r="AO1180" s="62">
        <v>21.299999999999919</v>
      </c>
      <c r="AQ1180" s="64">
        <v>4.0825781666666661</v>
      </c>
      <c r="AR1180" s="56">
        <v>13.13999999999993</v>
      </c>
      <c r="AS1180" s="56">
        <v>14.499999999999959</v>
      </c>
      <c r="AT1180" s="62">
        <v>18.339999999999979</v>
      </c>
      <c r="AV1180" s="64">
        <v>3.729428533333333</v>
      </c>
      <c r="AW1180" s="56">
        <v>12.659999999999981</v>
      </c>
      <c r="AX1180" s="56">
        <v>14.060000000000009</v>
      </c>
      <c r="AY1180" s="62">
        <v>18.599999999999991</v>
      </c>
      <c r="BA1180" s="64">
        <v>3.185878999999999</v>
      </c>
      <c r="BB1180" s="56">
        <v>14.97999999999999</v>
      </c>
      <c r="BC1180" s="56">
        <v>17.34</v>
      </c>
      <c r="BD1180" s="62">
        <v>28.840000000000021</v>
      </c>
      <c r="BF1180" s="64">
        <v>2.8981478666666671</v>
      </c>
      <c r="BG1180" s="56">
        <v>18.98</v>
      </c>
      <c r="BH1180" s="56">
        <v>25.779999999999959</v>
      </c>
      <c r="BI1180" s="62">
        <v>58.04</v>
      </c>
      <c r="BJ1180" s="70"/>
      <c r="BK1180" s="51"/>
    </row>
    <row r="1181" spans="1:63" x14ac:dyDescent="0.4">
      <c r="A1181" s="147" t="s">
        <v>1258</v>
      </c>
      <c r="G1181" s="147" t="s">
        <v>1258</v>
      </c>
      <c r="H1181" s="159">
        <v>69.915000000000006</v>
      </c>
      <c r="I1181" s="153">
        <v>70.33</v>
      </c>
      <c r="J1181" s="153">
        <v>70.36</v>
      </c>
      <c r="K1181" s="153">
        <v>70.34</v>
      </c>
      <c r="L1181" s="153">
        <v>70.36</v>
      </c>
      <c r="M1181" s="80">
        <f t="shared" si="36"/>
        <v>70.36</v>
      </c>
      <c r="N1181" s="80">
        <f t="shared" si="37"/>
        <v>70.33</v>
      </c>
      <c r="O1181" s="153">
        <v>21.13</v>
      </c>
      <c r="P1181" s="153">
        <v>21.03</v>
      </c>
      <c r="Q1181" s="153">
        <v>21.11</v>
      </c>
      <c r="R1181" s="153">
        <v>21.07</v>
      </c>
      <c r="S1181" s="4"/>
      <c r="U1181" s="147" t="s">
        <v>1258</v>
      </c>
      <c r="V1181" s="11"/>
      <c r="W1181" s="4"/>
      <c r="X1181" s="12"/>
      <c r="Y1181" s="14"/>
      <c r="Z1181" s="4"/>
      <c r="AA1181" s="13"/>
      <c r="AB1181" s="11"/>
      <c r="AC1181" s="4"/>
      <c r="AD1181" s="12"/>
      <c r="AE1181" s="13"/>
      <c r="AF1181" s="14">
        <v>5.0029000000000003</v>
      </c>
      <c r="AG1181" s="133"/>
      <c r="AI1181" s="96"/>
      <c r="AL1181" s="64">
        <v>4.1739365499999996</v>
      </c>
      <c r="AM1181" s="56">
        <v>13.459999999999891</v>
      </c>
      <c r="AN1181" s="56">
        <v>15.33999999999995</v>
      </c>
      <c r="AO1181" s="62">
        <v>21.279999999999969</v>
      </c>
      <c r="AQ1181" s="64">
        <v>4.0826441333333339</v>
      </c>
      <c r="AR1181" s="56">
        <v>13.05999999999994</v>
      </c>
      <c r="AS1181" s="56">
        <v>14.41999999999997</v>
      </c>
      <c r="AT1181" s="62">
        <v>18.24000000000003</v>
      </c>
      <c r="AV1181" s="64">
        <v>3.7297847333333332</v>
      </c>
      <c r="AW1181" s="56">
        <v>12.659999999999981</v>
      </c>
      <c r="AX1181" s="56">
        <v>14.03999999999996</v>
      </c>
      <c r="AY1181" s="62">
        <v>18.53999999999996</v>
      </c>
      <c r="BA1181" s="64">
        <v>3.1868842499999999</v>
      </c>
      <c r="BB1181" s="56">
        <v>15.51999999999998</v>
      </c>
      <c r="BC1181" s="56">
        <v>17.879999999999981</v>
      </c>
      <c r="BD1181" s="62">
        <v>29.400000000000048</v>
      </c>
      <c r="BF1181" s="64">
        <v>2.902603866666666</v>
      </c>
      <c r="BG1181" s="56">
        <v>19.739999999999998</v>
      </c>
      <c r="BH1181" s="56">
        <v>27.13999999999999</v>
      </c>
      <c r="BI1181" s="62">
        <v>59.379999999999988</v>
      </c>
      <c r="BJ1181" s="70"/>
      <c r="BK1181" s="51"/>
    </row>
    <row r="1182" spans="1:63" x14ac:dyDescent="0.4">
      <c r="A1182" s="147" t="s">
        <v>1259</v>
      </c>
      <c r="G1182" s="147" t="s">
        <v>1259</v>
      </c>
      <c r="H1182" s="159">
        <v>70.039000000000001</v>
      </c>
      <c r="I1182" s="153">
        <v>70.37</v>
      </c>
      <c r="J1182" s="153">
        <v>70.38</v>
      </c>
      <c r="K1182" s="153">
        <v>70.31</v>
      </c>
      <c r="L1182" s="153">
        <v>70.34</v>
      </c>
      <c r="M1182" s="80">
        <f t="shared" si="36"/>
        <v>70.38</v>
      </c>
      <c r="N1182" s="80">
        <f t="shared" si="37"/>
        <v>70.31</v>
      </c>
      <c r="O1182" s="153">
        <v>21.15</v>
      </c>
      <c r="P1182" s="153">
        <v>21.07</v>
      </c>
      <c r="Q1182" s="153">
        <v>21.15</v>
      </c>
      <c r="R1182" s="153">
        <v>21.1</v>
      </c>
      <c r="S1182" s="4"/>
      <c r="U1182" s="147" t="s">
        <v>1259</v>
      </c>
      <c r="V1182" s="11"/>
      <c r="W1182" s="4"/>
      <c r="X1182" s="12"/>
      <c r="Y1182" s="14"/>
      <c r="Z1182" s="4"/>
      <c r="AA1182" s="13"/>
      <c r="AB1182" s="11"/>
      <c r="AC1182" s="4"/>
      <c r="AD1182" s="12"/>
      <c r="AE1182" s="13"/>
      <c r="AF1182" s="14">
        <v>4.9824000000000002</v>
      </c>
      <c r="AG1182" s="133"/>
      <c r="AI1182" s="96"/>
      <c r="AL1182" s="64">
        <v>4.1736262999999996</v>
      </c>
      <c r="AM1182" s="56">
        <v>13.539999999999891</v>
      </c>
      <c r="AN1182" s="56">
        <v>15.45999999999985</v>
      </c>
      <c r="AO1182" s="62">
        <v>21.439999999999952</v>
      </c>
      <c r="AQ1182" s="64">
        <v>4.0832967166666672</v>
      </c>
      <c r="AR1182" s="56">
        <v>13.2200000000001</v>
      </c>
      <c r="AS1182" s="56">
        <v>14.620000000000029</v>
      </c>
      <c r="AT1182" s="62">
        <v>18.520000000000088</v>
      </c>
      <c r="AV1182" s="64">
        <v>3.729132433333334</v>
      </c>
      <c r="AW1182" s="56">
        <v>12.840000000000011</v>
      </c>
      <c r="AX1182" s="56">
        <v>14.28000000000003</v>
      </c>
      <c r="AY1182" s="62">
        <v>18.820000000000011</v>
      </c>
      <c r="BA1182" s="64">
        <v>3.18157895</v>
      </c>
      <c r="BB1182" s="56">
        <v>15.41999999999994</v>
      </c>
      <c r="BC1182" s="56">
        <v>17.839999999999989</v>
      </c>
      <c r="BD1182" s="62">
        <v>29.73999999999997</v>
      </c>
      <c r="BF1182" s="64">
        <v>2.9174079499999999</v>
      </c>
      <c r="BG1182" s="56">
        <v>19.32</v>
      </c>
      <c r="BH1182" s="56">
        <v>26.22</v>
      </c>
      <c r="BI1182" s="62">
        <v>56.44</v>
      </c>
      <c r="BJ1182" s="70"/>
      <c r="BK1182" s="51"/>
    </row>
    <row r="1183" spans="1:63" x14ac:dyDescent="0.4">
      <c r="A1183" s="147" t="s">
        <v>1260</v>
      </c>
      <c r="G1183" s="147" t="s">
        <v>1260</v>
      </c>
      <c r="H1183" s="159">
        <v>69.727999999999994</v>
      </c>
      <c r="I1183" s="153">
        <v>70.38</v>
      </c>
      <c r="J1183" s="153">
        <v>70.400000000000006</v>
      </c>
      <c r="K1183" s="153">
        <v>70.39</v>
      </c>
      <c r="L1183" s="153">
        <v>70.319999999999993</v>
      </c>
      <c r="M1183" s="80">
        <f t="shared" si="36"/>
        <v>70.400000000000006</v>
      </c>
      <c r="N1183" s="80">
        <f t="shared" si="37"/>
        <v>70.319999999999993</v>
      </c>
      <c r="O1183" s="153">
        <v>21.1</v>
      </c>
      <c r="P1183" s="153">
        <v>21.16</v>
      </c>
      <c r="Q1183" s="153">
        <v>21.12</v>
      </c>
      <c r="R1183" s="153">
        <v>21.07</v>
      </c>
      <c r="S1183" s="4"/>
      <c r="U1183" s="147" t="s">
        <v>1260</v>
      </c>
      <c r="V1183" s="11"/>
      <c r="W1183" s="4"/>
      <c r="X1183" s="12"/>
      <c r="Y1183" s="14"/>
      <c r="Z1183" s="4"/>
      <c r="AA1183" s="13"/>
      <c r="AB1183" s="11"/>
      <c r="AC1183" s="4"/>
      <c r="AD1183" s="12"/>
      <c r="AE1183" s="13"/>
      <c r="AF1183" s="14">
        <v>4.9949000000000003</v>
      </c>
      <c r="AG1183" s="133"/>
      <c r="AI1183" s="96"/>
      <c r="AL1183" s="64">
        <v>4.173838466666667</v>
      </c>
      <c r="AM1183" s="56">
        <v>13.18000000000001</v>
      </c>
      <c r="AN1183" s="56">
        <v>15.08000000000003</v>
      </c>
      <c r="AO1183" s="62">
        <v>21.039999999999988</v>
      </c>
      <c r="AQ1183" s="64">
        <v>4.0839683000000004</v>
      </c>
      <c r="AR1183" s="56">
        <v>13.07999999999989</v>
      </c>
      <c r="AS1183" s="56">
        <v>14.459999999999869</v>
      </c>
      <c r="AT1183" s="62">
        <v>18.31999999999994</v>
      </c>
      <c r="AV1183" s="64">
        <v>3.7318987166666671</v>
      </c>
      <c r="AW1183" s="56">
        <v>12.680000000000019</v>
      </c>
      <c r="AX1183" s="56">
        <v>14.08000000000005</v>
      </c>
      <c r="AY1183" s="62">
        <v>18.60000000000008</v>
      </c>
      <c r="BA1183" s="64">
        <v>3.1911852000000001</v>
      </c>
      <c r="BB1183" s="56">
        <v>15.120000000000021</v>
      </c>
      <c r="BC1183" s="56">
        <v>17.42000000000008</v>
      </c>
      <c r="BD1183" s="62">
        <v>28.820000000000071</v>
      </c>
      <c r="BF1183" s="64">
        <v>2.9125413</v>
      </c>
      <c r="BG1183" s="56">
        <v>19.039999999999949</v>
      </c>
      <c r="BH1183" s="56">
        <v>25.61999999999998</v>
      </c>
      <c r="BI1183" s="62">
        <v>55.899999999999928</v>
      </c>
      <c r="BJ1183" s="70"/>
      <c r="BK1183" s="51"/>
    </row>
    <row r="1184" spans="1:63" x14ac:dyDescent="0.4">
      <c r="A1184" s="147" t="s">
        <v>1261</v>
      </c>
      <c r="G1184" s="147" t="s">
        <v>1261</v>
      </c>
      <c r="H1184" s="159">
        <v>69.974999999999994</v>
      </c>
      <c r="I1184" s="153">
        <v>70.3</v>
      </c>
      <c r="J1184" s="153">
        <v>70.33</v>
      </c>
      <c r="K1184" s="153">
        <v>70.37</v>
      </c>
      <c r="L1184" s="153">
        <v>70.33</v>
      </c>
      <c r="M1184" s="80">
        <f t="shared" si="36"/>
        <v>70.37</v>
      </c>
      <c r="N1184" s="80">
        <f t="shared" si="37"/>
        <v>70.3</v>
      </c>
      <c r="O1184" s="153">
        <v>21.18</v>
      </c>
      <c r="P1184" s="153">
        <v>21.13</v>
      </c>
      <c r="Q1184" s="153">
        <v>21.14</v>
      </c>
      <c r="R1184" s="153">
        <v>21.11</v>
      </c>
      <c r="S1184" s="4"/>
      <c r="U1184" s="147" t="s">
        <v>1261</v>
      </c>
      <c r="V1184" s="11"/>
      <c r="W1184" s="4"/>
      <c r="X1184" s="12"/>
      <c r="Y1184" s="14"/>
      <c r="Z1184" s="4"/>
      <c r="AA1184" s="13"/>
      <c r="AB1184" s="11"/>
      <c r="AC1184" s="4"/>
      <c r="AD1184" s="12"/>
      <c r="AE1184" s="13"/>
      <c r="AF1184" s="14">
        <v>4.9968000000000004</v>
      </c>
      <c r="AG1184" s="133"/>
      <c r="AI1184" s="96"/>
      <c r="AL1184" s="64">
        <v>4.1729334333333332</v>
      </c>
      <c r="AM1184" s="56">
        <v>13.49999999999998</v>
      </c>
      <c r="AN1184" s="56">
        <v>15.39999999999999</v>
      </c>
      <c r="AO1184" s="62">
        <v>21.400000000000041</v>
      </c>
      <c r="AQ1184" s="64">
        <v>4.0832592999999999</v>
      </c>
      <c r="AR1184" s="56">
        <v>13.28000000000014</v>
      </c>
      <c r="AS1184" s="56">
        <v>14.700000000000021</v>
      </c>
      <c r="AT1184" s="62">
        <v>18.62000000000004</v>
      </c>
      <c r="AV1184" s="64">
        <v>3.7272587499999998</v>
      </c>
      <c r="AW1184" s="56">
        <v>12.72000000000002</v>
      </c>
      <c r="AX1184" s="56">
        <v>14.14</v>
      </c>
      <c r="AY1184" s="62">
        <v>18.74000000000002</v>
      </c>
      <c r="BA1184" s="64">
        <v>3.1701320000000002</v>
      </c>
      <c r="BB1184" s="56">
        <v>15.240000000000011</v>
      </c>
      <c r="BC1184" s="56">
        <v>17.72</v>
      </c>
      <c r="BD1184" s="62">
        <v>30.07999999999997</v>
      </c>
      <c r="BF1184" s="64">
        <v>2.9096544500000001</v>
      </c>
      <c r="BG1184" s="56">
        <v>18.919999999999959</v>
      </c>
      <c r="BH1184" s="56">
        <v>25.519999999999939</v>
      </c>
      <c r="BI1184" s="62">
        <v>56.579999999999941</v>
      </c>
      <c r="BJ1184" s="70"/>
      <c r="BK1184" s="51"/>
    </row>
    <row r="1185" spans="1:63" x14ac:dyDescent="0.4">
      <c r="A1185" s="147" t="s">
        <v>1262</v>
      </c>
      <c r="G1185" s="147" t="s">
        <v>1262</v>
      </c>
      <c r="H1185" s="159">
        <v>70.004999999999995</v>
      </c>
      <c r="I1185" s="153">
        <v>70.33</v>
      </c>
      <c r="J1185" s="153">
        <v>70.38</v>
      </c>
      <c r="K1185" s="153">
        <v>70.319999999999993</v>
      </c>
      <c r="L1185" s="153">
        <v>70.38</v>
      </c>
      <c r="M1185" s="80">
        <f t="shared" si="36"/>
        <v>70.38</v>
      </c>
      <c r="N1185" s="80">
        <f t="shared" si="37"/>
        <v>70.319999999999993</v>
      </c>
      <c r="O1185" s="153">
        <v>21.16</v>
      </c>
      <c r="P1185" s="153">
        <v>21.06</v>
      </c>
      <c r="Q1185" s="153">
        <v>21.15</v>
      </c>
      <c r="R1185" s="153">
        <v>21</v>
      </c>
      <c r="S1185" s="4"/>
      <c r="U1185" s="147" t="s">
        <v>1262</v>
      </c>
      <c r="V1185" s="11"/>
      <c r="W1185" s="4"/>
      <c r="X1185" s="12"/>
      <c r="Y1185" s="14"/>
      <c r="Z1185" s="4"/>
      <c r="AA1185" s="13"/>
      <c r="AB1185" s="11"/>
      <c r="AC1185" s="4"/>
      <c r="AD1185" s="12"/>
      <c r="AE1185" s="13"/>
      <c r="AF1185" s="14">
        <v>4.9991000000000003</v>
      </c>
      <c r="AG1185" s="133"/>
      <c r="AI1185" s="96"/>
      <c r="AL1185" s="64">
        <v>4.1733931833333333</v>
      </c>
      <c r="AM1185" s="56">
        <v>14.1</v>
      </c>
      <c r="AN1185" s="56">
        <v>16.039999999999921</v>
      </c>
      <c r="AO1185" s="62">
        <v>22.020000000000021</v>
      </c>
      <c r="AQ1185" s="64">
        <v>4.0814934166666657</v>
      </c>
      <c r="AR1185" s="56">
        <v>13.480000000000031</v>
      </c>
      <c r="AS1185" s="56">
        <v>14.900000000000089</v>
      </c>
      <c r="AT1185" s="62">
        <v>18.820000000000011</v>
      </c>
      <c r="AV1185" s="64">
        <v>3.7281991333333329</v>
      </c>
      <c r="AW1185" s="56">
        <v>13.239999999999959</v>
      </c>
      <c r="AX1185" s="56">
        <v>14.67999999999998</v>
      </c>
      <c r="AY1185" s="62">
        <v>19.299999999999962</v>
      </c>
      <c r="BA1185" s="64">
        <v>3.181794683333333</v>
      </c>
      <c r="BB1185" s="56">
        <v>16.04000000000001</v>
      </c>
      <c r="BC1185" s="56">
        <v>18.499999999999961</v>
      </c>
      <c r="BD1185" s="62">
        <v>30.319999999999951</v>
      </c>
      <c r="BF1185" s="64">
        <v>2.9072285666666668</v>
      </c>
      <c r="BG1185" s="56">
        <v>19.93999999999998</v>
      </c>
      <c r="BH1185" s="56">
        <v>26.53999999999996</v>
      </c>
      <c r="BI1185" s="62">
        <v>56.919999999999952</v>
      </c>
      <c r="BJ1185" s="70"/>
      <c r="BK1185" s="51"/>
    </row>
    <row r="1186" spans="1:63" x14ac:dyDescent="0.4">
      <c r="A1186" s="147" t="s">
        <v>1263</v>
      </c>
      <c r="G1186" s="147" t="s">
        <v>1263</v>
      </c>
      <c r="H1186" s="159">
        <v>69.947000000000003</v>
      </c>
      <c r="I1186" s="153">
        <v>70.319999999999993</v>
      </c>
      <c r="J1186" s="153">
        <v>70.31</v>
      </c>
      <c r="K1186" s="153">
        <v>70.33</v>
      </c>
      <c r="L1186" s="153">
        <v>70.37</v>
      </c>
      <c r="M1186" s="80">
        <f t="shared" si="36"/>
        <v>70.37</v>
      </c>
      <c r="N1186" s="80">
        <f t="shared" si="37"/>
        <v>70.31</v>
      </c>
      <c r="O1186" s="153">
        <v>21.18</v>
      </c>
      <c r="P1186" s="153">
        <v>21.08</v>
      </c>
      <c r="Q1186" s="153">
        <v>21.12</v>
      </c>
      <c r="R1186" s="153">
        <v>21.09</v>
      </c>
      <c r="S1186" s="4"/>
      <c r="U1186" s="147" t="s">
        <v>1263</v>
      </c>
      <c r="V1186" s="11"/>
      <c r="W1186" s="4"/>
      <c r="X1186" s="12"/>
      <c r="Y1186" s="14"/>
      <c r="Z1186" s="4"/>
      <c r="AA1186" s="13"/>
      <c r="AB1186" s="11"/>
      <c r="AC1186" s="4"/>
      <c r="AD1186" s="12"/>
      <c r="AE1186" s="13"/>
      <c r="AF1186" s="14">
        <v>4.9954999999999998</v>
      </c>
      <c r="AG1186" s="133"/>
      <c r="AI1186" s="96"/>
      <c r="AL1186" s="64">
        <v>4.1729446166666673</v>
      </c>
      <c r="AM1186" s="56">
        <v>13.360000000000131</v>
      </c>
      <c r="AN1186" s="56">
        <v>15.240000000000011</v>
      </c>
      <c r="AO1186" s="62">
        <v>21.200000000000149</v>
      </c>
      <c r="AQ1186" s="64">
        <v>4.0819548166666673</v>
      </c>
      <c r="AR1186" s="56">
        <v>12.95999999999999</v>
      </c>
      <c r="AS1186" s="56">
        <v>14.33999999999997</v>
      </c>
      <c r="AT1186" s="62">
        <v>18.15999999999995</v>
      </c>
      <c r="AV1186" s="64">
        <v>3.7284794666666659</v>
      </c>
      <c r="AW1186" s="56">
        <v>12.60000000000003</v>
      </c>
      <c r="AX1186" s="56">
        <v>13.980000000000009</v>
      </c>
      <c r="AY1186" s="62">
        <v>18.50000000000005</v>
      </c>
      <c r="BA1186" s="64">
        <v>3.186670883333333</v>
      </c>
      <c r="BB1186" s="56">
        <v>15.21999999999997</v>
      </c>
      <c r="BC1186" s="56">
        <v>17.600000000000019</v>
      </c>
      <c r="BD1186" s="62">
        <v>29.180000000000032</v>
      </c>
      <c r="BF1186" s="64">
        <v>2.914249133333334</v>
      </c>
      <c r="BG1186" s="56">
        <v>19.139999999999979</v>
      </c>
      <c r="BH1186" s="56">
        <v>25.739999999999959</v>
      </c>
      <c r="BI1186" s="62">
        <v>55.679999999999993</v>
      </c>
      <c r="BJ1186" s="70"/>
      <c r="BK1186" s="51"/>
    </row>
    <row r="1187" spans="1:63" x14ac:dyDescent="0.4">
      <c r="A1187" s="147" t="s">
        <v>1264</v>
      </c>
      <c r="G1187" s="147" t="s">
        <v>1264</v>
      </c>
      <c r="H1187" s="159">
        <v>69.956000000000003</v>
      </c>
      <c r="I1187" s="153">
        <v>70.290000000000006</v>
      </c>
      <c r="J1187" s="153">
        <v>70.3</v>
      </c>
      <c r="K1187" s="153">
        <v>70.39</v>
      </c>
      <c r="L1187" s="153">
        <v>70.290000000000006</v>
      </c>
      <c r="M1187" s="80">
        <f t="shared" si="36"/>
        <v>70.39</v>
      </c>
      <c r="N1187" s="80">
        <f t="shared" si="37"/>
        <v>70.290000000000006</v>
      </c>
      <c r="O1187" s="153">
        <v>21.12</v>
      </c>
      <c r="P1187" s="153">
        <v>21.11</v>
      </c>
      <c r="Q1187" s="153">
        <v>21.12</v>
      </c>
      <c r="R1187" s="153">
        <v>21.1</v>
      </c>
      <c r="S1187" s="4"/>
      <c r="U1187" s="147" t="s">
        <v>1264</v>
      </c>
      <c r="V1187" s="11"/>
      <c r="W1187" s="4"/>
      <c r="X1187" s="12"/>
      <c r="Y1187" s="14"/>
      <c r="Z1187" s="4"/>
      <c r="AA1187" s="13"/>
      <c r="AB1187" s="11"/>
      <c r="AC1187" s="4"/>
      <c r="AD1187" s="12"/>
      <c r="AE1187" s="13"/>
      <c r="AF1187" s="14">
        <v>5.0054999999999996</v>
      </c>
      <c r="AG1187" s="133"/>
      <c r="AI1187" s="96"/>
      <c r="AL1187" s="64">
        <v>4.1735003500000003</v>
      </c>
      <c r="AM1187" s="56">
        <v>13.86000000000003</v>
      </c>
      <c r="AN1187" s="56">
        <v>15.78</v>
      </c>
      <c r="AO1187" s="62">
        <v>21.759999999999909</v>
      </c>
      <c r="AQ1187" s="64">
        <v>4.080927233333334</v>
      </c>
      <c r="AR1187" s="56">
        <v>13.320000000000039</v>
      </c>
      <c r="AS1187" s="56">
        <v>14.720000000000161</v>
      </c>
      <c r="AT1187" s="62">
        <v>18.620000000000129</v>
      </c>
      <c r="AV1187" s="64">
        <v>3.72795985</v>
      </c>
      <c r="AW1187" s="56">
        <v>12.94000000000004</v>
      </c>
      <c r="AX1187" s="56">
        <v>14.380000000000059</v>
      </c>
      <c r="AY1187" s="62">
        <v>18.96000000000004</v>
      </c>
      <c r="BA1187" s="64">
        <v>3.1814878333333332</v>
      </c>
      <c r="BB1187" s="56">
        <v>15.80000000000004</v>
      </c>
      <c r="BC1187" s="56">
        <v>18.219999999999992</v>
      </c>
      <c r="BD1187" s="62">
        <v>30.000000000000071</v>
      </c>
      <c r="BF1187" s="64">
        <v>2.9051032166666668</v>
      </c>
      <c r="BG1187" s="56">
        <v>19.759999999999959</v>
      </c>
      <c r="BH1187" s="56">
        <v>26.320000000000029</v>
      </c>
      <c r="BI1187" s="62">
        <v>56.82</v>
      </c>
      <c r="BJ1187" s="70"/>
      <c r="BK1187" s="51"/>
    </row>
    <row r="1188" spans="1:63" x14ac:dyDescent="0.4">
      <c r="A1188" s="147" t="s">
        <v>1265</v>
      </c>
      <c r="G1188" s="147" t="s">
        <v>1265</v>
      </c>
      <c r="H1188" s="159">
        <v>69.974000000000004</v>
      </c>
      <c r="I1188" s="153">
        <v>70.34</v>
      </c>
      <c r="J1188" s="153">
        <v>70.349999999999994</v>
      </c>
      <c r="K1188" s="153">
        <v>70.33</v>
      </c>
      <c r="L1188" s="153">
        <v>70.349999999999994</v>
      </c>
      <c r="M1188" s="80">
        <f t="shared" si="36"/>
        <v>70.349999999999994</v>
      </c>
      <c r="N1188" s="80">
        <f t="shared" si="37"/>
        <v>70.33</v>
      </c>
      <c r="O1188" s="153">
        <v>21.21</v>
      </c>
      <c r="P1188" s="153">
        <v>21.03</v>
      </c>
      <c r="Q1188" s="153">
        <v>21.12</v>
      </c>
      <c r="R1188" s="153">
        <v>21.08</v>
      </c>
      <c r="S1188" s="4"/>
      <c r="U1188" s="147" t="s">
        <v>1265</v>
      </c>
      <c r="V1188" s="11"/>
      <c r="W1188" s="4"/>
      <c r="X1188" s="12"/>
      <c r="Y1188" s="14"/>
      <c r="Z1188" s="4"/>
      <c r="AA1188" s="13"/>
      <c r="AB1188" s="11"/>
      <c r="AC1188" s="4"/>
      <c r="AD1188" s="12"/>
      <c r="AE1188" s="13"/>
      <c r="AF1188" s="14">
        <v>5.0053999999999998</v>
      </c>
      <c r="AG1188" s="133"/>
      <c r="AI1188" s="96"/>
      <c r="AL1188" s="64">
        <v>4.1736180666666662</v>
      </c>
      <c r="AM1188" s="56">
        <v>14.019999999999831</v>
      </c>
      <c r="AN1188" s="56">
        <v>15.95999999999993</v>
      </c>
      <c r="AO1188" s="62">
        <v>21.99999999999989</v>
      </c>
      <c r="AQ1188" s="64">
        <v>4.0825944166666668</v>
      </c>
      <c r="AR1188" s="56">
        <v>13.78000000000004</v>
      </c>
      <c r="AS1188" s="56">
        <v>15.220000000000059</v>
      </c>
      <c r="AT1188" s="62">
        <v>19.220000000000059</v>
      </c>
      <c r="AV1188" s="64">
        <v>3.7300390666666661</v>
      </c>
      <c r="AW1188" s="56">
        <v>13.44000000000003</v>
      </c>
      <c r="AX1188" s="56">
        <v>14.9</v>
      </c>
      <c r="AY1188" s="62">
        <v>19.56000000000007</v>
      </c>
      <c r="BA1188" s="64">
        <v>3.1845965999999999</v>
      </c>
      <c r="BB1188" s="56">
        <v>16.039999999999921</v>
      </c>
      <c r="BC1188" s="56">
        <v>18.459999999999969</v>
      </c>
      <c r="BD1188" s="62">
        <v>30.279999999999951</v>
      </c>
      <c r="BF1188" s="64">
        <v>2.9107525999999999</v>
      </c>
      <c r="BG1188" s="56">
        <v>19.92000000000003</v>
      </c>
      <c r="BH1188" s="56">
        <v>26.53999999999996</v>
      </c>
      <c r="BI1188" s="62">
        <v>56.740000000000009</v>
      </c>
      <c r="BJ1188" s="70"/>
      <c r="BK1188" s="51"/>
    </row>
    <row r="1189" spans="1:63" x14ac:dyDescent="0.4">
      <c r="A1189" s="147" t="s">
        <v>1266</v>
      </c>
      <c r="G1189" s="147" t="s">
        <v>1266</v>
      </c>
      <c r="H1189" s="159">
        <v>70.025000000000006</v>
      </c>
      <c r="I1189" s="153">
        <v>70.3</v>
      </c>
      <c r="J1189" s="153">
        <v>70.34</v>
      </c>
      <c r="K1189" s="153">
        <v>70.319999999999993</v>
      </c>
      <c r="L1189" s="153">
        <v>70.36</v>
      </c>
      <c r="M1189" s="80">
        <f t="shared" si="36"/>
        <v>70.36</v>
      </c>
      <c r="N1189" s="80">
        <f t="shared" si="37"/>
        <v>70.3</v>
      </c>
      <c r="O1189" s="153">
        <v>21.15</v>
      </c>
      <c r="P1189" s="153">
        <v>21.11</v>
      </c>
      <c r="Q1189" s="153">
        <v>21.16</v>
      </c>
      <c r="R1189" s="153">
        <v>21.02</v>
      </c>
      <c r="S1189" s="4"/>
      <c r="U1189" s="147" t="s">
        <v>1266</v>
      </c>
      <c r="V1189" s="11"/>
      <c r="W1189" s="4"/>
      <c r="X1189" s="12"/>
      <c r="Y1189" s="14"/>
      <c r="Z1189" s="4"/>
      <c r="AA1189" s="13"/>
      <c r="AB1189" s="11"/>
      <c r="AC1189" s="4"/>
      <c r="AD1189" s="12"/>
      <c r="AE1189" s="13"/>
      <c r="AF1189" s="14">
        <v>5.0110000000000001</v>
      </c>
      <c r="AG1189" s="133"/>
      <c r="AI1189" s="96"/>
      <c r="AL1189" s="64">
        <v>4.1742324333333336</v>
      </c>
      <c r="AM1189" s="56">
        <v>14.03999999999996</v>
      </c>
      <c r="AN1189" s="56">
        <v>15.95999999999993</v>
      </c>
      <c r="AO1189" s="62">
        <v>22.00000000000006</v>
      </c>
      <c r="AQ1189" s="64">
        <v>4.0814045166666677</v>
      </c>
      <c r="AR1189" s="56">
        <v>13.56000000000002</v>
      </c>
      <c r="AS1189" s="56">
        <v>15.000000000000041</v>
      </c>
      <c r="AT1189" s="62">
        <v>18.96000000000004</v>
      </c>
      <c r="AV1189" s="64">
        <v>3.7287767833333341</v>
      </c>
      <c r="AW1189" s="56">
        <v>13.26000000000001</v>
      </c>
      <c r="AX1189" s="56">
        <v>14.699999999999941</v>
      </c>
      <c r="AY1189" s="62">
        <v>19.32</v>
      </c>
      <c r="BA1189" s="64">
        <v>3.1845951166666668</v>
      </c>
      <c r="BB1189" s="56">
        <v>16.080000000000009</v>
      </c>
      <c r="BC1189" s="56">
        <v>18.52</v>
      </c>
      <c r="BD1189" s="62">
        <v>30.29999999999999</v>
      </c>
      <c r="BF1189" s="64">
        <v>2.9038365333333331</v>
      </c>
      <c r="BG1189" s="56">
        <v>20.019999999999971</v>
      </c>
      <c r="BH1189" s="56">
        <v>26.679999999999989</v>
      </c>
      <c r="BI1189" s="62">
        <v>57.500000000000007</v>
      </c>
      <c r="BJ1189" s="70"/>
      <c r="BK1189" s="51"/>
    </row>
    <row r="1190" spans="1:63" x14ac:dyDescent="0.4">
      <c r="A1190" s="147" t="s">
        <v>1267</v>
      </c>
      <c r="G1190" s="147" t="s">
        <v>1267</v>
      </c>
      <c r="H1190" s="159">
        <v>70.024000000000001</v>
      </c>
      <c r="I1190" s="153">
        <v>70.290000000000006</v>
      </c>
      <c r="J1190" s="153">
        <v>70.34</v>
      </c>
      <c r="K1190" s="153">
        <v>70.290000000000006</v>
      </c>
      <c r="L1190" s="153">
        <v>70.31</v>
      </c>
      <c r="M1190" s="80">
        <f t="shared" si="36"/>
        <v>70.34</v>
      </c>
      <c r="N1190" s="80">
        <f t="shared" si="37"/>
        <v>70.290000000000006</v>
      </c>
      <c r="O1190" s="153">
        <v>21.16</v>
      </c>
      <c r="P1190" s="153">
        <v>21.05</v>
      </c>
      <c r="Q1190" s="153">
        <v>21.13</v>
      </c>
      <c r="R1190" s="153">
        <v>21.08</v>
      </c>
      <c r="S1190" s="4"/>
      <c r="U1190" s="147" t="s">
        <v>1267</v>
      </c>
      <c r="V1190" s="11"/>
      <c r="W1190" s="4"/>
      <c r="X1190" s="12"/>
      <c r="Y1190" s="14"/>
      <c r="Z1190" s="4"/>
      <c r="AA1190" s="13"/>
      <c r="AB1190" s="11"/>
      <c r="AC1190" s="4"/>
      <c r="AD1190" s="12"/>
      <c r="AE1190" s="13"/>
      <c r="AF1190" s="14">
        <v>5.0058999999999996</v>
      </c>
      <c r="AG1190" s="133"/>
      <c r="AI1190" s="96"/>
      <c r="AL1190" s="64">
        <v>4.1734483666666664</v>
      </c>
      <c r="AM1190" s="56">
        <v>13.54000000000006</v>
      </c>
      <c r="AN1190" s="56">
        <v>15.41999999999994</v>
      </c>
      <c r="AO1190" s="62">
        <v>21.35999999999996</v>
      </c>
      <c r="AQ1190" s="64">
        <v>4.0813007666666659</v>
      </c>
      <c r="AR1190" s="56">
        <v>12.979999999999951</v>
      </c>
      <c r="AS1190" s="56">
        <v>14.33999999999997</v>
      </c>
      <c r="AT1190" s="62">
        <v>18.19999999999995</v>
      </c>
      <c r="AV1190" s="64">
        <v>3.7280248</v>
      </c>
      <c r="AW1190" s="56">
        <v>12.54</v>
      </c>
      <c r="AX1190" s="56">
        <v>13.940000000000021</v>
      </c>
      <c r="AY1190" s="62">
        <v>18.459999999999969</v>
      </c>
      <c r="BA1190" s="64">
        <v>3.1825447166666661</v>
      </c>
      <c r="BB1190" s="56">
        <v>14.919999999999961</v>
      </c>
      <c r="BC1190" s="56">
        <v>17.3</v>
      </c>
      <c r="BD1190" s="62">
        <v>28.89999999999997</v>
      </c>
      <c r="BF1190" s="64">
        <v>2.9093308000000002</v>
      </c>
      <c r="BG1190" s="56">
        <v>18.75999999999998</v>
      </c>
      <c r="BH1190" s="56">
        <v>25.340000000000011</v>
      </c>
      <c r="BI1190" s="62">
        <v>55.579999999999963</v>
      </c>
      <c r="BJ1190" s="70"/>
      <c r="BK1190" s="51"/>
    </row>
    <row r="1191" spans="1:63" x14ac:dyDescent="0.4">
      <c r="A1191" s="147" t="s">
        <v>1268</v>
      </c>
      <c r="G1191" s="147" t="s">
        <v>1268</v>
      </c>
      <c r="H1191" s="159">
        <v>69.915999999999997</v>
      </c>
      <c r="I1191" s="153">
        <v>70.3</v>
      </c>
      <c r="J1191" s="153">
        <v>70.290000000000006</v>
      </c>
      <c r="K1191" s="153">
        <v>70.38</v>
      </c>
      <c r="L1191" s="153">
        <v>70.31</v>
      </c>
      <c r="M1191" s="80">
        <f t="shared" si="36"/>
        <v>70.38</v>
      </c>
      <c r="N1191" s="80">
        <f t="shared" si="37"/>
        <v>70.290000000000006</v>
      </c>
      <c r="O1191" s="153">
        <v>21.07</v>
      </c>
      <c r="P1191" s="153">
        <v>21.1</v>
      </c>
      <c r="Q1191" s="153">
        <v>21.16</v>
      </c>
      <c r="R1191" s="153">
        <v>21.03</v>
      </c>
      <c r="S1191" s="4"/>
      <c r="U1191" s="147" t="s">
        <v>1268</v>
      </c>
      <c r="V1191" s="11"/>
      <c r="W1191" s="4"/>
      <c r="X1191" s="12"/>
      <c r="Y1191" s="14"/>
      <c r="Z1191" s="4"/>
      <c r="AA1191" s="13"/>
      <c r="AB1191" s="11"/>
      <c r="AC1191" s="4"/>
      <c r="AD1191" s="12"/>
      <c r="AE1191" s="13"/>
      <c r="AF1191" s="14">
        <v>5.0068000000000001</v>
      </c>
      <c r="AG1191" s="133"/>
      <c r="AI1191" s="96"/>
      <c r="AL1191" s="64">
        <v>4.1735064833333331</v>
      </c>
      <c r="AM1191" s="56">
        <v>13.480000000000031</v>
      </c>
      <c r="AN1191" s="56">
        <v>15.38000000000004</v>
      </c>
      <c r="AO1191" s="62">
        <v>21.34</v>
      </c>
      <c r="AQ1191" s="64">
        <v>4.0817764833333339</v>
      </c>
      <c r="AR1191" s="56">
        <v>12.94000000000004</v>
      </c>
      <c r="AS1191" s="56">
        <v>14.30000000000007</v>
      </c>
      <c r="AT1191" s="62">
        <v>18.140000000000089</v>
      </c>
      <c r="AV1191" s="64">
        <v>3.7288671000000009</v>
      </c>
      <c r="AW1191" s="56">
        <v>12.51999999999995</v>
      </c>
      <c r="AX1191" s="56">
        <v>13.899999999999929</v>
      </c>
      <c r="AY1191" s="62">
        <v>18.40000000000002</v>
      </c>
      <c r="BA1191" s="64">
        <v>3.1852898999999999</v>
      </c>
      <c r="BB1191" s="56">
        <v>15.340000000000041</v>
      </c>
      <c r="BC1191" s="56">
        <v>17.700000000000049</v>
      </c>
      <c r="BD1191" s="62">
        <v>29.260000000000019</v>
      </c>
      <c r="BF1191" s="64">
        <v>2.904018366666667</v>
      </c>
      <c r="BG1191" s="56">
        <v>19.399999999999999</v>
      </c>
      <c r="BH1191" s="56">
        <v>26.679999999999989</v>
      </c>
      <c r="BI1191" s="62">
        <v>58.480000000000047</v>
      </c>
      <c r="BJ1191" s="70"/>
      <c r="BK1191" s="51"/>
    </row>
    <row r="1192" spans="1:63" x14ac:dyDescent="0.4">
      <c r="A1192" s="147" t="s">
        <v>1269</v>
      </c>
      <c r="G1192" s="147" t="s">
        <v>1269</v>
      </c>
      <c r="H1192" s="159">
        <v>70.076999999999998</v>
      </c>
      <c r="I1192" s="153">
        <v>70.39</v>
      </c>
      <c r="J1192" s="153">
        <v>70.400000000000006</v>
      </c>
      <c r="K1192" s="153">
        <v>70.34</v>
      </c>
      <c r="L1192" s="153">
        <v>70.290000000000006</v>
      </c>
      <c r="M1192" s="80">
        <f t="shared" si="36"/>
        <v>70.400000000000006</v>
      </c>
      <c r="N1192" s="80">
        <f t="shared" si="37"/>
        <v>70.290000000000006</v>
      </c>
      <c r="O1192" s="153">
        <v>21.17</v>
      </c>
      <c r="P1192" s="153">
        <v>21.09</v>
      </c>
      <c r="Q1192" s="153">
        <v>21.09</v>
      </c>
      <c r="R1192" s="153">
        <v>21.04</v>
      </c>
      <c r="S1192" s="4"/>
      <c r="U1192" s="147" t="s">
        <v>1269</v>
      </c>
      <c r="V1192" s="11"/>
      <c r="W1192" s="4"/>
      <c r="X1192" s="12"/>
      <c r="Y1192" s="14"/>
      <c r="Z1192" s="4"/>
      <c r="AA1192" s="13"/>
      <c r="AB1192" s="11"/>
      <c r="AC1192" s="4"/>
      <c r="AD1192" s="12"/>
      <c r="AE1192" s="13"/>
      <c r="AF1192" s="14">
        <v>4.9977999999999998</v>
      </c>
      <c r="AG1192" s="133"/>
      <c r="AI1192" s="96"/>
      <c r="AL1192" s="64">
        <v>4.1736470666666667</v>
      </c>
      <c r="AM1192" s="56">
        <v>13.959999999999971</v>
      </c>
      <c r="AN1192" s="56">
        <v>15.89999999999989</v>
      </c>
      <c r="AO1192" s="62">
        <v>21.899999999999942</v>
      </c>
      <c r="AQ1192" s="64">
        <v>4.0818519833333333</v>
      </c>
      <c r="AR1192" s="56">
        <v>13.51999999999993</v>
      </c>
      <c r="AS1192" s="56">
        <v>14.920000000000041</v>
      </c>
      <c r="AT1192" s="62">
        <v>18.86000000000001</v>
      </c>
      <c r="AV1192" s="64">
        <v>3.7277450833333332</v>
      </c>
      <c r="AW1192" s="56">
        <v>13.079999999999981</v>
      </c>
      <c r="AX1192" s="56">
        <v>14.52</v>
      </c>
      <c r="AY1192" s="62">
        <v>19.159999999999929</v>
      </c>
      <c r="BA1192" s="64">
        <v>3.180831383333333</v>
      </c>
      <c r="BB1192" s="56">
        <v>15.74</v>
      </c>
      <c r="BC1192" s="56">
        <v>18.200000000000038</v>
      </c>
      <c r="BD1192" s="62">
        <v>30.140000000000011</v>
      </c>
      <c r="BF1192" s="64">
        <v>2.9228721166666669</v>
      </c>
      <c r="BG1192" s="56">
        <v>19.380000000000042</v>
      </c>
      <c r="BH1192" s="56">
        <v>25.780000000000051</v>
      </c>
      <c r="BI1192" s="62">
        <v>54.48000000000004</v>
      </c>
      <c r="BJ1192" s="70"/>
      <c r="BK1192" s="51"/>
    </row>
    <row r="1193" spans="1:63" x14ac:dyDescent="0.4">
      <c r="A1193" s="147" t="s">
        <v>1270</v>
      </c>
      <c r="G1193" s="147" t="s">
        <v>1270</v>
      </c>
      <c r="H1193" s="159">
        <v>69.718000000000004</v>
      </c>
      <c r="I1193" s="153">
        <v>70.319999999999993</v>
      </c>
      <c r="J1193" s="153">
        <v>70.37</v>
      </c>
      <c r="K1193" s="153">
        <v>70.319999999999993</v>
      </c>
      <c r="L1193" s="153">
        <v>70.28</v>
      </c>
      <c r="M1193" s="80">
        <f t="shared" si="36"/>
        <v>70.37</v>
      </c>
      <c r="N1193" s="80">
        <f t="shared" si="37"/>
        <v>70.28</v>
      </c>
      <c r="O1193" s="153">
        <v>21.21</v>
      </c>
      <c r="P1193" s="153">
        <v>21.11</v>
      </c>
      <c r="Q1193" s="153">
        <v>21.14</v>
      </c>
      <c r="R1193" s="153">
        <v>21.07</v>
      </c>
      <c r="S1193" s="4"/>
      <c r="U1193" s="147" t="s">
        <v>1270</v>
      </c>
      <c r="V1193" s="11"/>
      <c r="W1193" s="4"/>
      <c r="X1193" s="12"/>
      <c r="Y1193" s="14"/>
      <c r="Z1193" s="4"/>
      <c r="AA1193" s="13"/>
      <c r="AB1193" s="11"/>
      <c r="AC1193" s="4"/>
      <c r="AD1193" s="12"/>
      <c r="AE1193" s="13"/>
      <c r="AF1193" s="14">
        <v>5.0038</v>
      </c>
      <c r="AG1193" s="133"/>
      <c r="AI1193" s="96"/>
      <c r="AL1193" s="64">
        <v>4.1738007166666664</v>
      </c>
      <c r="AM1193" s="56">
        <v>13.480000000000031</v>
      </c>
      <c r="AN1193" s="56">
        <v>15.41999999999994</v>
      </c>
      <c r="AO1193" s="62">
        <v>21.419999999999991</v>
      </c>
      <c r="AQ1193" s="64">
        <v>4.0821833999999999</v>
      </c>
      <c r="AR1193" s="56">
        <v>13.11999999999998</v>
      </c>
      <c r="AS1193" s="56">
        <v>14.50000000000014</v>
      </c>
      <c r="AT1193" s="62">
        <v>18.360000000000021</v>
      </c>
      <c r="AV1193" s="64">
        <v>3.7301777500000002</v>
      </c>
      <c r="AW1193" s="56">
        <v>12.740000000000061</v>
      </c>
      <c r="AX1193" s="56">
        <v>14.14</v>
      </c>
      <c r="AY1193" s="62">
        <v>18.700000000000031</v>
      </c>
      <c r="BA1193" s="64">
        <v>3.188590233333334</v>
      </c>
      <c r="BB1193" s="56">
        <v>15.599999999999969</v>
      </c>
      <c r="BC1193" s="56">
        <v>17.979999999999929</v>
      </c>
      <c r="BD1193" s="62">
        <v>29.599999999999941</v>
      </c>
      <c r="BF1193" s="64">
        <v>2.915093283333333</v>
      </c>
      <c r="BG1193" s="56">
        <v>19.460000000000029</v>
      </c>
      <c r="BH1193" s="56">
        <v>26.020000000000021</v>
      </c>
      <c r="BI1193" s="62">
        <v>55.579999999999963</v>
      </c>
      <c r="BJ1193" s="70"/>
      <c r="BK1193" s="51"/>
    </row>
    <row r="1194" spans="1:63" x14ac:dyDescent="0.4">
      <c r="A1194" s="147" t="s">
        <v>1271</v>
      </c>
      <c r="G1194" s="147" t="s">
        <v>1271</v>
      </c>
      <c r="H1194" s="159">
        <v>69.936000000000007</v>
      </c>
      <c r="I1194" s="153">
        <v>70.34</v>
      </c>
      <c r="J1194" s="153">
        <v>70.38</v>
      </c>
      <c r="K1194" s="153">
        <v>70.37</v>
      </c>
      <c r="L1194" s="153">
        <v>70.290000000000006</v>
      </c>
      <c r="M1194" s="80">
        <f t="shared" si="36"/>
        <v>70.38</v>
      </c>
      <c r="N1194" s="80">
        <f t="shared" si="37"/>
        <v>70.290000000000006</v>
      </c>
      <c r="O1194" s="153">
        <v>21.17</v>
      </c>
      <c r="P1194" s="153">
        <v>21.12</v>
      </c>
      <c r="Q1194" s="153">
        <v>21.15</v>
      </c>
      <c r="R1194" s="153">
        <v>21.04</v>
      </c>
      <c r="S1194" s="4"/>
      <c r="U1194" s="147" t="s">
        <v>1271</v>
      </c>
      <c r="V1194" s="11"/>
      <c r="W1194" s="4"/>
      <c r="X1194" s="12"/>
      <c r="Y1194" s="14"/>
      <c r="Z1194" s="4"/>
      <c r="AA1194" s="13"/>
      <c r="AB1194" s="11"/>
      <c r="AC1194" s="4"/>
      <c r="AD1194" s="12"/>
      <c r="AE1194" s="13"/>
      <c r="AF1194" s="14">
        <v>4.9741999999999997</v>
      </c>
      <c r="AG1194" s="133"/>
      <c r="AI1194" s="96"/>
      <c r="AL1194" s="64">
        <v>4.1727777000000001</v>
      </c>
      <c r="AM1194" s="56">
        <v>14.02000000000001</v>
      </c>
      <c r="AN1194" s="56">
        <v>15.95999999999993</v>
      </c>
      <c r="AO1194" s="62">
        <v>22.039999999999971</v>
      </c>
      <c r="AQ1194" s="64">
        <v>4.0834358166666664</v>
      </c>
      <c r="AR1194" s="56">
        <v>13.59999999999992</v>
      </c>
      <c r="AS1194" s="56">
        <v>15.039999999999941</v>
      </c>
      <c r="AT1194" s="62">
        <v>19.019999999999989</v>
      </c>
      <c r="AV1194" s="64">
        <v>3.727481566666667</v>
      </c>
      <c r="AW1194" s="56">
        <v>12.95999999999999</v>
      </c>
      <c r="AX1194" s="56">
        <v>14.400000000000009</v>
      </c>
      <c r="AY1194" s="62">
        <v>19.019999999999989</v>
      </c>
      <c r="BA1194" s="64">
        <v>3.1702574166666668</v>
      </c>
      <c r="BB1194" s="56">
        <v>15.20000000000001</v>
      </c>
      <c r="BC1194" s="56">
        <v>17.78000000000004</v>
      </c>
      <c r="BD1194" s="62">
        <v>30.200000000000049</v>
      </c>
      <c r="BF1194" s="64">
        <v>2.9113604833333331</v>
      </c>
      <c r="BG1194" s="56">
        <v>18.880000000000049</v>
      </c>
      <c r="BH1194" s="56">
        <v>25.400000000000041</v>
      </c>
      <c r="BI1194" s="62">
        <v>56.280000000000022</v>
      </c>
      <c r="BJ1194" s="70"/>
      <c r="BK1194" s="51"/>
    </row>
    <row r="1195" spans="1:63" x14ac:dyDescent="0.4">
      <c r="A1195" s="147" t="s">
        <v>1272</v>
      </c>
      <c r="G1195" s="147" t="s">
        <v>1272</v>
      </c>
      <c r="H1195" s="159">
        <v>69.852999999999994</v>
      </c>
      <c r="I1195" s="153">
        <v>70.36</v>
      </c>
      <c r="J1195" s="153">
        <v>70.3</v>
      </c>
      <c r="K1195" s="153">
        <v>70.3</v>
      </c>
      <c r="L1195" s="153">
        <v>70.38</v>
      </c>
      <c r="M1195" s="80">
        <f t="shared" si="36"/>
        <v>70.38</v>
      </c>
      <c r="N1195" s="80">
        <f t="shared" si="37"/>
        <v>70.3</v>
      </c>
      <c r="O1195" s="153">
        <v>21.19</v>
      </c>
      <c r="P1195" s="153">
        <v>20.97</v>
      </c>
      <c r="Q1195" s="153">
        <v>21.14</v>
      </c>
      <c r="R1195" s="153">
        <v>21.13</v>
      </c>
      <c r="S1195" s="4"/>
      <c r="U1195" s="147" t="s">
        <v>1272</v>
      </c>
      <c r="V1195" s="11"/>
      <c r="W1195" s="4"/>
      <c r="X1195" s="12"/>
      <c r="Y1195" s="14"/>
      <c r="Z1195" s="4"/>
      <c r="AA1195" s="13"/>
      <c r="AB1195" s="11"/>
      <c r="AC1195" s="4"/>
      <c r="AD1195" s="12"/>
      <c r="AE1195" s="13"/>
      <c r="AF1195" s="14">
        <v>5.0124000000000004</v>
      </c>
      <c r="AG1195" s="133"/>
      <c r="AI1195" s="96"/>
      <c r="AL1195" s="64">
        <v>4.1738378666666671</v>
      </c>
      <c r="AM1195" s="56">
        <v>13.76000000000008</v>
      </c>
      <c r="AN1195" s="56">
        <v>15.680000000000049</v>
      </c>
      <c r="AO1195" s="62">
        <v>21.739999999999959</v>
      </c>
      <c r="AQ1195" s="64">
        <v>4.0827021000000014</v>
      </c>
      <c r="AR1195" s="56">
        <v>13.400000000000031</v>
      </c>
      <c r="AS1195" s="56">
        <v>14.81999999999992</v>
      </c>
      <c r="AT1195" s="62">
        <v>18.719999999999981</v>
      </c>
      <c r="AV1195" s="64">
        <v>3.729969399999999</v>
      </c>
      <c r="AW1195" s="56">
        <v>13.11999999999998</v>
      </c>
      <c r="AX1195" s="56">
        <v>14.56</v>
      </c>
      <c r="AY1195" s="62">
        <v>19.160000000000021</v>
      </c>
      <c r="BA1195" s="64">
        <v>3.18460155</v>
      </c>
      <c r="BB1195" s="56">
        <v>16.019999999999971</v>
      </c>
      <c r="BC1195" s="56">
        <v>18.43999999999992</v>
      </c>
      <c r="BD1195" s="62">
        <v>30.29999999999999</v>
      </c>
      <c r="BF1195" s="64">
        <v>2.914727266666667</v>
      </c>
      <c r="BG1195" s="56">
        <v>19.880000000000031</v>
      </c>
      <c r="BH1195" s="56">
        <v>26.459999999999969</v>
      </c>
      <c r="BI1195" s="62">
        <v>56.259999999999977</v>
      </c>
      <c r="BJ1195" s="70"/>
      <c r="BK1195" s="51"/>
    </row>
    <row r="1196" spans="1:63" x14ac:dyDescent="0.4">
      <c r="A1196" s="147" t="s">
        <v>1273</v>
      </c>
      <c r="G1196" s="147" t="s">
        <v>1273</v>
      </c>
      <c r="H1196" s="159">
        <v>70.007000000000005</v>
      </c>
      <c r="I1196" s="153">
        <v>70.3</v>
      </c>
      <c r="J1196" s="153">
        <v>70.3</v>
      </c>
      <c r="K1196" s="153">
        <v>70.27</v>
      </c>
      <c r="L1196" s="153">
        <v>70.38</v>
      </c>
      <c r="M1196" s="80">
        <f t="shared" si="36"/>
        <v>70.38</v>
      </c>
      <c r="N1196" s="80">
        <f t="shared" si="37"/>
        <v>70.27</v>
      </c>
      <c r="O1196" s="153">
        <v>21.2</v>
      </c>
      <c r="P1196" s="153">
        <v>21.09</v>
      </c>
      <c r="Q1196" s="153">
        <v>21.15</v>
      </c>
      <c r="R1196" s="153">
        <v>21.1</v>
      </c>
      <c r="S1196" s="4"/>
      <c r="U1196" s="147" t="s">
        <v>1273</v>
      </c>
      <c r="V1196" s="11"/>
      <c r="W1196" s="4"/>
      <c r="X1196" s="12"/>
      <c r="Y1196" s="14"/>
      <c r="Z1196" s="4"/>
      <c r="AA1196" s="13"/>
      <c r="AB1196" s="11"/>
      <c r="AC1196" s="4"/>
      <c r="AD1196" s="12"/>
      <c r="AE1196" s="13"/>
      <c r="AF1196" s="14">
        <v>5.0092999999999996</v>
      </c>
      <c r="AG1196" s="133"/>
      <c r="AI1196" s="96"/>
      <c r="AL1196" s="64">
        <v>4.1730018833333329</v>
      </c>
      <c r="AM1196" s="56">
        <v>14.1</v>
      </c>
      <c r="AN1196" s="56">
        <v>16.080000000000009</v>
      </c>
      <c r="AO1196" s="62">
        <v>22.19999999999995</v>
      </c>
      <c r="AQ1196" s="64">
        <v>4.082375466666667</v>
      </c>
      <c r="AR1196" s="56">
        <v>13.86000000000003</v>
      </c>
      <c r="AS1196" s="56">
        <v>15.32</v>
      </c>
      <c r="AT1196" s="62">
        <v>19.379999999999949</v>
      </c>
      <c r="AV1196" s="64">
        <v>3.7285823333333332</v>
      </c>
      <c r="AW1196" s="56">
        <v>13.47999999999994</v>
      </c>
      <c r="AX1196" s="56">
        <v>14.97999999999999</v>
      </c>
      <c r="AY1196" s="62">
        <v>19.71999999999996</v>
      </c>
      <c r="BA1196" s="64">
        <v>3.183865050000001</v>
      </c>
      <c r="BB1196" s="56">
        <v>15.899999999999981</v>
      </c>
      <c r="BC1196" s="56">
        <v>18.360000000000021</v>
      </c>
      <c r="BD1196" s="62">
        <v>30.26</v>
      </c>
      <c r="BF1196" s="64">
        <v>2.9184392666666672</v>
      </c>
      <c r="BG1196" s="56">
        <v>19.78</v>
      </c>
      <c r="BH1196" s="56">
        <v>26.31999999999994</v>
      </c>
      <c r="BI1196" s="62">
        <v>55.699999999999953</v>
      </c>
      <c r="BJ1196" s="70"/>
      <c r="BK1196" s="51"/>
    </row>
    <row r="1197" spans="1:63" x14ac:dyDescent="0.4">
      <c r="A1197" s="147" t="s">
        <v>1274</v>
      </c>
      <c r="G1197" s="147" t="s">
        <v>1274</v>
      </c>
      <c r="H1197" s="159">
        <v>69.974000000000004</v>
      </c>
      <c r="I1197" s="153">
        <v>70.37</v>
      </c>
      <c r="J1197" s="153">
        <v>70.349999999999994</v>
      </c>
      <c r="K1197" s="153">
        <v>70.37</v>
      </c>
      <c r="L1197" s="153">
        <v>70.290000000000006</v>
      </c>
      <c r="M1197" s="80">
        <f t="shared" si="36"/>
        <v>70.37</v>
      </c>
      <c r="N1197" s="80">
        <f t="shared" si="37"/>
        <v>70.290000000000006</v>
      </c>
      <c r="O1197" s="153">
        <v>21.17</v>
      </c>
      <c r="P1197" s="153">
        <v>21.02</v>
      </c>
      <c r="Q1197" s="153">
        <v>21.15</v>
      </c>
      <c r="R1197" s="153">
        <v>21.09</v>
      </c>
      <c r="S1197" s="4"/>
      <c r="U1197" s="147" t="s">
        <v>1274</v>
      </c>
      <c r="V1197" s="11"/>
      <c r="W1197" s="4"/>
      <c r="X1197" s="12"/>
      <c r="Y1197" s="14"/>
      <c r="Z1197" s="4"/>
      <c r="AA1197" s="13"/>
      <c r="AB1197" s="11"/>
      <c r="AC1197" s="4"/>
      <c r="AD1197" s="12"/>
      <c r="AE1197" s="13"/>
      <c r="AF1197" s="14">
        <v>5.0111999999999997</v>
      </c>
      <c r="AG1197" s="133"/>
      <c r="AI1197" s="96"/>
      <c r="AL1197" s="64">
        <v>4.1735087499999999</v>
      </c>
      <c r="AM1197" s="56">
        <v>13.35999999999995</v>
      </c>
      <c r="AN1197" s="56">
        <v>15.279999999999919</v>
      </c>
      <c r="AO1197" s="62">
        <v>21.219999999999931</v>
      </c>
      <c r="AQ1197" s="64">
        <v>4.0823359166666666</v>
      </c>
      <c r="AR1197" s="56">
        <v>12.999999999999901</v>
      </c>
      <c r="AS1197" s="56">
        <v>14.37999999999988</v>
      </c>
      <c r="AT1197" s="62">
        <v>18.219999999999992</v>
      </c>
      <c r="AV1197" s="64">
        <v>3.7298723499999999</v>
      </c>
      <c r="AW1197" s="56">
        <v>12.540000000000081</v>
      </c>
      <c r="AX1197" s="56">
        <v>13.960000000000059</v>
      </c>
      <c r="AY1197" s="62">
        <v>18.460000000000051</v>
      </c>
      <c r="BA1197" s="64">
        <v>3.1857075166666671</v>
      </c>
      <c r="BB1197" s="56">
        <v>14.97999999999999</v>
      </c>
      <c r="BC1197" s="56">
        <v>17.34</v>
      </c>
      <c r="BD1197" s="62">
        <v>28.88000000000002</v>
      </c>
      <c r="BF1197" s="64">
        <v>2.910353166666666</v>
      </c>
      <c r="BG1197" s="56">
        <v>18.799999999999969</v>
      </c>
      <c r="BH1197" s="56">
        <v>25.360000000000049</v>
      </c>
      <c r="BI1197" s="62">
        <v>55.400000000000027</v>
      </c>
      <c r="BJ1197" s="70"/>
      <c r="BK1197" s="51"/>
    </row>
    <row r="1198" spans="1:63" x14ac:dyDescent="0.4">
      <c r="A1198" s="147" t="s">
        <v>1275</v>
      </c>
      <c r="G1198" s="147" t="s">
        <v>1275</v>
      </c>
      <c r="H1198" s="159">
        <v>70.02</v>
      </c>
      <c r="I1198" s="153">
        <v>70.33</v>
      </c>
      <c r="J1198" s="153">
        <v>70.319999999999993</v>
      </c>
      <c r="K1198" s="153">
        <v>70.28</v>
      </c>
      <c r="L1198" s="153">
        <v>70.33</v>
      </c>
      <c r="M1198" s="80">
        <f t="shared" si="36"/>
        <v>70.33</v>
      </c>
      <c r="N1198" s="80">
        <f t="shared" si="37"/>
        <v>70.28</v>
      </c>
      <c r="O1198" s="153">
        <v>21.15</v>
      </c>
      <c r="P1198" s="153">
        <v>21.17</v>
      </c>
      <c r="Q1198" s="153">
        <v>21.15</v>
      </c>
      <c r="R1198" s="153">
        <v>21.1</v>
      </c>
      <c r="S1198" s="4"/>
      <c r="U1198" s="147" t="s">
        <v>1275</v>
      </c>
      <c r="V1198" s="11"/>
      <c r="W1198" s="4"/>
      <c r="X1198" s="12"/>
      <c r="Y1198" s="14"/>
      <c r="Z1198" s="4"/>
      <c r="AA1198" s="13"/>
      <c r="AB1198" s="11"/>
      <c r="AC1198" s="4"/>
      <c r="AD1198" s="12"/>
      <c r="AE1198" s="13"/>
      <c r="AF1198" s="14">
        <v>5.0025000000000004</v>
      </c>
      <c r="AG1198" s="133"/>
      <c r="AI1198" s="96"/>
      <c r="AL1198" s="64">
        <v>4.1730852499999997</v>
      </c>
      <c r="AM1198" s="56">
        <v>13.899999999999929</v>
      </c>
      <c r="AN1198" s="56">
        <v>15.87999999999994</v>
      </c>
      <c r="AO1198" s="62">
        <v>21.95999999999998</v>
      </c>
      <c r="AQ1198" s="64">
        <v>4.0838825999999999</v>
      </c>
      <c r="AR1198" s="56">
        <v>13.679999999999909</v>
      </c>
      <c r="AS1198" s="56">
        <v>15.11999999999993</v>
      </c>
      <c r="AT1198" s="62">
        <v>19.09999999999998</v>
      </c>
      <c r="AV1198" s="64">
        <v>3.729658833333334</v>
      </c>
      <c r="AW1198" s="56">
        <v>13.239999999999959</v>
      </c>
      <c r="AX1198" s="56">
        <v>14.699999999999941</v>
      </c>
      <c r="AY1198" s="62">
        <v>19.339999999999961</v>
      </c>
      <c r="BA1198" s="64">
        <v>3.1804671166666671</v>
      </c>
      <c r="BB1198" s="56">
        <v>15.839999999999939</v>
      </c>
      <c r="BC1198" s="56">
        <v>18.279999999999941</v>
      </c>
      <c r="BD1198" s="62">
        <v>30.239999999999959</v>
      </c>
      <c r="BF1198" s="64">
        <v>2.91392155</v>
      </c>
      <c r="BG1198" s="56">
        <v>19.660000000000011</v>
      </c>
      <c r="BH1198" s="56">
        <v>26.29999999999999</v>
      </c>
      <c r="BI1198" s="62">
        <v>56.48</v>
      </c>
      <c r="BJ1198" s="70"/>
      <c r="BK1198" s="51"/>
    </row>
    <row r="1199" spans="1:63" x14ac:dyDescent="0.4">
      <c r="A1199" s="147" t="s">
        <v>1276</v>
      </c>
      <c r="G1199" s="147" t="s">
        <v>1276</v>
      </c>
      <c r="H1199" s="159">
        <v>69.971000000000004</v>
      </c>
      <c r="I1199" s="153">
        <v>70.39</v>
      </c>
      <c r="J1199" s="153">
        <v>70.28</v>
      </c>
      <c r="K1199" s="153">
        <v>70.31</v>
      </c>
      <c r="L1199" s="153">
        <v>70.3</v>
      </c>
      <c r="M1199" s="80">
        <f t="shared" si="36"/>
        <v>70.39</v>
      </c>
      <c r="N1199" s="80">
        <f t="shared" si="37"/>
        <v>70.28</v>
      </c>
      <c r="O1199" s="153">
        <v>21.2</v>
      </c>
      <c r="P1199" s="153">
        <v>21.07</v>
      </c>
      <c r="Q1199" s="153">
        <v>21.11</v>
      </c>
      <c r="R1199" s="153">
        <v>20.96</v>
      </c>
      <c r="S1199" s="4"/>
      <c r="U1199" s="147" t="s">
        <v>1276</v>
      </c>
      <c r="V1199" s="11"/>
      <c r="W1199" s="4"/>
      <c r="X1199" s="12"/>
      <c r="Y1199" s="14"/>
      <c r="Z1199" s="4"/>
      <c r="AA1199" s="13"/>
      <c r="AB1199" s="11"/>
      <c r="AC1199" s="4"/>
      <c r="AD1199" s="12"/>
      <c r="AE1199" s="13"/>
      <c r="AF1199" s="14">
        <v>4.9965999999999999</v>
      </c>
      <c r="AG1199" s="133"/>
      <c r="AI1199" s="96"/>
      <c r="AL1199" s="64">
        <v>4.1733668333333327</v>
      </c>
      <c r="AM1199" s="56">
        <v>13.419999999999989</v>
      </c>
      <c r="AN1199" s="56">
        <v>15.33999999999995</v>
      </c>
      <c r="AO1199" s="62">
        <v>21.3000000000001</v>
      </c>
      <c r="AQ1199" s="64">
        <v>4.0829741333333329</v>
      </c>
      <c r="AR1199" s="56">
        <v>13.18000000000001</v>
      </c>
      <c r="AS1199" s="56">
        <v>14.57999999999995</v>
      </c>
      <c r="AT1199" s="62">
        <v>18.460000000000051</v>
      </c>
      <c r="AV1199" s="64">
        <v>3.7305740333333328</v>
      </c>
      <c r="AW1199" s="56">
        <v>12.78000000000006</v>
      </c>
      <c r="AX1199" s="56">
        <v>14.200000000000029</v>
      </c>
      <c r="AY1199" s="62">
        <v>18.74000000000002</v>
      </c>
      <c r="BA1199" s="64">
        <v>3.184907233333333</v>
      </c>
      <c r="BB1199" s="56">
        <v>15.09999999999998</v>
      </c>
      <c r="BC1199" s="56">
        <v>17.419999999999991</v>
      </c>
      <c r="BD1199" s="62">
        <v>29.020000000000049</v>
      </c>
      <c r="BF1199" s="64">
        <v>2.9127200833333342</v>
      </c>
      <c r="BG1199" s="56">
        <v>18.880000000000049</v>
      </c>
      <c r="BH1199" s="56">
        <v>25.300000000000011</v>
      </c>
      <c r="BI1199" s="62">
        <v>55.060000000000016</v>
      </c>
      <c r="BJ1199" s="70"/>
      <c r="BK1199" s="51"/>
    </row>
    <row r="1200" spans="1:63" x14ac:dyDescent="0.4">
      <c r="A1200" s="147" t="s">
        <v>1277</v>
      </c>
      <c r="G1200" s="147" t="s">
        <v>1277</v>
      </c>
      <c r="H1200" s="159">
        <v>70.031000000000006</v>
      </c>
      <c r="I1200" s="153">
        <v>70.3</v>
      </c>
      <c r="J1200" s="153">
        <v>70.39</v>
      </c>
      <c r="K1200" s="153">
        <v>70.33</v>
      </c>
      <c r="L1200" s="153">
        <v>70.33</v>
      </c>
      <c r="M1200" s="80">
        <f t="shared" si="36"/>
        <v>70.39</v>
      </c>
      <c r="N1200" s="80">
        <f t="shared" si="37"/>
        <v>70.3</v>
      </c>
      <c r="O1200" s="153">
        <v>21.14</v>
      </c>
      <c r="P1200" s="153">
        <v>21.06</v>
      </c>
      <c r="Q1200" s="153">
        <v>21.15</v>
      </c>
      <c r="R1200" s="153">
        <v>21.11</v>
      </c>
      <c r="S1200" s="4"/>
      <c r="U1200" s="147" t="s">
        <v>1277</v>
      </c>
      <c r="V1200" s="11"/>
      <c r="W1200" s="4"/>
      <c r="X1200" s="12"/>
      <c r="Y1200" s="14"/>
      <c r="Z1200" s="4"/>
      <c r="AA1200" s="13"/>
      <c r="AB1200" s="11"/>
      <c r="AC1200" s="4"/>
      <c r="AD1200" s="12"/>
      <c r="AE1200" s="13"/>
      <c r="AF1200" s="14">
        <v>5.0006000000000004</v>
      </c>
      <c r="AG1200" s="133"/>
      <c r="AI1200" s="96"/>
      <c r="AL1200" s="64">
        <v>4.1726221666666667</v>
      </c>
      <c r="AM1200" s="56">
        <v>14.08000000000005</v>
      </c>
      <c r="AN1200" s="56">
        <v>16.040000000000099</v>
      </c>
      <c r="AO1200" s="62">
        <v>22.039999999999971</v>
      </c>
      <c r="AQ1200" s="64">
        <v>4.080058066666667</v>
      </c>
      <c r="AR1200" s="56">
        <v>13.700000000000051</v>
      </c>
      <c r="AS1200" s="56">
        <v>15.11999999999993</v>
      </c>
      <c r="AT1200" s="62">
        <v>19.079999999999941</v>
      </c>
      <c r="AV1200" s="64">
        <v>3.7263263833333329</v>
      </c>
      <c r="AW1200" s="56">
        <v>13.34</v>
      </c>
      <c r="AX1200" s="56">
        <v>14.799999999999971</v>
      </c>
      <c r="AY1200" s="62">
        <v>19.47999999999999</v>
      </c>
      <c r="BA1200" s="64">
        <v>3.1828763666666671</v>
      </c>
      <c r="BB1200" s="56">
        <v>15.20000000000001</v>
      </c>
      <c r="BC1200" s="56">
        <v>17.600000000000019</v>
      </c>
      <c r="BD1200" s="62">
        <v>29.22000000000002</v>
      </c>
      <c r="BF1200" s="64">
        <v>2.9049249333333331</v>
      </c>
      <c r="BG1200" s="56">
        <v>18.940000000000001</v>
      </c>
      <c r="BH1200" s="56">
        <v>25.500000000000082</v>
      </c>
      <c r="BI1200" s="62">
        <v>55.980000000000011</v>
      </c>
      <c r="BJ1200" s="70"/>
      <c r="BK1200" s="51"/>
    </row>
    <row r="1201" spans="1:63" x14ac:dyDescent="0.4">
      <c r="A1201" s="147" t="s">
        <v>1278</v>
      </c>
      <c r="G1201" s="147" t="s">
        <v>1278</v>
      </c>
      <c r="H1201" s="159">
        <v>70.037000000000006</v>
      </c>
      <c r="I1201" s="153">
        <v>70.37</v>
      </c>
      <c r="J1201" s="153">
        <v>70.290000000000006</v>
      </c>
      <c r="K1201" s="153">
        <v>70.33</v>
      </c>
      <c r="L1201" s="153">
        <v>70.33</v>
      </c>
      <c r="M1201" s="80">
        <f t="shared" si="36"/>
        <v>70.37</v>
      </c>
      <c r="N1201" s="80">
        <f t="shared" si="37"/>
        <v>70.290000000000006</v>
      </c>
      <c r="O1201" s="153">
        <v>21.19</v>
      </c>
      <c r="P1201" s="153">
        <v>21.12</v>
      </c>
      <c r="Q1201" s="153">
        <v>21.12</v>
      </c>
      <c r="R1201" s="153">
        <v>21.08</v>
      </c>
      <c r="S1201" s="4"/>
      <c r="U1201" s="147" t="s">
        <v>1278</v>
      </c>
      <c r="V1201" s="11"/>
      <c r="W1201" s="4"/>
      <c r="X1201" s="12"/>
      <c r="Y1201" s="14"/>
      <c r="Z1201" s="4"/>
      <c r="AA1201" s="13"/>
      <c r="AB1201" s="11"/>
      <c r="AC1201" s="4"/>
      <c r="AD1201" s="12"/>
      <c r="AE1201" s="13"/>
      <c r="AF1201" s="14">
        <v>5.0076000000000001</v>
      </c>
      <c r="AG1201" s="133"/>
      <c r="AI1201" s="96"/>
      <c r="AL1201" s="64">
        <v>4.1731847333333327</v>
      </c>
      <c r="AM1201" s="56">
        <v>13.759999999999909</v>
      </c>
      <c r="AN1201" s="56">
        <v>15.65999999999992</v>
      </c>
      <c r="AO1201" s="62">
        <v>21.639999999999841</v>
      </c>
      <c r="AQ1201" s="64">
        <v>4.0819885833333327</v>
      </c>
      <c r="AR1201" s="56">
        <v>13.35999999999995</v>
      </c>
      <c r="AS1201" s="56">
        <v>14.780000000000021</v>
      </c>
      <c r="AT1201" s="62">
        <v>18.699999999999939</v>
      </c>
      <c r="AV1201" s="64">
        <v>3.7295404333333342</v>
      </c>
      <c r="AW1201" s="56">
        <v>12.95999999999999</v>
      </c>
      <c r="AX1201" s="56">
        <v>14.400000000000009</v>
      </c>
      <c r="AY1201" s="62">
        <v>18.96000000000004</v>
      </c>
      <c r="BA1201" s="64">
        <v>3.185898316666667</v>
      </c>
      <c r="BB1201" s="56">
        <v>15.859999999999991</v>
      </c>
      <c r="BC1201" s="56">
        <v>18.31999999999994</v>
      </c>
      <c r="BD1201" s="62">
        <v>30.019999999999939</v>
      </c>
      <c r="BF1201" s="64">
        <v>2.9124015833333332</v>
      </c>
      <c r="BG1201" s="56">
        <v>19.679999999999961</v>
      </c>
      <c r="BH1201" s="56">
        <v>26.320000000000029</v>
      </c>
      <c r="BI1201" s="62">
        <v>56.179999999999993</v>
      </c>
      <c r="BJ1201" s="70"/>
      <c r="BK1201" s="51"/>
    </row>
    <row r="1202" spans="1:63" x14ac:dyDescent="0.4">
      <c r="A1202" s="147" t="s">
        <v>1279</v>
      </c>
      <c r="G1202" s="147" t="s">
        <v>1279</v>
      </c>
      <c r="H1202" s="159">
        <v>70.082999999999998</v>
      </c>
      <c r="I1202" s="153">
        <v>70.349999999999994</v>
      </c>
      <c r="J1202" s="153">
        <v>70.400000000000006</v>
      </c>
      <c r="K1202" s="153">
        <v>70.37</v>
      </c>
      <c r="L1202" s="153">
        <v>70.319999999999993</v>
      </c>
      <c r="M1202" s="80">
        <f t="shared" si="36"/>
        <v>70.400000000000006</v>
      </c>
      <c r="N1202" s="80">
        <f t="shared" si="37"/>
        <v>70.319999999999993</v>
      </c>
      <c r="O1202" s="153">
        <v>21.13</v>
      </c>
      <c r="P1202" s="153">
        <v>21.05</v>
      </c>
      <c r="Q1202" s="153">
        <v>21.15</v>
      </c>
      <c r="R1202" s="153">
        <v>21.13</v>
      </c>
      <c r="S1202" s="4"/>
      <c r="U1202" s="147" t="s">
        <v>1279</v>
      </c>
      <c r="V1202" s="11"/>
      <c r="W1202" s="4"/>
      <c r="X1202" s="12"/>
      <c r="Y1202" s="14"/>
      <c r="Z1202" s="4"/>
      <c r="AA1202" s="13"/>
      <c r="AB1202" s="11"/>
      <c r="AC1202" s="4"/>
      <c r="AD1202" s="12"/>
      <c r="AE1202" s="13"/>
      <c r="AF1202" s="14">
        <v>5.0033000000000003</v>
      </c>
      <c r="AG1202" s="133"/>
      <c r="AI1202" s="96"/>
      <c r="AL1202" s="64">
        <v>4.1730429000000004</v>
      </c>
      <c r="AM1202" s="56">
        <v>14.179999999999991</v>
      </c>
      <c r="AN1202" s="56">
        <v>16.099999999999959</v>
      </c>
      <c r="AO1202" s="62">
        <v>22.100000000000009</v>
      </c>
      <c r="AQ1202" s="64">
        <v>4.0795088333333336</v>
      </c>
      <c r="AR1202" s="56">
        <v>13.46000000000007</v>
      </c>
      <c r="AS1202" s="56">
        <v>14.86000000000001</v>
      </c>
      <c r="AT1202" s="62">
        <v>18.780000000000019</v>
      </c>
      <c r="AV1202" s="64">
        <v>3.7265640000000002</v>
      </c>
      <c r="AW1202" s="56">
        <v>13.11999999999998</v>
      </c>
      <c r="AX1202" s="56">
        <v>14.56</v>
      </c>
      <c r="AY1202" s="62">
        <v>19.160000000000021</v>
      </c>
      <c r="BA1202" s="64">
        <v>3.18073535</v>
      </c>
      <c r="BB1202" s="56">
        <v>15.760000000000041</v>
      </c>
      <c r="BC1202" s="56">
        <v>18.18</v>
      </c>
      <c r="BD1202" s="62">
        <v>29.94000000000003</v>
      </c>
      <c r="BF1202" s="64">
        <v>2.9052336666666672</v>
      </c>
      <c r="BG1202" s="56">
        <v>19.620000000000019</v>
      </c>
      <c r="BH1202" s="56">
        <v>26.259999999999991</v>
      </c>
      <c r="BI1202" s="62">
        <v>56.559999999999988</v>
      </c>
      <c r="BJ1202" s="70"/>
      <c r="BK1202" s="51"/>
    </row>
    <row r="1203" spans="1:63" x14ac:dyDescent="0.4">
      <c r="A1203" s="147" t="s">
        <v>1280</v>
      </c>
      <c r="G1203" s="147" t="s">
        <v>1280</v>
      </c>
      <c r="H1203" s="159">
        <v>70.106999999999999</v>
      </c>
      <c r="I1203" s="153">
        <v>70.38</v>
      </c>
      <c r="J1203" s="153">
        <v>70.290000000000006</v>
      </c>
      <c r="K1203" s="153">
        <v>70.27</v>
      </c>
      <c r="L1203" s="153">
        <v>70.3</v>
      </c>
      <c r="M1203" s="80">
        <f t="shared" si="36"/>
        <v>70.38</v>
      </c>
      <c r="N1203" s="80">
        <f t="shared" si="37"/>
        <v>70.27</v>
      </c>
      <c r="O1203" s="153">
        <v>21.19</v>
      </c>
      <c r="P1203" s="153">
        <v>21.1</v>
      </c>
      <c r="Q1203" s="153">
        <v>21.14</v>
      </c>
      <c r="R1203" s="153">
        <v>21.06</v>
      </c>
      <c r="S1203" s="4"/>
      <c r="U1203" s="147" t="s">
        <v>1280</v>
      </c>
      <c r="V1203" s="11"/>
      <c r="W1203" s="4"/>
      <c r="X1203" s="12"/>
      <c r="Y1203" s="14"/>
      <c r="Z1203" s="4"/>
      <c r="AA1203" s="13"/>
      <c r="AB1203" s="11"/>
      <c r="AC1203" s="4"/>
      <c r="AD1203" s="12"/>
      <c r="AE1203" s="13"/>
      <c r="AF1203" s="14">
        <v>5.0053999999999998</v>
      </c>
      <c r="AG1203" s="133"/>
      <c r="AI1203" s="96"/>
      <c r="AL1203" s="64">
        <v>4.1731991333333331</v>
      </c>
      <c r="AM1203" s="56">
        <v>13.659999999999959</v>
      </c>
      <c r="AN1203" s="56">
        <v>15.579999999999931</v>
      </c>
      <c r="AO1203" s="62">
        <v>21.55999999999985</v>
      </c>
      <c r="AQ1203" s="64">
        <v>4.0812362666666671</v>
      </c>
      <c r="AR1203" s="56">
        <v>13.11999999999998</v>
      </c>
      <c r="AS1203" s="56">
        <v>14.519999999999911</v>
      </c>
      <c r="AT1203" s="62">
        <v>18.399999999999931</v>
      </c>
      <c r="AV1203" s="64">
        <v>3.728766900000001</v>
      </c>
      <c r="AW1203" s="56">
        <v>12.72000000000002</v>
      </c>
      <c r="AX1203" s="56">
        <v>14.14</v>
      </c>
      <c r="AY1203" s="62">
        <v>18.679999999999989</v>
      </c>
      <c r="BA1203" s="64">
        <v>3.1853695833333329</v>
      </c>
      <c r="BB1203" s="56">
        <v>15.000000000000041</v>
      </c>
      <c r="BC1203" s="56">
        <v>17.34</v>
      </c>
      <c r="BD1203" s="62">
        <v>28.840000000000021</v>
      </c>
      <c r="BF1203" s="64">
        <v>2.9065802500000002</v>
      </c>
      <c r="BG1203" s="56">
        <v>18.86000000000001</v>
      </c>
      <c r="BH1203" s="56">
        <v>25.42</v>
      </c>
      <c r="BI1203" s="62">
        <v>55.759999999999991</v>
      </c>
      <c r="BJ1203" s="70"/>
      <c r="BK1203" s="51"/>
    </row>
    <row r="1204" spans="1:63" x14ac:dyDescent="0.4">
      <c r="A1204" s="147" t="s">
        <v>1281</v>
      </c>
      <c r="G1204" s="147" t="s">
        <v>1281</v>
      </c>
      <c r="H1204" s="159">
        <v>69.977999999999994</v>
      </c>
      <c r="I1204" s="153">
        <v>70.31</v>
      </c>
      <c r="J1204" s="153">
        <v>70.34</v>
      </c>
      <c r="K1204" s="153">
        <v>70.349999999999994</v>
      </c>
      <c r="L1204" s="153">
        <v>70.39</v>
      </c>
      <c r="M1204" s="80">
        <f t="shared" si="36"/>
        <v>70.39</v>
      </c>
      <c r="N1204" s="80">
        <f t="shared" si="37"/>
        <v>70.31</v>
      </c>
      <c r="O1204" s="153">
        <v>21.15</v>
      </c>
      <c r="P1204" s="153">
        <v>21.12</v>
      </c>
      <c r="Q1204" s="153">
        <v>21.1</v>
      </c>
      <c r="R1204" s="153">
        <v>21.06</v>
      </c>
      <c r="S1204" s="4"/>
      <c r="U1204" s="147" t="s">
        <v>1281</v>
      </c>
      <c r="V1204" s="11"/>
      <c r="W1204" s="4"/>
      <c r="X1204" s="12"/>
      <c r="Y1204" s="14"/>
      <c r="Z1204" s="4"/>
      <c r="AA1204" s="13"/>
      <c r="AB1204" s="11"/>
      <c r="AC1204" s="4"/>
      <c r="AD1204" s="12"/>
      <c r="AE1204" s="13"/>
      <c r="AF1204" s="14">
        <v>5.0110000000000001</v>
      </c>
      <c r="AG1204" s="133"/>
      <c r="AI1204" s="96"/>
      <c r="AL1204" s="64">
        <v>4.1731336999999993</v>
      </c>
      <c r="AM1204" s="56">
        <v>13.34</v>
      </c>
      <c r="AN1204" s="56">
        <v>15.240000000000011</v>
      </c>
      <c r="AO1204" s="62">
        <v>21.15999999999989</v>
      </c>
      <c r="AQ1204" s="64">
        <v>4.0823573333333334</v>
      </c>
      <c r="AR1204" s="56">
        <v>12.999999999999901</v>
      </c>
      <c r="AS1204" s="56">
        <v>14.37999999999988</v>
      </c>
      <c r="AT1204" s="62">
        <v>18.239999999999949</v>
      </c>
      <c r="AV1204" s="64">
        <v>3.7288373666666672</v>
      </c>
      <c r="AW1204" s="56">
        <v>12.54</v>
      </c>
      <c r="AX1204" s="56">
        <v>13.959999999999971</v>
      </c>
      <c r="AY1204" s="62">
        <v>18.459999999999969</v>
      </c>
      <c r="BA1204" s="64">
        <v>3.1826564666666668</v>
      </c>
      <c r="BB1204" s="56">
        <v>15.08000000000003</v>
      </c>
      <c r="BC1204" s="56">
        <v>17.45999999999999</v>
      </c>
      <c r="BD1204" s="62">
        <v>29.159999999999989</v>
      </c>
      <c r="BF1204" s="64">
        <v>2.9159855833333341</v>
      </c>
      <c r="BG1204" s="56">
        <v>18.900000000000009</v>
      </c>
      <c r="BH1204" s="56">
        <v>25.519999999999939</v>
      </c>
      <c r="BI1204" s="62">
        <v>55.19999999999996</v>
      </c>
      <c r="BJ1204" s="70"/>
      <c r="BK1204" s="51"/>
    </row>
    <row r="1205" spans="1:63" x14ac:dyDescent="0.4">
      <c r="A1205" s="147" t="s">
        <v>1282</v>
      </c>
      <c r="G1205" s="147" t="s">
        <v>1282</v>
      </c>
      <c r="H1205" s="159">
        <v>69.926000000000002</v>
      </c>
      <c r="I1205" s="153">
        <v>70.34</v>
      </c>
      <c r="J1205" s="153">
        <v>70.34</v>
      </c>
      <c r="K1205" s="153">
        <v>70.28</v>
      </c>
      <c r="L1205" s="153">
        <v>70.27</v>
      </c>
      <c r="M1205" s="80">
        <f t="shared" si="36"/>
        <v>70.34</v>
      </c>
      <c r="N1205" s="80">
        <f t="shared" si="37"/>
        <v>70.27</v>
      </c>
      <c r="O1205" s="153">
        <v>21.17</v>
      </c>
      <c r="P1205" s="153">
        <v>20.96</v>
      </c>
      <c r="Q1205" s="153">
        <v>21.12</v>
      </c>
      <c r="R1205" s="153">
        <v>21.05</v>
      </c>
      <c r="S1205" s="4"/>
      <c r="U1205" s="147" t="s">
        <v>1282</v>
      </c>
      <c r="V1205" s="11"/>
      <c r="W1205" s="4"/>
      <c r="X1205" s="12"/>
      <c r="Y1205" s="14"/>
      <c r="Z1205" s="4"/>
      <c r="AA1205" s="13"/>
      <c r="AB1205" s="11"/>
      <c r="AC1205" s="4"/>
      <c r="AD1205" s="12"/>
      <c r="AE1205" s="13"/>
      <c r="AF1205" s="14">
        <v>5.0058999999999996</v>
      </c>
      <c r="AG1205" s="133"/>
      <c r="AI1205" s="96"/>
      <c r="AL1205" s="64">
        <v>4.1733168166666674</v>
      </c>
      <c r="AM1205" s="56">
        <v>14.040000000000139</v>
      </c>
      <c r="AN1205" s="56">
        <v>15.939999999999969</v>
      </c>
      <c r="AO1205" s="62">
        <v>21.94000000000003</v>
      </c>
      <c r="AQ1205" s="64">
        <v>4.0805437666666657</v>
      </c>
      <c r="AR1205" s="56">
        <v>13.3799999999999</v>
      </c>
      <c r="AS1205" s="56">
        <v>14.779999999999839</v>
      </c>
      <c r="AT1205" s="62">
        <v>18.699999999999939</v>
      </c>
      <c r="AV1205" s="64">
        <v>3.7273292833333338</v>
      </c>
      <c r="AW1205" s="56">
        <v>12.95999999999999</v>
      </c>
      <c r="AX1205" s="56">
        <v>14.39999999999992</v>
      </c>
      <c r="AY1205" s="62">
        <v>18.99999999999995</v>
      </c>
      <c r="BA1205" s="64">
        <v>3.1814352333333331</v>
      </c>
      <c r="BB1205" s="56">
        <v>15.340000000000041</v>
      </c>
      <c r="BC1205" s="56">
        <v>17.700000000000049</v>
      </c>
      <c r="BD1205" s="62">
        <v>29.360000000000049</v>
      </c>
      <c r="BF1205" s="64">
        <v>2.9043961</v>
      </c>
      <c r="BG1205" s="56">
        <v>19.23999999999992</v>
      </c>
      <c r="BH1205" s="56">
        <v>25.760000000000009</v>
      </c>
      <c r="BI1205" s="62">
        <v>56.239999999999938</v>
      </c>
      <c r="BJ1205" s="70"/>
      <c r="BK1205" s="51"/>
    </row>
    <row r="1206" spans="1:63" x14ac:dyDescent="0.4">
      <c r="A1206" s="147" t="s">
        <v>1283</v>
      </c>
      <c r="G1206" s="147" t="s">
        <v>1283</v>
      </c>
      <c r="H1206" s="159">
        <v>69.948999999999998</v>
      </c>
      <c r="I1206" s="153">
        <v>70.34</v>
      </c>
      <c r="J1206" s="153">
        <v>70.33</v>
      </c>
      <c r="K1206" s="153">
        <v>70.38</v>
      </c>
      <c r="L1206" s="153">
        <v>70.290000000000006</v>
      </c>
      <c r="M1206" s="80">
        <f t="shared" si="36"/>
        <v>70.38</v>
      </c>
      <c r="N1206" s="80">
        <f t="shared" si="37"/>
        <v>70.290000000000006</v>
      </c>
      <c r="O1206" s="153">
        <v>21.11</v>
      </c>
      <c r="P1206" s="153">
        <v>21.03</v>
      </c>
      <c r="Q1206" s="153">
        <v>21.15</v>
      </c>
      <c r="R1206" s="153">
        <v>21.03</v>
      </c>
      <c r="S1206" s="4"/>
      <c r="U1206" s="147" t="s">
        <v>1283</v>
      </c>
      <c r="V1206" s="11"/>
      <c r="W1206" s="4"/>
      <c r="X1206" s="12"/>
      <c r="Y1206" s="14"/>
      <c r="Z1206" s="4"/>
      <c r="AA1206" s="13"/>
      <c r="AB1206" s="11"/>
      <c r="AC1206" s="4"/>
      <c r="AD1206" s="12"/>
      <c r="AE1206" s="13"/>
      <c r="AF1206" s="14">
        <v>5.0068000000000001</v>
      </c>
      <c r="AG1206" s="133"/>
      <c r="AI1206" s="96"/>
      <c r="AL1206" s="64">
        <v>4.1725136333333337</v>
      </c>
      <c r="AM1206" s="56">
        <v>13.73999999999995</v>
      </c>
      <c r="AN1206" s="56">
        <v>15.65999999999992</v>
      </c>
      <c r="AO1206" s="62">
        <v>21.659999999999972</v>
      </c>
      <c r="AQ1206" s="64">
        <v>4.0832381999999994</v>
      </c>
      <c r="AR1206" s="56">
        <v>13.52000000000011</v>
      </c>
      <c r="AS1206" s="56">
        <v>14.94</v>
      </c>
      <c r="AT1206" s="62">
        <v>18.880000000000049</v>
      </c>
      <c r="AV1206" s="64">
        <v>3.7292138499999989</v>
      </c>
      <c r="AW1206" s="56">
        <v>13.17999999999993</v>
      </c>
      <c r="AX1206" s="56">
        <v>14.619999999999941</v>
      </c>
      <c r="AY1206" s="62">
        <v>19.280000000000008</v>
      </c>
      <c r="BA1206" s="64">
        <v>3.1841492833333329</v>
      </c>
      <c r="BB1206" s="56">
        <v>16.02000000000006</v>
      </c>
      <c r="BC1206" s="56">
        <v>18.480000000000011</v>
      </c>
      <c r="BD1206" s="62">
        <v>30.45999999999998</v>
      </c>
      <c r="BF1206" s="64">
        <v>2.9196031499999999</v>
      </c>
      <c r="BG1206" s="56">
        <v>19.859999999999989</v>
      </c>
      <c r="BH1206" s="56">
        <v>26.440000000000019</v>
      </c>
      <c r="BI1206" s="62">
        <v>55.920000000000059</v>
      </c>
      <c r="BJ1206" s="70"/>
      <c r="BK1206" s="51"/>
    </row>
    <row r="1207" spans="1:63" x14ac:dyDescent="0.4">
      <c r="A1207" s="147" t="s">
        <v>1284</v>
      </c>
      <c r="G1207" s="147" t="s">
        <v>1284</v>
      </c>
      <c r="H1207" s="159">
        <v>69.912999999999997</v>
      </c>
      <c r="I1207" s="153">
        <v>70.27</v>
      </c>
      <c r="J1207" s="153">
        <v>70.33</v>
      </c>
      <c r="K1207" s="153">
        <v>70.3</v>
      </c>
      <c r="L1207" s="153">
        <v>70.28</v>
      </c>
      <c r="M1207" s="80">
        <f t="shared" si="36"/>
        <v>70.33</v>
      </c>
      <c r="N1207" s="80">
        <f t="shared" si="37"/>
        <v>70.27</v>
      </c>
      <c r="O1207" s="153">
        <v>21.12</v>
      </c>
      <c r="P1207" s="153">
        <v>21.08</v>
      </c>
      <c r="Q1207" s="153">
        <v>21.16</v>
      </c>
      <c r="R1207" s="153">
        <v>21.12</v>
      </c>
      <c r="S1207" s="4"/>
      <c r="U1207" s="147" t="s">
        <v>1284</v>
      </c>
      <c r="V1207" s="11"/>
      <c r="W1207" s="4"/>
      <c r="X1207" s="12"/>
      <c r="Y1207" s="14"/>
      <c r="Z1207" s="4"/>
      <c r="AA1207" s="13"/>
      <c r="AB1207" s="11"/>
      <c r="AC1207" s="4"/>
      <c r="AD1207" s="12"/>
      <c r="AE1207" s="13"/>
      <c r="AF1207" s="14">
        <v>4.9977999999999998</v>
      </c>
      <c r="AG1207" s="133"/>
      <c r="AI1207" s="96"/>
      <c r="AL1207" s="64">
        <v>4.1731182500000008</v>
      </c>
      <c r="AM1207" s="56">
        <v>13.439999999999941</v>
      </c>
      <c r="AN1207" s="56">
        <v>15.359999999999911</v>
      </c>
      <c r="AO1207" s="62">
        <v>21.35999999999996</v>
      </c>
      <c r="AQ1207" s="64">
        <v>4.0835821666666661</v>
      </c>
      <c r="AR1207" s="56">
        <v>13.439999999999941</v>
      </c>
      <c r="AS1207" s="56">
        <v>14.87999999999996</v>
      </c>
      <c r="AT1207" s="62">
        <v>18.819999999999929</v>
      </c>
      <c r="AV1207" s="64">
        <v>3.7309053166666661</v>
      </c>
      <c r="AW1207" s="56">
        <v>13.239999999999959</v>
      </c>
      <c r="AX1207" s="56">
        <v>14.699999999999941</v>
      </c>
      <c r="AY1207" s="62">
        <v>19.339999999999961</v>
      </c>
      <c r="BA1207" s="64">
        <v>3.1856618999999999</v>
      </c>
      <c r="BB1207" s="56">
        <v>16.080000000000009</v>
      </c>
      <c r="BC1207" s="56">
        <v>18.540000000000049</v>
      </c>
      <c r="BD1207" s="62">
        <v>30.420000000000069</v>
      </c>
      <c r="BF1207" s="64">
        <v>2.9137780166666669</v>
      </c>
      <c r="BG1207" s="56">
        <v>19.93999999999998</v>
      </c>
      <c r="BH1207" s="56">
        <v>26.660000000000039</v>
      </c>
      <c r="BI1207" s="62">
        <v>56.740000000000009</v>
      </c>
      <c r="BJ1207" s="70"/>
      <c r="BK1207" s="51"/>
    </row>
    <row r="1208" spans="1:63" x14ac:dyDescent="0.4">
      <c r="A1208" s="147" t="s">
        <v>1285</v>
      </c>
      <c r="G1208" s="147" t="s">
        <v>1285</v>
      </c>
      <c r="H1208" s="159">
        <v>69.944999999999993</v>
      </c>
      <c r="I1208" s="153">
        <v>70.36</v>
      </c>
      <c r="J1208" s="153">
        <v>70.28</v>
      </c>
      <c r="K1208" s="153">
        <v>70.349999999999994</v>
      </c>
      <c r="L1208" s="153">
        <v>70.31</v>
      </c>
      <c r="M1208" s="80">
        <f t="shared" si="36"/>
        <v>70.36</v>
      </c>
      <c r="N1208" s="80">
        <f t="shared" si="37"/>
        <v>70.28</v>
      </c>
      <c r="O1208" s="153">
        <v>21.17</v>
      </c>
      <c r="P1208" s="153">
        <v>21.09</v>
      </c>
      <c r="Q1208" s="153">
        <v>21.14</v>
      </c>
      <c r="R1208" s="153">
        <v>21.01</v>
      </c>
      <c r="S1208" s="4"/>
      <c r="U1208" s="147" t="s">
        <v>1285</v>
      </c>
      <c r="V1208" s="11"/>
      <c r="W1208" s="4"/>
      <c r="X1208" s="12"/>
      <c r="Y1208" s="14"/>
      <c r="Z1208" s="4"/>
      <c r="AA1208" s="13"/>
      <c r="AB1208" s="11"/>
      <c r="AC1208" s="4"/>
      <c r="AD1208" s="12"/>
      <c r="AE1208" s="13"/>
      <c r="AF1208" s="14">
        <v>5.0038</v>
      </c>
      <c r="AG1208" s="133"/>
      <c r="AI1208" s="96"/>
      <c r="AL1208" s="64">
        <v>4.1727928666666667</v>
      </c>
      <c r="AM1208" s="56">
        <v>13.72</v>
      </c>
      <c r="AN1208" s="56">
        <v>15.63999999999997</v>
      </c>
      <c r="AO1208" s="62">
        <v>21.59999999999993</v>
      </c>
      <c r="AQ1208" s="64">
        <v>4.0823450333333344</v>
      </c>
      <c r="AR1208" s="56">
        <v>13.400000000000031</v>
      </c>
      <c r="AS1208" s="56">
        <v>14.799999999999971</v>
      </c>
      <c r="AT1208" s="62">
        <v>18.75999999999998</v>
      </c>
      <c r="AV1208" s="64">
        <v>3.727935</v>
      </c>
      <c r="AW1208" s="56">
        <v>13.12000000000006</v>
      </c>
      <c r="AX1208" s="56">
        <v>14.56000000000008</v>
      </c>
      <c r="AY1208" s="62">
        <v>19.18000000000006</v>
      </c>
      <c r="BA1208" s="64">
        <v>3.178447433333333</v>
      </c>
      <c r="BB1208" s="56">
        <v>15.680000000000049</v>
      </c>
      <c r="BC1208" s="56">
        <v>18.120000000000051</v>
      </c>
      <c r="BD1208" s="62">
        <v>29.980000000000029</v>
      </c>
      <c r="BF1208" s="64">
        <v>2.909491183333333</v>
      </c>
      <c r="BG1208" s="56">
        <v>19.58000000000002</v>
      </c>
      <c r="BH1208" s="56">
        <v>26.320000000000029</v>
      </c>
      <c r="BI1208" s="62">
        <v>56.700000000000017</v>
      </c>
      <c r="BJ1208" s="70"/>
      <c r="BK1208" s="51"/>
    </row>
    <row r="1209" spans="1:63" x14ac:dyDescent="0.4">
      <c r="A1209" s="147" t="s">
        <v>1286</v>
      </c>
      <c r="G1209" s="147" t="s">
        <v>1286</v>
      </c>
      <c r="H1209" s="159">
        <v>69.653999999999996</v>
      </c>
      <c r="I1209" s="153">
        <v>70.290000000000006</v>
      </c>
      <c r="J1209" s="153">
        <v>70.319999999999993</v>
      </c>
      <c r="K1209" s="153">
        <v>70.37</v>
      </c>
      <c r="L1209" s="153">
        <v>70.319999999999993</v>
      </c>
      <c r="M1209" s="80">
        <f t="shared" si="36"/>
        <v>70.37</v>
      </c>
      <c r="N1209" s="80">
        <f t="shared" si="37"/>
        <v>70.290000000000006</v>
      </c>
      <c r="O1209" s="153">
        <v>21.17</v>
      </c>
      <c r="P1209" s="153">
        <v>21.12</v>
      </c>
      <c r="Q1209" s="153">
        <v>21.15</v>
      </c>
      <c r="R1209" s="153">
        <v>21.08</v>
      </c>
      <c r="S1209" s="4"/>
      <c r="U1209" s="147" t="s">
        <v>1286</v>
      </c>
      <c r="V1209" s="11"/>
      <c r="W1209" s="4"/>
      <c r="X1209" s="12"/>
      <c r="Y1209" s="14"/>
      <c r="Z1209" s="4"/>
      <c r="AA1209" s="13"/>
      <c r="AB1209" s="11"/>
      <c r="AC1209" s="4"/>
      <c r="AD1209" s="12"/>
      <c r="AE1209" s="13"/>
      <c r="AF1209" s="14">
        <v>4.9741999999999997</v>
      </c>
      <c r="AG1209" s="133"/>
      <c r="AI1209" s="96"/>
      <c r="AL1209" s="64">
        <v>4.1728259166666657</v>
      </c>
      <c r="AM1209" s="56">
        <v>13.3799999999999</v>
      </c>
      <c r="AN1209" s="56">
        <v>15.279999999999919</v>
      </c>
      <c r="AO1209" s="62">
        <v>21.260000000000009</v>
      </c>
      <c r="AQ1209" s="64">
        <v>4.0834883166666671</v>
      </c>
      <c r="AR1209" s="56">
        <v>13.24000000000005</v>
      </c>
      <c r="AS1209" s="56">
        <v>14.63999999999999</v>
      </c>
      <c r="AT1209" s="62">
        <v>18.559999999999999</v>
      </c>
      <c r="AV1209" s="64">
        <v>3.7303576500000011</v>
      </c>
      <c r="AW1209" s="56">
        <v>12.85999999999996</v>
      </c>
      <c r="AX1209" s="56">
        <v>14.28000000000003</v>
      </c>
      <c r="AY1209" s="62">
        <v>18.86000000000001</v>
      </c>
      <c r="BA1209" s="64">
        <v>3.1830340499999998</v>
      </c>
      <c r="BB1209" s="56">
        <v>15.81999999999999</v>
      </c>
      <c r="BC1209" s="56">
        <v>18.259999999999991</v>
      </c>
      <c r="BD1209" s="62">
        <v>30.159999999999961</v>
      </c>
      <c r="BF1209" s="64">
        <v>2.9144669333333328</v>
      </c>
      <c r="BG1209" s="56">
        <v>19.599999999999969</v>
      </c>
      <c r="BH1209" s="56">
        <v>26.139999999999919</v>
      </c>
      <c r="BI1209" s="62">
        <v>56.039999999999957</v>
      </c>
      <c r="BJ1209" s="70"/>
      <c r="BK1209" s="51"/>
    </row>
    <row r="1210" spans="1:63" x14ac:dyDescent="0.4">
      <c r="A1210" s="147" t="s">
        <v>1287</v>
      </c>
      <c r="G1210" s="147" t="s">
        <v>1287</v>
      </c>
      <c r="H1210" s="159">
        <v>69.981999999999999</v>
      </c>
      <c r="I1210" s="153">
        <v>70.37</v>
      </c>
      <c r="J1210" s="153">
        <v>70.290000000000006</v>
      </c>
      <c r="K1210" s="153">
        <v>70.37</v>
      </c>
      <c r="L1210" s="153">
        <v>70.3</v>
      </c>
      <c r="M1210" s="80">
        <f t="shared" si="36"/>
        <v>70.37</v>
      </c>
      <c r="N1210" s="80">
        <f t="shared" si="37"/>
        <v>70.290000000000006</v>
      </c>
      <c r="O1210" s="153">
        <v>21.16</v>
      </c>
      <c r="P1210" s="153">
        <v>21.14</v>
      </c>
      <c r="Q1210" s="153">
        <v>21.16</v>
      </c>
      <c r="R1210" s="153">
        <v>21.1</v>
      </c>
      <c r="S1210" s="4"/>
      <c r="U1210" s="147" t="s">
        <v>1287</v>
      </c>
      <c r="V1210" s="11"/>
      <c r="W1210" s="4"/>
      <c r="X1210" s="12"/>
      <c r="Y1210" s="14"/>
      <c r="Z1210" s="4"/>
      <c r="AA1210" s="13"/>
      <c r="AB1210" s="11"/>
      <c r="AC1210" s="4"/>
      <c r="AD1210" s="12"/>
      <c r="AE1210" s="13"/>
      <c r="AF1210" s="14">
        <v>5.0124000000000004</v>
      </c>
      <c r="AG1210" s="133"/>
      <c r="AI1210" s="96"/>
      <c r="AL1210" s="64">
        <v>4.1717047166666674</v>
      </c>
      <c r="AM1210" s="56">
        <v>14.94</v>
      </c>
      <c r="AN1210" s="56">
        <v>16.939999999999959</v>
      </c>
      <c r="AO1210" s="62">
        <v>23.059999999999899</v>
      </c>
      <c r="AQ1210" s="64">
        <v>4.0812663999999996</v>
      </c>
      <c r="AR1210" s="56">
        <v>14.299999999999891</v>
      </c>
      <c r="AS1210" s="56">
        <v>15.759999999999859</v>
      </c>
      <c r="AT1210" s="62">
        <v>19.879999999999939</v>
      </c>
      <c r="AV1210" s="64">
        <v>3.7252153666666672</v>
      </c>
      <c r="AW1210" s="56">
        <v>13.619999999999971</v>
      </c>
      <c r="AX1210" s="56">
        <v>15.09999999999998</v>
      </c>
      <c r="AY1210" s="62">
        <v>19.859999999999989</v>
      </c>
      <c r="BA1210" s="64">
        <v>3.1688374833333328</v>
      </c>
      <c r="BB1210" s="56">
        <v>15.95999999999993</v>
      </c>
      <c r="BC1210" s="56">
        <v>18.53999999999996</v>
      </c>
      <c r="BD1210" s="62">
        <v>31.019999999999911</v>
      </c>
      <c r="BF1210" s="64">
        <v>2.909841683333334</v>
      </c>
      <c r="BG1210" s="56">
        <v>19.639999999999969</v>
      </c>
      <c r="BH1210" s="56">
        <v>26.22</v>
      </c>
      <c r="BI1210" s="62">
        <v>56.899999999999991</v>
      </c>
      <c r="BJ1210" s="70"/>
      <c r="BK1210" s="51"/>
    </row>
    <row r="1211" spans="1:63" x14ac:dyDescent="0.4">
      <c r="A1211" s="147" t="s">
        <v>1288</v>
      </c>
      <c r="G1211" s="147" t="s">
        <v>1288</v>
      </c>
      <c r="H1211" s="159">
        <v>70.034000000000006</v>
      </c>
      <c r="I1211" s="153">
        <v>70.36</v>
      </c>
      <c r="J1211" s="153">
        <v>70.34</v>
      </c>
      <c r="K1211" s="153">
        <v>70.39</v>
      </c>
      <c r="L1211" s="153">
        <v>70.319999999999993</v>
      </c>
      <c r="M1211" s="80">
        <f t="shared" si="36"/>
        <v>70.39</v>
      </c>
      <c r="N1211" s="80">
        <f t="shared" si="37"/>
        <v>70.319999999999993</v>
      </c>
      <c r="O1211" s="153">
        <v>21.17</v>
      </c>
      <c r="P1211" s="153">
        <v>21.03</v>
      </c>
      <c r="Q1211" s="153">
        <v>21.14</v>
      </c>
      <c r="R1211" s="153">
        <v>21.11</v>
      </c>
      <c r="S1211" s="4"/>
      <c r="U1211" s="147" t="s">
        <v>1288</v>
      </c>
      <c r="V1211" s="11"/>
      <c r="W1211" s="4"/>
      <c r="X1211" s="12"/>
      <c r="Y1211" s="14"/>
      <c r="Z1211" s="4"/>
      <c r="AA1211" s="13"/>
      <c r="AB1211" s="11"/>
      <c r="AC1211" s="4"/>
      <c r="AD1211" s="12"/>
      <c r="AE1211" s="13"/>
      <c r="AF1211" s="14">
        <v>5.0092999999999996</v>
      </c>
      <c r="AG1211" s="133"/>
      <c r="AI1211" s="96"/>
      <c r="AL1211" s="64">
        <v>4.1726605000000001</v>
      </c>
      <c r="AM1211" s="56">
        <v>13.81999999999994</v>
      </c>
      <c r="AN1211" s="56">
        <v>15.760000000000041</v>
      </c>
      <c r="AO1211" s="62">
        <v>21.76000000000009</v>
      </c>
      <c r="AQ1211" s="64">
        <v>4.0812942166666666</v>
      </c>
      <c r="AR1211" s="56">
        <v>13.51999999999993</v>
      </c>
      <c r="AS1211" s="56">
        <v>14.959999999999949</v>
      </c>
      <c r="AT1211" s="62">
        <v>18.919999999999959</v>
      </c>
      <c r="AV1211" s="64">
        <v>3.7283562333333329</v>
      </c>
      <c r="AW1211" s="56">
        <v>13.22000000000001</v>
      </c>
      <c r="AX1211" s="56">
        <v>14.680000000000071</v>
      </c>
      <c r="AY1211" s="62">
        <v>19.32</v>
      </c>
      <c r="BA1211" s="64">
        <v>3.1835498666666671</v>
      </c>
      <c r="BB1211" s="56">
        <v>15.7</v>
      </c>
      <c r="BC1211" s="56">
        <v>18.120000000000051</v>
      </c>
      <c r="BD1211" s="62">
        <v>29.88</v>
      </c>
      <c r="BF1211" s="64">
        <v>2.911769566666667</v>
      </c>
      <c r="BG1211" s="56">
        <v>19.599999999999969</v>
      </c>
      <c r="BH1211" s="56">
        <v>26.140000000000011</v>
      </c>
      <c r="BI1211" s="62">
        <v>55.959999999999972</v>
      </c>
      <c r="BJ1211" s="70"/>
      <c r="BK1211" s="51"/>
    </row>
    <row r="1212" spans="1:63" x14ac:dyDescent="0.4">
      <c r="A1212" s="147" t="s">
        <v>1289</v>
      </c>
      <c r="G1212" s="147" t="s">
        <v>1289</v>
      </c>
      <c r="H1212" s="159">
        <v>69.956999999999994</v>
      </c>
      <c r="I1212" s="153">
        <v>70.28</v>
      </c>
      <c r="J1212" s="153">
        <v>70.27</v>
      </c>
      <c r="K1212" s="153">
        <v>70.38</v>
      </c>
      <c r="L1212" s="153">
        <v>70.34</v>
      </c>
      <c r="M1212" s="80">
        <f t="shared" si="36"/>
        <v>70.38</v>
      </c>
      <c r="N1212" s="80">
        <f t="shared" si="37"/>
        <v>70.27</v>
      </c>
      <c r="O1212" s="153">
        <v>21.16</v>
      </c>
      <c r="P1212" s="153">
        <v>21.13</v>
      </c>
      <c r="Q1212" s="153">
        <v>21.13</v>
      </c>
      <c r="R1212" s="153">
        <v>21.07</v>
      </c>
      <c r="S1212" s="4"/>
      <c r="U1212" s="147" t="s">
        <v>1289</v>
      </c>
      <c r="V1212" s="11"/>
      <c r="W1212" s="4"/>
      <c r="X1212" s="12"/>
      <c r="Y1212" s="14"/>
      <c r="Z1212" s="4"/>
      <c r="AA1212" s="13"/>
      <c r="AB1212" s="11"/>
      <c r="AC1212" s="4"/>
      <c r="AD1212" s="12"/>
      <c r="AE1212" s="13"/>
      <c r="AF1212" s="14">
        <v>5.0111999999999997</v>
      </c>
      <c r="AG1212" s="133"/>
      <c r="AI1212" s="96"/>
      <c r="AL1212" s="64">
        <v>4.173377883333333</v>
      </c>
      <c r="AM1212" s="56">
        <v>13.74000000000013</v>
      </c>
      <c r="AN1212" s="56">
        <v>15.6600000000001</v>
      </c>
      <c r="AO1212" s="62">
        <v>21.659999999999972</v>
      </c>
      <c r="AQ1212" s="64">
        <v>4.082002066666667</v>
      </c>
      <c r="AR1212" s="56">
        <v>13.34</v>
      </c>
      <c r="AS1212" s="56">
        <v>14.719999999999979</v>
      </c>
      <c r="AT1212" s="62">
        <v>18.63999999999999</v>
      </c>
      <c r="AV1212" s="64">
        <v>3.7291686500000001</v>
      </c>
      <c r="AW1212" s="56">
        <v>13.019999999999939</v>
      </c>
      <c r="AX1212" s="56">
        <v>14.45999999999996</v>
      </c>
      <c r="AY1212" s="62">
        <v>19.059999999999992</v>
      </c>
      <c r="BA1212" s="64">
        <v>3.1845184500000001</v>
      </c>
      <c r="BB1212" s="56">
        <v>15.62000000000001</v>
      </c>
      <c r="BC1212" s="56">
        <v>17.999999999999972</v>
      </c>
      <c r="BD1212" s="62">
        <v>29.72000000000001</v>
      </c>
      <c r="BF1212" s="64">
        <v>2.9145955166666671</v>
      </c>
      <c r="BG1212" s="56">
        <v>19.49999999999994</v>
      </c>
      <c r="BH1212" s="56">
        <v>26.039999999999971</v>
      </c>
      <c r="BI1212" s="62">
        <v>55.639999999999922</v>
      </c>
      <c r="BJ1212" s="70"/>
      <c r="BK1212" s="51"/>
    </row>
    <row r="1213" spans="1:63" x14ac:dyDescent="0.4">
      <c r="A1213" s="147" t="s">
        <v>1290</v>
      </c>
      <c r="G1213" s="147" t="s">
        <v>1290</v>
      </c>
      <c r="H1213" s="159">
        <v>70.096000000000004</v>
      </c>
      <c r="I1213" s="153">
        <v>70.37</v>
      </c>
      <c r="J1213" s="153">
        <v>70.3</v>
      </c>
      <c r="K1213" s="153">
        <v>70.31</v>
      </c>
      <c r="L1213" s="153">
        <v>70.27</v>
      </c>
      <c r="M1213" s="80">
        <f t="shared" si="36"/>
        <v>70.37</v>
      </c>
      <c r="N1213" s="80">
        <f t="shared" si="37"/>
        <v>70.27</v>
      </c>
      <c r="O1213" s="153">
        <v>21.22</v>
      </c>
      <c r="P1213" s="153">
        <v>21.11</v>
      </c>
      <c r="Q1213" s="153">
        <v>21.11</v>
      </c>
      <c r="R1213" s="153">
        <v>21.04</v>
      </c>
      <c r="S1213" s="4"/>
      <c r="U1213" s="147" t="s">
        <v>1290</v>
      </c>
      <c r="V1213" s="11"/>
      <c r="W1213" s="4"/>
      <c r="X1213" s="12"/>
      <c r="Y1213" s="14"/>
      <c r="Z1213" s="4"/>
      <c r="AA1213" s="13"/>
      <c r="AB1213" s="11"/>
      <c r="AC1213" s="4"/>
      <c r="AD1213" s="12"/>
      <c r="AE1213" s="13"/>
      <c r="AF1213" s="14">
        <v>5.0025000000000004</v>
      </c>
      <c r="AG1213" s="133"/>
      <c r="AI1213" s="96"/>
      <c r="AL1213" s="64">
        <v>4.1732157166666664</v>
      </c>
      <c r="AM1213" s="56">
        <v>13.8399999999999</v>
      </c>
      <c r="AN1213" s="56">
        <v>15.799999999999949</v>
      </c>
      <c r="AO1213" s="62">
        <v>21.8399999999999</v>
      </c>
      <c r="AQ1213" s="64">
        <v>4.0825985833333336</v>
      </c>
      <c r="AR1213" s="56">
        <v>13.52000000000011</v>
      </c>
      <c r="AS1213" s="56">
        <v>14.94</v>
      </c>
      <c r="AT1213" s="62">
        <v>18.880000000000049</v>
      </c>
      <c r="AV1213" s="64">
        <v>3.7298778000000001</v>
      </c>
      <c r="AW1213" s="56">
        <v>13.27999999999996</v>
      </c>
      <c r="AX1213" s="56">
        <v>14.74000000000002</v>
      </c>
      <c r="AY1213" s="62">
        <v>19.379999999999949</v>
      </c>
      <c r="BA1213" s="64">
        <v>3.1845113499999989</v>
      </c>
      <c r="BB1213" s="56">
        <v>15.939999999999969</v>
      </c>
      <c r="BC1213" s="56">
        <v>18.339999999999979</v>
      </c>
      <c r="BD1213" s="62">
        <v>30.119999999999969</v>
      </c>
      <c r="BF1213" s="64">
        <v>2.9104735666666661</v>
      </c>
      <c r="BG1213" s="56">
        <v>19.78</v>
      </c>
      <c r="BH1213" s="56">
        <v>26.459999999999969</v>
      </c>
      <c r="BI1213" s="62">
        <v>56.659999999999933</v>
      </c>
      <c r="BJ1213" s="70"/>
      <c r="BK1213" s="51"/>
    </row>
    <row r="1214" spans="1:63" x14ac:dyDescent="0.4">
      <c r="A1214" s="147" t="s">
        <v>1291</v>
      </c>
      <c r="G1214" s="147" t="s">
        <v>1291</v>
      </c>
      <c r="H1214" s="159">
        <v>69.853999999999999</v>
      </c>
      <c r="I1214" s="153">
        <v>70.39</v>
      </c>
      <c r="J1214" s="153">
        <v>70.36</v>
      </c>
      <c r="K1214" s="153">
        <v>70.39</v>
      </c>
      <c r="L1214" s="153">
        <v>70.3</v>
      </c>
      <c r="M1214" s="80">
        <f t="shared" si="36"/>
        <v>70.39</v>
      </c>
      <c r="N1214" s="80">
        <f t="shared" si="37"/>
        <v>70.3</v>
      </c>
      <c r="O1214" s="153">
        <v>21.18</v>
      </c>
      <c r="P1214" s="153">
        <v>21.06</v>
      </c>
      <c r="Q1214" s="153">
        <v>21.15</v>
      </c>
      <c r="R1214" s="153">
        <v>21.01</v>
      </c>
      <c r="S1214" s="4"/>
      <c r="U1214" s="147" t="s">
        <v>1291</v>
      </c>
      <c r="V1214" s="11"/>
      <c r="W1214" s="4"/>
      <c r="X1214" s="12"/>
      <c r="Y1214" s="14"/>
      <c r="Z1214" s="4"/>
      <c r="AA1214" s="13"/>
      <c r="AB1214" s="11"/>
      <c r="AC1214" s="4"/>
      <c r="AD1214" s="12"/>
      <c r="AE1214" s="13"/>
      <c r="AF1214" s="14">
        <v>4.9965999999999999</v>
      </c>
      <c r="AG1214" s="133"/>
      <c r="AI1214" s="96"/>
      <c r="AL1214" s="64">
        <v>4.1729116833333331</v>
      </c>
      <c r="AM1214" s="56">
        <v>13.459999999999891</v>
      </c>
      <c r="AN1214" s="56">
        <v>15.359999999999911</v>
      </c>
      <c r="AO1214" s="62">
        <v>21.299999999999919</v>
      </c>
      <c r="AQ1214" s="64">
        <v>4.0820972499999986</v>
      </c>
      <c r="AR1214" s="56">
        <v>12.999999999999901</v>
      </c>
      <c r="AS1214" s="56">
        <v>14.37999999999988</v>
      </c>
      <c r="AT1214" s="62">
        <v>18.239999999999949</v>
      </c>
      <c r="AV1214" s="64">
        <v>3.7285017666666662</v>
      </c>
      <c r="AW1214" s="56">
        <v>12.56000000000004</v>
      </c>
      <c r="AX1214" s="56">
        <v>13.960000000000059</v>
      </c>
      <c r="AY1214" s="62">
        <v>18.460000000000051</v>
      </c>
      <c r="BA1214" s="64">
        <v>3.1824489000000011</v>
      </c>
      <c r="BB1214" s="56">
        <v>14.94</v>
      </c>
      <c r="BC1214" s="56">
        <v>17.32000000000005</v>
      </c>
      <c r="BD1214" s="62">
        <v>29.04</v>
      </c>
      <c r="BF1214" s="64">
        <v>2.916372533333333</v>
      </c>
      <c r="BG1214" s="56">
        <v>18.77999999999993</v>
      </c>
      <c r="BH1214" s="56">
        <v>25.439999999999952</v>
      </c>
      <c r="BI1214" s="62">
        <v>55.19999999999996</v>
      </c>
      <c r="BJ1214" s="70"/>
      <c r="BK1214" s="51"/>
    </row>
    <row r="1215" spans="1:63" x14ac:dyDescent="0.4">
      <c r="A1215" s="147" t="s">
        <v>1292</v>
      </c>
      <c r="G1215" s="147" t="s">
        <v>1292</v>
      </c>
      <c r="H1215" s="159">
        <v>69.89</v>
      </c>
      <c r="I1215" s="153">
        <v>70.349999999999994</v>
      </c>
      <c r="J1215" s="153">
        <v>70.36</v>
      </c>
      <c r="K1215" s="153">
        <v>70.31</v>
      </c>
      <c r="L1215" s="153">
        <v>70.38</v>
      </c>
      <c r="M1215" s="80">
        <f t="shared" si="36"/>
        <v>70.38</v>
      </c>
      <c r="N1215" s="80">
        <f t="shared" si="37"/>
        <v>70.31</v>
      </c>
      <c r="O1215" s="153">
        <v>21.15</v>
      </c>
      <c r="P1215" s="153">
        <v>21.15</v>
      </c>
      <c r="Q1215" s="153">
        <v>21.14</v>
      </c>
      <c r="R1215" s="153">
        <v>21.07</v>
      </c>
      <c r="S1215" s="4"/>
      <c r="U1215" s="147" t="s">
        <v>1292</v>
      </c>
      <c r="V1215" s="11"/>
      <c r="W1215" s="4"/>
      <c r="X1215" s="12"/>
      <c r="Y1215" s="14"/>
      <c r="Z1215" s="4"/>
      <c r="AA1215" s="13"/>
      <c r="AB1215" s="11"/>
      <c r="AC1215" s="4"/>
      <c r="AD1215" s="12"/>
      <c r="AE1215" s="13"/>
      <c r="AF1215" s="14">
        <v>5.0006000000000004</v>
      </c>
      <c r="AG1215" s="133"/>
      <c r="AI1215" s="96"/>
      <c r="AL1215" s="64">
        <v>4.1721108999999998</v>
      </c>
      <c r="AM1215" s="56">
        <v>14.400000000000009</v>
      </c>
      <c r="AN1215" s="56">
        <v>16.359999999999889</v>
      </c>
      <c r="AO1215" s="62">
        <v>22.45999999999988</v>
      </c>
      <c r="AQ1215" s="64">
        <v>4.0819029499999999</v>
      </c>
      <c r="AR1215" s="56">
        <v>13.879999999999979</v>
      </c>
      <c r="AS1215" s="56">
        <v>15.32</v>
      </c>
      <c r="AT1215" s="62">
        <v>19.36</v>
      </c>
      <c r="AV1215" s="64">
        <v>3.7275141000000001</v>
      </c>
      <c r="AW1215" s="56">
        <v>13.49999999999998</v>
      </c>
      <c r="AX1215" s="56">
        <v>14.99999999999995</v>
      </c>
      <c r="AY1215" s="62">
        <v>19.739999999999998</v>
      </c>
      <c r="BA1215" s="64">
        <v>3.1812996833333331</v>
      </c>
      <c r="BB1215" s="56">
        <v>16.17999999999995</v>
      </c>
      <c r="BC1215" s="56">
        <v>18.660000000000029</v>
      </c>
      <c r="BD1215" s="62">
        <v>30.78000000000003</v>
      </c>
      <c r="BF1215" s="64">
        <v>2.927275283333334</v>
      </c>
      <c r="BG1215" s="56">
        <v>19.899999999999981</v>
      </c>
      <c r="BH1215" s="56">
        <v>26.360000000000031</v>
      </c>
      <c r="BI1215" s="62">
        <v>54.939999999999948</v>
      </c>
      <c r="BJ1215" s="70"/>
      <c r="BK1215" s="51"/>
    </row>
    <row r="1216" spans="1:63" x14ac:dyDescent="0.4">
      <c r="A1216" s="147" t="s">
        <v>1293</v>
      </c>
      <c r="G1216" s="147" t="s">
        <v>1293</v>
      </c>
      <c r="H1216" s="159">
        <v>69.959000000000003</v>
      </c>
      <c r="I1216" s="153">
        <v>70.39</v>
      </c>
      <c r="J1216" s="153">
        <v>70.39</v>
      </c>
      <c r="K1216" s="153">
        <v>70.37</v>
      </c>
      <c r="L1216" s="153">
        <v>70.31</v>
      </c>
      <c r="M1216" s="80">
        <f t="shared" si="36"/>
        <v>70.39</v>
      </c>
      <c r="N1216" s="80">
        <f t="shared" si="37"/>
        <v>70.31</v>
      </c>
      <c r="O1216" s="153">
        <v>21.18</v>
      </c>
      <c r="P1216" s="153">
        <v>21.11</v>
      </c>
      <c r="Q1216" s="153">
        <v>21.12</v>
      </c>
      <c r="R1216" s="153">
        <v>21.07</v>
      </c>
      <c r="S1216" s="4"/>
      <c r="U1216" s="147" t="s">
        <v>1293</v>
      </c>
      <c r="V1216" s="11"/>
      <c r="W1216" s="4"/>
      <c r="X1216" s="12"/>
      <c r="Y1216" s="14"/>
      <c r="Z1216" s="4"/>
      <c r="AA1216" s="13"/>
      <c r="AB1216" s="11"/>
      <c r="AC1216" s="4"/>
      <c r="AD1216" s="12"/>
      <c r="AE1216" s="13"/>
      <c r="AF1216" s="14">
        <v>5.0076000000000001</v>
      </c>
      <c r="AG1216" s="133"/>
      <c r="AI1216" s="96"/>
      <c r="AL1216" s="64">
        <v>4.1727454833333333</v>
      </c>
      <c r="AM1216" s="56">
        <v>14.03999999999996</v>
      </c>
      <c r="AN1216" s="56">
        <v>15.95999999999993</v>
      </c>
      <c r="AO1216" s="62">
        <v>21.979999999999929</v>
      </c>
      <c r="AQ1216" s="64">
        <v>4.081190583333334</v>
      </c>
      <c r="AR1216" s="56">
        <v>13.46000000000007</v>
      </c>
      <c r="AS1216" s="56">
        <v>14.87999999999996</v>
      </c>
      <c r="AT1216" s="62">
        <v>18.86000000000001</v>
      </c>
      <c r="AV1216" s="64">
        <v>3.7267886333333342</v>
      </c>
      <c r="AW1216" s="56">
        <v>13.14000000000002</v>
      </c>
      <c r="AX1216" s="56">
        <v>14.580000000000039</v>
      </c>
      <c r="AY1216" s="62">
        <v>19.240000000000009</v>
      </c>
      <c r="BA1216" s="64">
        <v>3.179774833333334</v>
      </c>
      <c r="BB1216" s="56">
        <v>15.75999999999995</v>
      </c>
      <c r="BC1216" s="56">
        <v>18.19999999999995</v>
      </c>
      <c r="BD1216" s="62">
        <v>30.159999999999961</v>
      </c>
      <c r="BF1216" s="64">
        <v>2.915442683333334</v>
      </c>
      <c r="BG1216" s="56">
        <v>19.460000000000029</v>
      </c>
      <c r="BH1216" s="56">
        <v>26.020000000000021</v>
      </c>
      <c r="BI1216" s="62">
        <v>55.560000000000009</v>
      </c>
      <c r="BJ1216" s="70"/>
      <c r="BK1216" s="51"/>
    </row>
    <row r="1217" spans="1:63" x14ac:dyDescent="0.4">
      <c r="A1217" s="147" t="s">
        <v>1294</v>
      </c>
      <c r="G1217" s="147" t="s">
        <v>1294</v>
      </c>
      <c r="H1217" s="159">
        <v>69.989999999999995</v>
      </c>
      <c r="I1217" s="153">
        <v>70.31</v>
      </c>
      <c r="J1217" s="153">
        <v>70.400000000000006</v>
      </c>
      <c r="K1217" s="153">
        <v>70.27</v>
      </c>
      <c r="L1217" s="153">
        <v>70.36</v>
      </c>
      <c r="M1217" s="80">
        <f t="shared" si="36"/>
        <v>70.400000000000006</v>
      </c>
      <c r="N1217" s="80">
        <f t="shared" si="37"/>
        <v>70.27</v>
      </c>
      <c r="O1217" s="153">
        <v>21.18</v>
      </c>
      <c r="P1217" s="153">
        <v>21.08</v>
      </c>
      <c r="Q1217" s="153">
        <v>21.16</v>
      </c>
      <c r="R1217" s="153">
        <v>21.11</v>
      </c>
      <c r="S1217" s="4"/>
      <c r="U1217" s="147" t="s">
        <v>1294</v>
      </c>
      <c r="V1217" s="11"/>
      <c r="W1217" s="4"/>
      <c r="X1217" s="12"/>
      <c r="Y1217" s="14"/>
      <c r="Z1217" s="4"/>
      <c r="AA1217" s="13"/>
      <c r="AB1217" s="11"/>
      <c r="AC1217" s="4"/>
      <c r="AD1217" s="12"/>
      <c r="AE1217" s="13"/>
      <c r="AF1217" s="14">
        <v>5.0033000000000003</v>
      </c>
      <c r="AG1217" s="133"/>
      <c r="AI1217" s="96"/>
      <c r="AL1217" s="64">
        <v>4.1734637666666661</v>
      </c>
      <c r="AM1217" s="56">
        <v>13.899999999999929</v>
      </c>
      <c r="AN1217" s="56">
        <v>15.84000000000003</v>
      </c>
      <c r="AO1217" s="62">
        <v>21.8399999999999</v>
      </c>
      <c r="AQ1217" s="64">
        <v>4.0836283333333334</v>
      </c>
      <c r="AR1217" s="56">
        <v>13.620000000000051</v>
      </c>
      <c r="AS1217" s="56">
        <v>15.04000000000012</v>
      </c>
      <c r="AT1217" s="62">
        <v>19.000000000000039</v>
      </c>
      <c r="AV1217" s="64">
        <v>3.730536166666667</v>
      </c>
      <c r="AW1217" s="56">
        <v>13.27999999999996</v>
      </c>
      <c r="AX1217" s="56">
        <v>14.719999999999979</v>
      </c>
      <c r="AY1217" s="62">
        <v>19.36</v>
      </c>
      <c r="BA1217" s="64">
        <v>3.1833633333333329</v>
      </c>
      <c r="BB1217" s="56">
        <v>16.100000000000051</v>
      </c>
      <c r="BC1217" s="56">
        <v>18.52</v>
      </c>
      <c r="BD1217" s="62">
        <v>30.420000000000069</v>
      </c>
      <c r="BF1217" s="64">
        <v>2.91271565</v>
      </c>
      <c r="BG1217" s="56">
        <v>19.81999999999999</v>
      </c>
      <c r="BH1217" s="56">
        <v>26.53999999999996</v>
      </c>
      <c r="BI1217" s="62">
        <v>56.639999999999979</v>
      </c>
      <c r="BJ1217" s="70"/>
      <c r="BK1217" s="51"/>
    </row>
    <row r="1218" spans="1:63" x14ac:dyDescent="0.4">
      <c r="A1218" s="147" t="s">
        <v>1295</v>
      </c>
      <c r="G1218" s="147" t="s">
        <v>1295</v>
      </c>
      <c r="H1218" s="159">
        <v>70.03</v>
      </c>
      <c r="I1218" s="153">
        <v>70.36</v>
      </c>
      <c r="J1218" s="153">
        <v>70.349999999999994</v>
      </c>
      <c r="K1218" s="153">
        <v>70.400000000000006</v>
      </c>
      <c r="L1218" s="153">
        <v>70.31</v>
      </c>
      <c r="M1218" s="80">
        <f t="shared" si="36"/>
        <v>70.400000000000006</v>
      </c>
      <c r="N1218" s="80">
        <f t="shared" si="37"/>
        <v>70.31</v>
      </c>
      <c r="O1218" s="153">
        <v>21.22</v>
      </c>
      <c r="P1218" s="153">
        <v>21.14</v>
      </c>
      <c r="Q1218" s="153">
        <v>21.16</v>
      </c>
      <c r="R1218" s="153">
        <v>21.1</v>
      </c>
      <c r="S1218" s="4"/>
      <c r="U1218" s="147" t="s">
        <v>1295</v>
      </c>
      <c r="V1218" s="11"/>
      <c r="W1218" s="4"/>
      <c r="X1218" s="12"/>
      <c r="Y1218" s="14"/>
      <c r="Z1218" s="4"/>
      <c r="AA1218" s="13"/>
      <c r="AB1218" s="11"/>
      <c r="AC1218" s="4"/>
      <c r="AD1218" s="12"/>
      <c r="AE1218" s="13"/>
      <c r="AF1218" s="14">
        <v>5.0133999999999999</v>
      </c>
      <c r="AG1218" s="133"/>
      <c r="AI1218" s="96"/>
      <c r="AL1218" s="64">
        <v>4.1731405666666674</v>
      </c>
      <c r="AM1218" s="56">
        <v>13.759999999999909</v>
      </c>
      <c r="AN1218" s="56">
        <v>15.65999999999992</v>
      </c>
      <c r="AO1218" s="62">
        <v>21.61999999999988</v>
      </c>
      <c r="AQ1218" s="64">
        <v>4.0825432833333322</v>
      </c>
      <c r="AR1218" s="56">
        <v>13.34</v>
      </c>
      <c r="AS1218" s="56">
        <v>14.700000000000021</v>
      </c>
      <c r="AT1218" s="62">
        <v>18.640000000000079</v>
      </c>
      <c r="AV1218" s="64">
        <v>3.7284331333333331</v>
      </c>
      <c r="AW1218" s="56">
        <v>12.93999999999995</v>
      </c>
      <c r="AX1218" s="56">
        <v>14.360000000000021</v>
      </c>
      <c r="AY1218" s="62">
        <v>18.919999999999959</v>
      </c>
      <c r="BA1218" s="64">
        <v>3.1789820999999998</v>
      </c>
      <c r="BB1218" s="56">
        <v>15.679999999999961</v>
      </c>
      <c r="BC1218" s="56">
        <v>18.09999999999992</v>
      </c>
      <c r="BD1218" s="62">
        <v>29.95999999999999</v>
      </c>
      <c r="BF1218" s="64">
        <v>2.9077594833333329</v>
      </c>
      <c r="BG1218" s="56">
        <v>19.54000000000002</v>
      </c>
      <c r="BH1218" s="56">
        <v>26.420000000000069</v>
      </c>
      <c r="BI1218" s="62">
        <v>57.180000000000049</v>
      </c>
      <c r="BJ1218" s="70"/>
      <c r="BK1218" s="51"/>
    </row>
    <row r="1219" spans="1:63" x14ac:dyDescent="0.4">
      <c r="A1219" s="147" t="s">
        <v>1296</v>
      </c>
      <c r="G1219" s="147" t="s">
        <v>1296</v>
      </c>
      <c r="H1219" s="159">
        <v>69.896000000000001</v>
      </c>
      <c r="I1219" s="153">
        <v>70.31</v>
      </c>
      <c r="J1219" s="153">
        <v>70.28</v>
      </c>
      <c r="K1219" s="153">
        <v>70.33</v>
      </c>
      <c r="L1219" s="153">
        <v>70.3</v>
      </c>
      <c r="M1219" s="80">
        <f t="shared" si="36"/>
        <v>70.33</v>
      </c>
      <c r="N1219" s="80">
        <f t="shared" si="37"/>
        <v>70.28</v>
      </c>
      <c r="O1219" s="153">
        <v>21.18</v>
      </c>
      <c r="P1219" s="153">
        <v>21.08</v>
      </c>
      <c r="Q1219" s="153">
        <v>21.15</v>
      </c>
      <c r="R1219" s="153">
        <v>21.01</v>
      </c>
      <c r="S1219" s="4"/>
      <c r="U1219" s="147" t="s">
        <v>1296</v>
      </c>
      <c r="V1219" s="11"/>
      <c r="W1219" s="4"/>
      <c r="X1219" s="12"/>
      <c r="Y1219" s="14"/>
      <c r="Z1219" s="4"/>
      <c r="AA1219" s="13"/>
      <c r="AB1219" s="11"/>
      <c r="AC1219" s="4"/>
      <c r="AD1219" s="12"/>
      <c r="AE1219" s="13"/>
      <c r="AF1219" s="14">
        <v>4.9988999999999999</v>
      </c>
      <c r="AG1219" s="133"/>
      <c r="AI1219" s="96"/>
      <c r="AL1219" s="64">
        <v>4.1733169666666674</v>
      </c>
      <c r="AM1219" s="56">
        <v>14.00000000000006</v>
      </c>
      <c r="AN1219" s="56">
        <v>15.939999999999969</v>
      </c>
      <c r="AO1219" s="62">
        <v>21.95999999999998</v>
      </c>
      <c r="AQ1219" s="64">
        <v>4.0833034166666673</v>
      </c>
      <c r="AR1219" s="56">
        <v>13.580000000000149</v>
      </c>
      <c r="AS1219" s="56">
        <v>14.98000000000008</v>
      </c>
      <c r="AT1219" s="62">
        <v>18.920000000000051</v>
      </c>
      <c r="AV1219" s="64">
        <v>3.7305519166666672</v>
      </c>
      <c r="AW1219" s="56">
        <v>13.239999999999959</v>
      </c>
      <c r="AX1219" s="56">
        <v>14.700000000000021</v>
      </c>
      <c r="AY1219" s="62">
        <v>19.36</v>
      </c>
      <c r="BA1219" s="64">
        <v>3.1854157500000002</v>
      </c>
      <c r="BB1219" s="56">
        <v>15.90000000000007</v>
      </c>
      <c r="BC1219" s="56">
        <v>18.320000000000029</v>
      </c>
      <c r="BD1219" s="62">
        <v>30.120000000000061</v>
      </c>
      <c r="BF1219" s="64">
        <v>2.9125951333333342</v>
      </c>
      <c r="BG1219" s="56">
        <v>19.759999999999959</v>
      </c>
      <c r="BH1219" s="56">
        <v>26.139999999999919</v>
      </c>
      <c r="BI1219" s="62">
        <v>55.839999999999982</v>
      </c>
      <c r="BJ1219" s="70"/>
      <c r="BK1219" s="51"/>
    </row>
    <row r="1220" spans="1:63" x14ac:dyDescent="0.4">
      <c r="A1220" s="147" t="s">
        <v>1297</v>
      </c>
      <c r="G1220" s="147" t="s">
        <v>1297</v>
      </c>
      <c r="H1220" s="159">
        <v>69.989000000000004</v>
      </c>
      <c r="I1220" s="153">
        <v>70.31</v>
      </c>
      <c r="J1220" s="153">
        <v>70.38</v>
      </c>
      <c r="K1220" s="153">
        <v>70.39</v>
      </c>
      <c r="L1220" s="153">
        <v>70.290000000000006</v>
      </c>
      <c r="M1220" s="80">
        <f t="shared" si="36"/>
        <v>70.39</v>
      </c>
      <c r="N1220" s="80">
        <f t="shared" si="37"/>
        <v>70.290000000000006</v>
      </c>
      <c r="O1220" s="153">
        <v>21.17</v>
      </c>
      <c r="P1220" s="153">
        <v>21.04</v>
      </c>
      <c r="Q1220" s="153">
        <v>21.12</v>
      </c>
      <c r="R1220" s="153">
        <v>21.04</v>
      </c>
      <c r="S1220" s="4"/>
      <c r="U1220" s="147" t="s">
        <v>1297</v>
      </c>
      <c r="V1220" s="11"/>
      <c r="W1220" s="4"/>
      <c r="X1220" s="12"/>
      <c r="Y1220" s="14"/>
      <c r="Z1220" s="4"/>
      <c r="AA1220" s="13"/>
      <c r="AB1220" s="11"/>
      <c r="AC1220" s="4"/>
      <c r="AD1220" s="12"/>
      <c r="AE1220" s="13"/>
      <c r="AF1220" s="14">
        <v>5.0107999999999997</v>
      </c>
      <c r="AG1220" s="133"/>
      <c r="AI1220" s="96"/>
      <c r="AL1220" s="64">
        <v>4.1737472999999996</v>
      </c>
      <c r="AM1220" s="56">
        <v>13.24000000000005</v>
      </c>
      <c r="AN1220" s="56">
        <v>15.17999999999997</v>
      </c>
      <c r="AO1220" s="62">
        <v>21.10000000000003</v>
      </c>
      <c r="AQ1220" s="64">
        <v>4.0819397833333326</v>
      </c>
      <c r="AR1220" s="56">
        <v>12.860000000000049</v>
      </c>
      <c r="AS1220" s="56">
        <v>14.24000000000003</v>
      </c>
      <c r="AT1220" s="62">
        <v>18.02000000000001</v>
      </c>
      <c r="AV1220" s="64">
        <v>3.728148183333333</v>
      </c>
      <c r="AW1220" s="56">
        <v>12.440000000000049</v>
      </c>
      <c r="AX1220" s="56">
        <v>13.86000000000003</v>
      </c>
      <c r="AY1220" s="62">
        <v>18.360000000000021</v>
      </c>
      <c r="BA1220" s="64">
        <v>3.1796579166666672</v>
      </c>
      <c r="BB1220" s="56">
        <v>14.75999999999997</v>
      </c>
      <c r="BC1220" s="56">
        <v>17.11999999999998</v>
      </c>
      <c r="BD1220" s="62">
        <v>28.819999999999979</v>
      </c>
      <c r="BF1220" s="64">
        <v>2.8935142333333328</v>
      </c>
      <c r="BG1220" s="56">
        <v>18.63999999999999</v>
      </c>
      <c r="BH1220" s="56">
        <v>25.260000000000019</v>
      </c>
      <c r="BI1220" s="62">
        <v>57.680000000000042</v>
      </c>
      <c r="BJ1220" s="70"/>
      <c r="BK1220" s="51"/>
    </row>
    <row r="1221" spans="1:63" x14ac:dyDescent="0.4">
      <c r="A1221" s="147" t="s">
        <v>1298</v>
      </c>
      <c r="G1221" s="147" t="s">
        <v>1298</v>
      </c>
      <c r="H1221" s="159">
        <v>69.978999999999999</v>
      </c>
      <c r="I1221" s="153">
        <v>70.319999999999993</v>
      </c>
      <c r="J1221" s="153">
        <v>70.39</v>
      </c>
      <c r="K1221" s="153">
        <v>70.28</v>
      </c>
      <c r="L1221" s="153">
        <v>70.28</v>
      </c>
      <c r="M1221" s="80">
        <f t="shared" si="36"/>
        <v>70.39</v>
      </c>
      <c r="N1221" s="80">
        <f t="shared" si="37"/>
        <v>70.28</v>
      </c>
      <c r="O1221" s="153">
        <v>21.13</v>
      </c>
      <c r="P1221" s="153">
        <v>21.12</v>
      </c>
      <c r="Q1221" s="153">
        <v>21.14</v>
      </c>
      <c r="R1221" s="153">
        <v>21.11</v>
      </c>
      <c r="S1221" s="4"/>
      <c r="U1221" s="147" t="s">
        <v>1298</v>
      </c>
      <c r="V1221" s="11"/>
      <c r="W1221" s="4"/>
      <c r="X1221" s="12"/>
      <c r="Y1221" s="14"/>
      <c r="Z1221" s="4"/>
      <c r="AA1221" s="13"/>
      <c r="AB1221" s="11"/>
      <c r="AC1221" s="4"/>
      <c r="AD1221" s="12"/>
      <c r="AE1221" s="13"/>
      <c r="AF1221" s="14">
        <v>5.0057999999999998</v>
      </c>
      <c r="AG1221" s="133"/>
      <c r="AI1221" s="96"/>
      <c r="AL1221" s="64">
        <v>4.1740709999999996</v>
      </c>
      <c r="AM1221" s="56">
        <v>13.400000000000031</v>
      </c>
      <c r="AN1221" s="56">
        <v>15.32</v>
      </c>
      <c r="AO1221" s="62">
        <v>21.199999999999971</v>
      </c>
      <c r="AQ1221" s="64">
        <v>4.0816039333333336</v>
      </c>
      <c r="AR1221" s="56">
        <v>13.02000000000003</v>
      </c>
      <c r="AS1221" s="56">
        <v>14.43999999999992</v>
      </c>
      <c r="AT1221" s="62">
        <v>18.219999999999992</v>
      </c>
      <c r="AV1221" s="64">
        <v>3.7289038666666681</v>
      </c>
      <c r="AW1221" s="56">
        <v>12.56000000000004</v>
      </c>
      <c r="AX1221" s="56">
        <v>13.960000000000059</v>
      </c>
      <c r="AY1221" s="62">
        <v>18.440000000000008</v>
      </c>
      <c r="BA1221" s="64">
        <v>3.183477649999999</v>
      </c>
      <c r="BB1221" s="56">
        <v>14.799999999999971</v>
      </c>
      <c r="BC1221" s="56">
        <v>17.140000000000018</v>
      </c>
      <c r="BD1221" s="62">
        <v>28.599999999999959</v>
      </c>
      <c r="BF1221" s="64">
        <v>2.89875755</v>
      </c>
      <c r="BG1221" s="56">
        <v>18.75999999999998</v>
      </c>
      <c r="BH1221" s="56">
        <v>25.199999999999982</v>
      </c>
      <c r="BI1221" s="62">
        <v>56.139999999999993</v>
      </c>
      <c r="BJ1221" s="70"/>
      <c r="BK1221" s="51"/>
    </row>
    <row r="1222" spans="1:63" x14ac:dyDescent="0.4">
      <c r="A1222" s="147" t="s">
        <v>1299</v>
      </c>
      <c r="G1222" s="147" t="s">
        <v>1299</v>
      </c>
      <c r="H1222" s="159">
        <v>69.994</v>
      </c>
      <c r="I1222" s="153">
        <v>70.290000000000006</v>
      </c>
      <c r="J1222" s="153">
        <v>70.349999999999994</v>
      </c>
      <c r="K1222" s="153">
        <v>70.290000000000006</v>
      </c>
      <c r="L1222" s="153">
        <v>70.400000000000006</v>
      </c>
      <c r="M1222" s="80">
        <f t="shared" ref="M1222:M1285" si="38">MAX(I1222:L1222)</f>
        <v>70.400000000000006</v>
      </c>
      <c r="N1222" s="80">
        <f t="shared" ref="N1222:N1285" si="39">MIN(I1222:L1222)</f>
        <v>70.290000000000006</v>
      </c>
      <c r="O1222" s="153">
        <v>21.2</v>
      </c>
      <c r="P1222" s="153">
        <v>21.12</v>
      </c>
      <c r="Q1222" s="153">
        <v>21.15</v>
      </c>
      <c r="R1222" s="153">
        <v>21.1</v>
      </c>
      <c r="S1222" s="4"/>
      <c r="U1222" s="147" t="s">
        <v>1299</v>
      </c>
      <c r="V1222" s="11"/>
      <c r="W1222" s="4"/>
      <c r="X1222" s="12"/>
      <c r="Y1222" s="14"/>
      <c r="Z1222" s="4"/>
      <c r="AA1222" s="13"/>
      <c r="AB1222" s="11"/>
      <c r="AC1222" s="4"/>
      <c r="AD1222" s="12"/>
      <c r="AE1222" s="13"/>
      <c r="AF1222" s="14">
        <v>5.0113000000000003</v>
      </c>
      <c r="AG1222" s="133"/>
      <c r="AI1222" s="96"/>
      <c r="AL1222" s="64">
        <v>4.1743210499999996</v>
      </c>
      <c r="AM1222" s="56">
        <v>13.73999999999995</v>
      </c>
      <c r="AN1222" s="56">
        <v>15.67999999999987</v>
      </c>
      <c r="AO1222" s="62">
        <v>21.59999999999993</v>
      </c>
      <c r="AQ1222" s="64">
        <v>4.0817712000000004</v>
      </c>
      <c r="AR1222" s="56">
        <v>13.160000000000061</v>
      </c>
      <c r="AS1222" s="56">
        <v>14.56</v>
      </c>
      <c r="AT1222" s="62">
        <v>18.400000000000109</v>
      </c>
      <c r="AV1222" s="64">
        <v>3.728669883333334</v>
      </c>
      <c r="AW1222" s="56">
        <v>12.88</v>
      </c>
      <c r="AX1222" s="56">
        <v>14.33999999999997</v>
      </c>
      <c r="AY1222" s="62">
        <v>18.900000000000009</v>
      </c>
      <c r="BA1222" s="64">
        <v>3.1821872166666672</v>
      </c>
      <c r="BB1222" s="56">
        <v>15.599999999999969</v>
      </c>
      <c r="BC1222" s="56">
        <v>17.980000000000022</v>
      </c>
      <c r="BD1222" s="62">
        <v>29.699999999999971</v>
      </c>
      <c r="BF1222" s="64">
        <v>2.9008931166666669</v>
      </c>
      <c r="BG1222" s="56">
        <v>19.640000000000061</v>
      </c>
      <c r="BH1222" s="56">
        <v>26.16000000000005</v>
      </c>
      <c r="BI1222" s="62">
        <v>57.060000000000073</v>
      </c>
      <c r="BJ1222" s="70"/>
      <c r="BK1222" s="51"/>
    </row>
    <row r="1223" spans="1:63" x14ac:dyDescent="0.4">
      <c r="A1223" s="147" t="s">
        <v>1300</v>
      </c>
      <c r="G1223" s="147" t="s">
        <v>1300</v>
      </c>
      <c r="H1223" s="159">
        <v>70.046000000000006</v>
      </c>
      <c r="I1223" s="153">
        <v>70.33</v>
      </c>
      <c r="J1223" s="153">
        <v>70.34</v>
      </c>
      <c r="K1223" s="153">
        <v>70.3</v>
      </c>
      <c r="L1223" s="153">
        <v>70.33</v>
      </c>
      <c r="M1223" s="80">
        <f t="shared" si="38"/>
        <v>70.34</v>
      </c>
      <c r="N1223" s="80">
        <f t="shared" si="39"/>
        <v>70.3</v>
      </c>
      <c r="O1223" s="153">
        <v>21.13</v>
      </c>
      <c r="P1223" s="153">
        <v>21.09</v>
      </c>
      <c r="Q1223" s="153">
        <v>21.16</v>
      </c>
      <c r="R1223" s="153">
        <v>21.1</v>
      </c>
      <c r="S1223" s="4"/>
      <c r="U1223" s="147" t="s">
        <v>1300</v>
      </c>
      <c r="V1223" s="11"/>
      <c r="W1223" s="4"/>
      <c r="X1223" s="12"/>
      <c r="Y1223" s="14"/>
      <c r="Z1223" s="4"/>
      <c r="AA1223" s="13"/>
      <c r="AB1223" s="11"/>
      <c r="AC1223" s="4"/>
      <c r="AD1223" s="12"/>
      <c r="AE1223" s="13"/>
      <c r="AF1223" s="14">
        <v>4.9976000000000003</v>
      </c>
      <c r="AG1223" s="133"/>
      <c r="AI1223" s="96"/>
      <c r="AL1223" s="64">
        <v>4.1744388666666667</v>
      </c>
      <c r="AM1223" s="56">
        <v>13.54000000000006</v>
      </c>
      <c r="AN1223" s="56">
        <v>15.440000000000079</v>
      </c>
      <c r="AO1223" s="62">
        <v>21.34</v>
      </c>
      <c r="AQ1223" s="64">
        <v>4.0822556833333339</v>
      </c>
      <c r="AR1223" s="56">
        <v>13.100000000000019</v>
      </c>
      <c r="AS1223" s="56">
        <v>14.48</v>
      </c>
      <c r="AT1223" s="62">
        <v>18.28000000000003</v>
      </c>
      <c r="AV1223" s="64">
        <v>3.7298738999999999</v>
      </c>
      <c r="AW1223" s="56">
        <v>12.760000000000019</v>
      </c>
      <c r="AX1223" s="56">
        <v>14.200000000000029</v>
      </c>
      <c r="AY1223" s="62">
        <v>18.700000000000031</v>
      </c>
      <c r="BA1223" s="64">
        <v>3.1851637666666668</v>
      </c>
      <c r="BB1223" s="56">
        <v>15.21999999999997</v>
      </c>
      <c r="BC1223" s="56">
        <v>17.57999999999997</v>
      </c>
      <c r="BD1223" s="62">
        <v>29.11999999999999</v>
      </c>
      <c r="BF1223" s="64">
        <v>2.9014413999999999</v>
      </c>
      <c r="BG1223" s="56">
        <v>19.160000000000021</v>
      </c>
      <c r="BH1223" s="56">
        <v>25.72000000000001</v>
      </c>
      <c r="BI1223" s="62">
        <v>56.459999999999951</v>
      </c>
      <c r="BJ1223" s="70"/>
      <c r="BK1223" s="51"/>
    </row>
    <row r="1224" spans="1:63" x14ac:dyDescent="0.4">
      <c r="A1224" s="147" t="s">
        <v>1301</v>
      </c>
      <c r="G1224" s="147" t="s">
        <v>1301</v>
      </c>
      <c r="H1224" s="159">
        <v>69.924000000000007</v>
      </c>
      <c r="I1224" s="153">
        <v>70.36</v>
      </c>
      <c r="J1224" s="153">
        <v>70.37</v>
      </c>
      <c r="K1224" s="153">
        <v>70.37</v>
      </c>
      <c r="L1224" s="153">
        <v>70.349999999999994</v>
      </c>
      <c r="M1224" s="80">
        <f t="shared" si="38"/>
        <v>70.37</v>
      </c>
      <c r="N1224" s="80">
        <f t="shared" si="39"/>
        <v>70.349999999999994</v>
      </c>
      <c r="O1224" s="153">
        <v>21.12</v>
      </c>
      <c r="P1224" s="153">
        <v>21.04</v>
      </c>
      <c r="Q1224" s="153">
        <v>21.15</v>
      </c>
      <c r="R1224" s="153">
        <v>21.09</v>
      </c>
      <c r="S1224" s="4"/>
      <c r="U1224" s="147" t="s">
        <v>1301</v>
      </c>
      <c r="V1224" s="11"/>
      <c r="W1224" s="4"/>
      <c r="X1224" s="12"/>
      <c r="Y1224" s="14"/>
      <c r="Z1224" s="4"/>
      <c r="AA1224" s="13"/>
      <c r="AB1224" s="11"/>
      <c r="AC1224" s="4"/>
      <c r="AD1224" s="12"/>
      <c r="AE1224" s="13"/>
      <c r="AF1224" s="14">
        <v>5.0083000000000002</v>
      </c>
      <c r="AG1224" s="133"/>
      <c r="AI1224" s="96"/>
      <c r="AL1224" s="64">
        <v>4.1743291166666667</v>
      </c>
      <c r="AM1224" s="56">
        <v>14.07999999999987</v>
      </c>
      <c r="AN1224" s="56">
        <v>16.059999999999871</v>
      </c>
      <c r="AO1224" s="62">
        <v>21.859999999999861</v>
      </c>
      <c r="AQ1224" s="64">
        <v>4.0829035333333348</v>
      </c>
      <c r="AR1224" s="56">
        <v>13.57999999999997</v>
      </c>
      <c r="AS1224" s="56">
        <v>15.04000000000012</v>
      </c>
      <c r="AT1224" s="62">
        <v>19.000000000000039</v>
      </c>
      <c r="AV1224" s="64">
        <v>3.7303044999999999</v>
      </c>
      <c r="AW1224" s="56">
        <v>13.18000000000001</v>
      </c>
      <c r="AX1224" s="56">
        <v>14.66000000000003</v>
      </c>
      <c r="AY1224" s="62">
        <v>19.280000000000008</v>
      </c>
      <c r="BA1224" s="64">
        <v>3.1855170500000001</v>
      </c>
      <c r="BB1224" s="56">
        <v>15.599999999999969</v>
      </c>
      <c r="BC1224" s="56">
        <v>18.02000000000001</v>
      </c>
      <c r="BD1224" s="62">
        <v>29.779999999999959</v>
      </c>
      <c r="BF1224" s="64">
        <v>2.912226533333333</v>
      </c>
      <c r="BG1224" s="56">
        <v>19.620000000000019</v>
      </c>
      <c r="BH1224" s="56">
        <v>26.40000000000002</v>
      </c>
      <c r="BI1224" s="62">
        <v>56.840000000000053</v>
      </c>
      <c r="BJ1224" s="70"/>
      <c r="BK1224" s="51"/>
    </row>
    <row r="1225" spans="1:63" x14ac:dyDescent="0.4">
      <c r="A1225" s="147" t="s">
        <v>1302</v>
      </c>
      <c r="G1225" s="147" t="s">
        <v>1302</v>
      </c>
      <c r="H1225" s="159">
        <v>69.912000000000006</v>
      </c>
      <c r="I1225" s="153">
        <v>70.39</v>
      </c>
      <c r="J1225" s="153">
        <v>70.38</v>
      </c>
      <c r="K1225" s="153">
        <v>70.37</v>
      </c>
      <c r="L1225" s="153">
        <v>70.28</v>
      </c>
      <c r="M1225" s="80">
        <f t="shared" si="38"/>
        <v>70.39</v>
      </c>
      <c r="N1225" s="80">
        <f t="shared" si="39"/>
        <v>70.28</v>
      </c>
      <c r="O1225" s="153">
        <v>21.16</v>
      </c>
      <c r="P1225" s="153">
        <v>21.05</v>
      </c>
      <c r="Q1225" s="153">
        <v>21.11</v>
      </c>
      <c r="R1225" s="153">
        <v>21.09</v>
      </c>
      <c r="S1225" s="4"/>
      <c r="U1225" s="147" t="s">
        <v>1302</v>
      </c>
      <c r="V1225" s="11"/>
      <c r="W1225" s="4"/>
      <c r="X1225" s="12"/>
      <c r="Y1225" s="14"/>
      <c r="Z1225" s="4"/>
      <c r="AA1225" s="13"/>
      <c r="AB1225" s="11"/>
      <c r="AC1225" s="4"/>
      <c r="AD1225" s="12"/>
      <c r="AE1225" s="13"/>
      <c r="AF1225" s="14">
        <v>5.0030999999999999</v>
      </c>
      <c r="AG1225" s="133"/>
      <c r="AI1225" s="96"/>
      <c r="AL1225" s="64">
        <v>4.1741750166666671</v>
      </c>
      <c r="AM1225" s="56">
        <v>13.320000000000039</v>
      </c>
      <c r="AN1225" s="56">
        <v>15.199999999999919</v>
      </c>
      <c r="AO1225" s="62">
        <v>21.10000000000003</v>
      </c>
      <c r="AQ1225" s="64">
        <v>4.0816443499999986</v>
      </c>
      <c r="AR1225" s="56">
        <v>12.70000000000007</v>
      </c>
      <c r="AS1225" s="56">
        <v>14.08000000000005</v>
      </c>
      <c r="AT1225" s="62">
        <v>17.819999999999951</v>
      </c>
      <c r="AV1225" s="64">
        <v>3.7277893166666671</v>
      </c>
      <c r="AW1225" s="56">
        <v>12.38000000000001</v>
      </c>
      <c r="AX1225" s="56">
        <v>13.79999999999999</v>
      </c>
      <c r="AY1225" s="62">
        <v>18.28000000000003</v>
      </c>
      <c r="BA1225" s="64">
        <v>3.1817331833333329</v>
      </c>
      <c r="BB1225" s="56">
        <v>15.139999999999979</v>
      </c>
      <c r="BC1225" s="56">
        <v>17.539999999999981</v>
      </c>
      <c r="BD1225" s="62">
        <v>29.22000000000002</v>
      </c>
      <c r="BF1225" s="64">
        <v>2.9009216666666671</v>
      </c>
      <c r="BG1225" s="56">
        <v>18.98</v>
      </c>
      <c r="BH1225" s="56">
        <v>25.300000000000011</v>
      </c>
      <c r="BI1225" s="62">
        <v>55.879999999999967</v>
      </c>
      <c r="BJ1225" s="70"/>
      <c r="BK1225" s="51"/>
    </row>
    <row r="1226" spans="1:63" x14ac:dyDescent="0.4">
      <c r="A1226" s="147" t="s">
        <v>1303</v>
      </c>
      <c r="G1226" s="147" t="s">
        <v>1303</v>
      </c>
      <c r="H1226" s="159">
        <v>69.956999999999994</v>
      </c>
      <c r="I1226" s="153">
        <v>70.27</v>
      </c>
      <c r="J1226" s="153">
        <v>70.3</v>
      </c>
      <c r="K1226" s="153">
        <v>70.36</v>
      </c>
      <c r="L1226" s="153">
        <v>70.319999999999993</v>
      </c>
      <c r="M1226" s="80">
        <f t="shared" si="38"/>
        <v>70.36</v>
      </c>
      <c r="N1226" s="80">
        <f t="shared" si="39"/>
        <v>70.27</v>
      </c>
      <c r="O1226" s="153">
        <v>21.08</v>
      </c>
      <c r="P1226" s="153">
        <v>21.08</v>
      </c>
      <c r="Q1226" s="153">
        <v>21.11</v>
      </c>
      <c r="R1226" s="153">
        <v>21.08</v>
      </c>
      <c r="S1226" s="4"/>
      <c r="U1226" s="147" t="s">
        <v>1303</v>
      </c>
      <c r="V1226" s="11"/>
      <c r="W1226" s="4"/>
      <c r="X1226" s="12"/>
      <c r="Y1226" s="14"/>
      <c r="Z1226" s="4"/>
      <c r="AA1226" s="13"/>
      <c r="AB1226" s="11"/>
      <c r="AC1226" s="4"/>
      <c r="AD1226" s="12"/>
      <c r="AE1226" s="13"/>
      <c r="AF1226" s="14">
        <v>5.0075000000000003</v>
      </c>
      <c r="AG1226" s="133"/>
      <c r="AI1226" s="96"/>
      <c r="AL1226" s="64">
        <v>4.1737793666666656</v>
      </c>
      <c r="AM1226" s="56">
        <v>13.160000000000061</v>
      </c>
      <c r="AN1226" s="56">
        <v>15.06000000000007</v>
      </c>
      <c r="AO1226" s="62">
        <v>20.96</v>
      </c>
      <c r="AQ1226" s="64">
        <v>4.0827217166666667</v>
      </c>
      <c r="AR1226" s="56">
        <v>12.80000000000001</v>
      </c>
      <c r="AS1226" s="56">
        <v>14.160000000000039</v>
      </c>
      <c r="AT1226" s="62">
        <v>17.91999999999998</v>
      </c>
      <c r="AV1226" s="64">
        <v>3.7284332166666672</v>
      </c>
      <c r="AW1226" s="56">
        <v>12.46</v>
      </c>
      <c r="AX1226" s="56">
        <v>13.86000000000003</v>
      </c>
      <c r="AY1226" s="62">
        <v>18.360000000000021</v>
      </c>
      <c r="BA1226" s="64">
        <v>3.1829037333333332</v>
      </c>
      <c r="BB1226" s="56">
        <v>15.29999999999996</v>
      </c>
      <c r="BC1226" s="56">
        <v>17.679999999999922</v>
      </c>
      <c r="BD1226" s="62">
        <v>29.439999999999959</v>
      </c>
      <c r="BF1226" s="64">
        <v>2.9081288166666659</v>
      </c>
      <c r="BG1226" s="56">
        <v>19.21999999999997</v>
      </c>
      <c r="BH1226" s="56">
        <v>25.61999999999998</v>
      </c>
      <c r="BI1226" s="62">
        <v>55.719999999999992</v>
      </c>
      <c r="BJ1226" s="70"/>
      <c r="BK1226" s="51"/>
    </row>
    <row r="1227" spans="1:63" x14ac:dyDescent="0.4">
      <c r="A1227" s="147" t="s">
        <v>1304</v>
      </c>
      <c r="G1227" s="147" t="s">
        <v>1304</v>
      </c>
      <c r="H1227" s="159">
        <v>70.006</v>
      </c>
      <c r="I1227" s="153">
        <v>70.319999999999993</v>
      </c>
      <c r="J1227" s="153">
        <v>70.38</v>
      </c>
      <c r="K1227" s="153">
        <v>70.39</v>
      </c>
      <c r="L1227" s="153">
        <v>70.39</v>
      </c>
      <c r="M1227" s="80">
        <f t="shared" si="38"/>
        <v>70.39</v>
      </c>
      <c r="N1227" s="80">
        <f t="shared" si="39"/>
        <v>70.319999999999993</v>
      </c>
      <c r="O1227" s="153">
        <v>21.16</v>
      </c>
      <c r="P1227" s="153">
        <v>21.16</v>
      </c>
      <c r="Q1227" s="153">
        <v>21.16</v>
      </c>
      <c r="R1227" s="153">
        <v>21.07</v>
      </c>
      <c r="S1227" s="4"/>
      <c r="U1227" s="147" t="s">
        <v>1304</v>
      </c>
      <c r="V1227" s="11"/>
      <c r="W1227" s="4"/>
      <c r="X1227" s="12"/>
      <c r="Y1227" s="14"/>
      <c r="Z1227" s="4"/>
      <c r="AA1227" s="13"/>
      <c r="AB1227" s="11"/>
      <c r="AC1227" s="4"/>
      <c r="AD1227" s="12"/>
      <c r="AE1227" s="13"/>
      <c r="AF1227" s="14">
        <v>4.9924999999999997</v>
      </c>
      <c r="AG1227" s="133"/>
      <c r="AI1227" s="96"/>
      <c r="AL1227" s="64">
        <v>4.1746716500000014</v>
      </c>
      <c r="AM1227" s="56">
        <v>13.219999999999921</v>
      </c>
      <c r="AN1227" s="56">
        <v>15.13999999999989</v>
      </c>
      <c r="AO1227" s="62">
        <v>21.039999999999988</v>
      </c>
      <c r="AQ1227" s="64">
        <v>4.0827003500000014</v>
      </c>
      <c r="AR1227" s="56">
        <v>12.95999999999999</v>
      </c>
      <c r="AS1227" s="56">
        <v>14.35999999999993</v>
      </c>
      <c r="AT1227" s="62">
        <v>18.200000000000038</v>
      </c>
      <c r="AV1227" s="64">
        <v>3.730428400000001</v>
      </c>
      <c r="AW1227" s="56">
        <v>12.760000000000019</v>
      </c>
      <c r="AX1227" s="56">
        <v>14.200000000000029</v>
      </c>
      <c r="AY1227" s="62">
        <v>18.72000000000007</v>
      </c>
      <c r="BA1227" s="64">
        <v>3.184331716666668</v>
      </c>
      <c r="BB1227" s="56">
        <v>15.42000000000003</v>
      </c>
      <c r="BC1227" s="56">
        <v>17.79999999999999</v>
      </c>
      <c r="BD1227" s="62">
        <v>29.48000000000004</v>
      </c>
      <c r="BF1227" s="64">
        <v>2.899828766666666</v>
      </c>
      <c r="BG1227" s="56">
        <v>19.36</v>
      </c>
      <c r="BH1227" s="56">
        <v>25.900000000000031</v>
      </c>
      <c r="BI1227" s="62">
        <v>57.059999999999981</v>
      </c>
      <c r="BJ1227" s="70"/>
      <c r="BK1227" s="51"/>
    </row>
    <row r="1228" spans="1:63" x14ac:dyDescent="0.4">
      <c r="A1228" s="147" t="s">
        <v>1305</v>
      </c>
      <c r="G1228" s="147" t="s">
        <v>1305</v>
      </c>
      <c r="H1228" s="159">
        <v>70.105000000000004</v>
      </c>
      <c r="I1228" s="153">
        <v>70.31</v>
      </c>
      <c r="J1228" s="153">
        <v>70.36</v>
      </c>
      <c r="K1228" s="153">
        <v>70.31</v>
      </c>
      <c r="L1228" s="153">
        <v>70.290000000000006</v>
      </c>
      <c r="M1228" s="80">
        <f t="shared" si="38"/>
        <v>70.36</v>
      </c>
      <c r="N1228" s="80">
        <f t="shared" si="39"/>
        <v>70.290000000000006</v>
      </c>
      <c r="O1228" s="153">
        <v>21.2</v>
      </c>
      <c r="P1228" s="153">
        <v>21.15</v>
      </c>
      <c r="Q1228" s="153">
        <v>21.1</v>
      </c>
      <c r="R1228" s="153">
        <v>21.09</v>
      </c>
      <c r="S1228" s="4"/>
      <c r="U1228" s="147" t="s">
        <v>1305</v>
      </c>
      <c r="V1228" s="11"/>
      <c r="W1228" s="4"/>
      <c r="X1228" s="12"/>
      <c r="Y1228" s="14"/>
      <c r="Z1228" s="4"/>
      <c r="AA1228" s="13"/>
      <c r="AB1228" s="11"/>
      <c r="AC1228" s="4"/>
      <c r="AD1228" s="12"/>
      <c r="AE1228" s="13"/>
      <c r="AF1228" s="14">
        <v>5.0259999999999998</v>
      </c>
      <c r="AG1228" s="133"/>
      <c r="AI1228" s="96"/>
      <c r="AL1228" s="64">
        <v>4.1734704499999991</v>
      </c>
      <c r="AM1228" s="56">
        <v>12.899999999999959</v>
      </c>
      <c r="AN1228" s="56">
        <v>14.780000000000021</v>
      </c>
      <c r="AO1228" s="62">
        <v>20.599999999999952</v>
      </c>
      <c r="AQ1228" s="64">
        <v>4.0840458333333336</v>
      </c>
      <c r="AR1228" s="56">
        <v>12.80000000000001</v>
      </c>
      <c r="AS1228" s="56">
        <v>14.160000000000039</v>
      </c>
      <c r="AT1228" s="62">
        <v>17.900000000000031</v>
      </c>
      <c r="AV1228" s="64">
        <v>3.7300572500000002</v>
      </c>
      <c r="AW1228" s="56">
        <v>12.38000000000001</v>
      </c>
      <c r="AX1228" s="56">
        <v>13.78000000000004</v>
      </c>
      <c r="AY1228" s="62">
        <v>18.220000000000081</v>
      </c>
      <c r="BA1228" s="64">
        <v>3.1798479166666671</v>
      </c>
      <c r="BB1228" s="56">
        <v>14.87999999999996</v>
      </c>
      <c r="BC1228" s="56">
        <v>17.23999999999997</v>
      </c>
      <c r="BD1228" s="62">
        <v>28.920000000000009</v>
      </c>
      <c r="BF1228" s="64">
        <v>2.903245333333333</v>
      </c>
      <c r="BG1228" s="56">
        <v>18.760000000000069</v>
      </c>
      <c r="BH1228" s="56">
        <v>25.300000000000011</v>
      </c>
      <c r="BI1228" s="62">
        <v>56.380000000000052</v>
      </c>
      <c r="BJ1228" s="70"/>
      <c r="BK1228" s="51"/>
    </row>
    <row r="1229" spans="1:63" x14ac:dyDescent="0.4">
      <c r="A1229" s="147" t="s">
        <v>1306</v>
      </c>
      <c r="G1229" s="147" t="s">
        <v>1306</v>
      </c>
      <c r="H1229" s="159">
        <v>70.069999999999993</v>
      </c>
      <c r="I1229" s="153">
        <v>70.290000000000006</v>
      </c>
      <c r="J1229" s="153">
        <v>70.31</v>
      </c>
      <c r="K1229" s="153">
        <v>70.33</v>
      </c>
      <c r="L1229" s="153">
        <v>70.38</v>
      </c>
      <c r="M1229" s="80">
        <f t="shared" si="38"/>
        <v>70.38</v>
      </c>
      <c r="N1229" s="80">
        <f t="shared" si="39"/>
        <v>70.290000000000006</v>
      </c>
      <c r="O1229" s="153">
        <v>21.17</v>
      </c>
      <c r="P1229" s="153">
        <v>21.07</v>
      </c>
      <c r="Q1229" s="153">
        <v>21.09</v>
      </c>
      <c r="R1229" s="153">
        <v>21.05</v>
      </c>
      <c r="S1229" s="4"/>
      <c r="U1229" s="147" t="s">
        <v>1306</v>
      </c>
      <c r="V1229" s="11"/>
      <c r="W1229" s="4"/>
      <c r="X1229" s="12"/>
      <c r="Y1229" s="14"/>
      <c r="Z1229" s="4"/>
      <c r="AA1229" s="13"/>
      <c r="AB1229" s="11"/>
      <c r="AC1229" s="4"/>
      <c r="AD1229" s="12"/>
      <c r="AE1229" s="13"/>
      <c r="AF1229" s="14">
        <v>5.0031999999999996</v>
      </c>
      <c r="AG1229" s="133"/>
      <c r="AI1229" s="96"/>
      <c r="AL1229" s="64">
        <v>4.1741677333333334</v>
      </c>
      <c r="AM1229" s="56">
        <v>13.100000000000019</v>
      </c>
      <c r="AN1229" s="56">
        <v>15.000000000000041</v>
      </c>
      <c r="AO1229" s="62">
        <v>20.88000000000001</v>
      </c>
      <c r="AQ1229" s="64">
        <v>4.0813648833333342</v>
      </c>
      <c r="AR1229" s="56">
        <v>12.579999999999989</v>
      </c>
      <c r="AS1229" s="56">
        <v>13.940000000000021</v>
      </c>
      <c r="AT1229" s="62">
        <v>17.6400000000001</v>
      </c>
      <c r="AV1229" s="64">
        <v>3.7293258666666671</v>
      </c>
      <c r="AW1229" s="56">
        <v>12.220000000000031</v>
      </c>
      <c r="AX1229" s="56">
        <v>13.619999999999971</v>
      </c>
      <c r="AY1229" s="62">
        <v>18.02000000000001</v>
      </c>
      <c r="BA1229" s="64">
        <v>3.1888257833333342</v>
      </c>
      <c r="BB1229" s="56">
        <v>14.50000000000005</v>
      </c>
      <c r="BC1229" s="56">
        <v>16.800000000000011</v>
      </c>
      <c r="BD1229" s="62">
        <v>28.000000000000021</v>
      </c>
      <c r="BF1229" s="64">
        <v>2.8977989499999999</v>
      </c>
      <c r="BG1229" s="56">
        <v>18.40000000000002</v>
      </c>
      <c r="BH1229" s="56">
        <v>24.88000000000001</v>
      </c>
      <c r="BI1229" s="62">
        <v>55.860000000000021</v>
      </c>
      <c r="BJ1229" s="70"/>
      <c r="BK1229" s="51"/>
    </row>
    <row r="1230" spans="1:63" x14ac:dyDescent="0.4">
      <c r="A1230" s="147" t="s">
        <v>1307</v>
      </c>
      <c r="G1230" s="147" t="s">
        <v>1307</v>
      </c>
      <c r="H1230" s="159">
        <v>69.905000000000001</v>
      </c>
      <c r="I1230" s="153">
        <v>70.290000000000006</v>
      </c>
      <c r="J1230" s="153">
        <v>70.37</v>
      </c>
      <c r="K1230" s="153">
        <v>70.34</v>
      </c>
      <c r="L1230" s="153">
        <v>70.31</v>
      </c>
      <c r="M1230" s="80">
        <f t="shared" si="38"/>
        <v>70.37</v>
      </c>
      <c r="N1230" s="80">
        <f t="shared" si="39"/>
        <v>70.290000000000006</v>
      </c>
      <c r="O1230" s="153">
        <v>21.16</v>
      </c>
      <c r="P1230" s="153">
        <v>21.01</v>
      </c>
      <c r="Q1230" s="153">
        <v>21.17</v>
      </c>
      <c r="R1230" s="153">
        <v>21.01</v>
      </c>
      <c r="S1230" s="4"/>
      <c r="U1230" s="147" t="s">
        <v>1307</v>
      </c>
      <c r="V1230" s="11"/>
      <c r="W1230" s="4"/>
      <c r="X1230" s="12"/>
      <c r="Y1230" s="14"/>
      <c r="Z1230" s="4"/>
      <c r="AA1230" s="13"/>
      <c r="AB1230" s="11"/>
      <c r="AC1230" s="4"/>
      <c r="AD1230" s="12"/>
      <c r="AE1230" s="13"/>
      <c r="AF1230" s="14">
        <v>5.0058999999999996</v>
      </c>
      <c r="AG1230" s="133"/>
      <c r="AI1230" s="96"/>
      <c r="AL1230" s="64">
        <v>4.1736653333333331</v>
      </c>
      <c r="AM1230" s="56">
        <v>13.34</v>
      </c>
      <c r="AN1230" s="56">
        <v>15.259999999999961</v>
      </c>
      <c r="AO1230" s="62">
        <v>21.099999999999849</v>
      </c>
      <c r="AQ1230" s="64">
        <v>4.0811550833333339</v>
      </c>
      <c r="AR1230" s="56">
        <v>12.80000000000001</v>
      </c>
      <c r="AS1230" s="56">
        <v>14.160000000000039</v>
      </c>
      <c r="AT1230" s="62">
        <v>17.91999999999998</v>
      </c>
      <c r="AV1230" s="64">
        <v>3.72740465</v>
      </c>
      <c r="AW1230" s="56">
        <v>12.48000000000005</v>
      </c>
      <c r="AX1230" s="56">
        <v>13.879999999999979</v>
      </c>
      <c r="AY1230" s="62">
        <v>18.339999999999979</v>
      </c>
      <c r="BA1230" s="64">
        <v>3.180688733333334</v>
      </c>
      <c r="BB1230" s="56">
        <v>14.99999999999995</v>
      </c>
      <c r="BC1230" s="56">
        <v>17.419999999999991</v>
      </c>
      <c r="BD1230" s="62">
        <v>29.01999999999996</v>
      </c>
      <c r="BF1230" s="64">
        <v>2.9013963166666672</v>
      </c>
      <c r="BG1230" s="56">
        <v>19.000000000000039</v>
      </c>
      <c r="BH1230" s="56">
        <v>25.600000000000019</v>
      </c>
      <c r="BI1230" s="62">
        <v>56.34000000000006</v>
      </c>
      <c r="BJ1230" s="70"/>
      <c r="BK1230" s="51"/>
    </row>
    <row r="1231" spans="1:63" x14ac:dyDescent="0.4">
      <c r="A1231" s="147" t="s">
        <v>1308</v>
      </c>
      <c r="G1231" s="147" t="s">
        <v>1308</v>
      </c>
      <c r="H1231" s="159">
        <v>70.043999999999997</v>
      </c>
      <c r="I1231" s="153">
        <v>70.33</v>
      </c>
      <c r="J1231" s="153">
        <v>70.31</v>
      </c>
      <c r="K1231" s="153">
        <v>70.349999999999994</v>
      </c>
      <c r="L1231" s="153">
        <v>70.33</v>
      </c>
      <c r="M1231" s="80">
        <f t="shared" si="38"/>
        <v>70.349999999999994</v>
      </c>
      <c r="N1231" s="80">
        <f t="shared" si="39"/>
        <v>70.31</v>
      </c>
      <c r="O1231" s="153">
        <v>21.13</v>
      </c>
      <c r="P1231" s="153">
        <v>21.14</v>
      </c>
      <c r="Q1231" s="153">
        <v>21.15</v>
      </c>
      <c r="R1231" s="153">
        <v>21.07</v>
      </c>
      <c r="S1231" s="4"/>
      <c r="U1231" s="147" t="s">
        <v>1308</v>
      </c>
      <c r="V1231" s="11"/>
      <c r="W1231" s="4"/>
      <c r="X1231" s="12"/>
      <c r="Y1231" s="14"/>
      <c r="Z1231" s="4"/>
      <c r="AA1231" s="13"/>
      <c r="AB1231" s="11"/>
      <c r="AC1231" s="4"/>
      <c r="AD1231" s="12"/>
      <c r="AE1231" s="13"/>
      <c r="AF1231" s="14">
        <v>5.0069999999999997</v>
      </c>
      <c r="AG1231" s="133"/>
      <c r="AI1231" s="96"/>
      <c r="AL1231" s="64">
        <v>4.1741914166666669</v>
      </c>
      <c r="AM1231" s="56">
        <v>13.920000000000069</v>
      </c>
      <c r="AN1231" s="56">
        <v>15.90000000000007</v>
      </c>
      <c r="AO1231" s="62">
        <v>21.899999999999942</v>
      </c>
      <c r="AQ1231" s="64">
        <v>4.0812710999999986</v>
      </c>
      <c r="AR1231" s="56">
        <v>13.459999999999891</v>
      </c>
      <c r="AS1231" s="56">
        <v>14.89999999999991</v>
      </c>
      <c r="AT1231" s="62">
        <v>18.75999999999998</v>
      </c>
      <c r="AV1231" s="64">
        <v>3.7288524999999999</v>
      </c>
      <c r="AW1231" s="56">
        <v>13.18000000000001</v>
      </c>
      <c r="AX1231" s="56">
        <v>14.65999999999994</v>
      </c>
      <c r="AY1231" s="62">
        <v>19.25999999999997</v>
      </c>
      <c r="BA1231" s="64">
        <v>3.183251966666667</v>
      </c>
      <c r="BB1231" s="56">
        <v>15.7</v>
      </c>
      <c r="BC1231" s="56">
        <v>18.14</v>
      </c>
      <c r="BD1231" s="62">
        <v>29.88</v>
      </c>
      <c r="BF1231" s="64">
        <v>2.9009631666666671</v>
      </c>
      <c r="BG1231" s="56">
        <v>19.660000000000011</v>
      </c>
      <c r="BH1231" s="56">
        <v>26.18</v>
      </c>
      <c r="BI1231" s="62">
        <v>56.82</v>
      </c>
      <c r="BJ1231" s="70"/>
      <c r="BK1231" s="51"/>
    </row>
    <row r="1232" spans="1:63" x14ac:dyDescent="0.4">
      <c r="A1232" s="147" t="s">
        <v>1309</v>
      </c>
      <c r="G1232" s="147" t="s">
        <v>1309</v>
      </c>
      <c r="H1232" s="159">
        <v>69.924000000000007</v>
      </c>
      <c r="I1232" s="153">
        <v>70.290000000000006</v>
      </c>
      <c r="J1232" s="153">
        <v>70.290000000000006</v>
      </c>
      <c r="K1232" s="153">
        <v>70.34</v>
      </c>
      <c r="L1232" s="153">
        <v>70.39</v>
      </c>
      <c r="M1232" s="80">
        <f t="shared" si="38"/>
        <v>70.39</v>
      </c>
      <c r="N1232" s="80">
        <f t="shared" si="39"/>
        <v>70.290000000000006</v>
      </c>
      <c r="O1232" s="153">
        <v>21.18</v>
      </c>
      <c r="P1232" s="153">
        <v>21.06</v>
      </c>
      <c r="Q1232" s="153">
        <v>21.11</v>
      </c>
      <c r="R1232" s="153">
        <v>21.05</v>
      </c>
      <c r="S1232" s="4"/>
      <c r="U1232" s="147" t="s">
        <v>1309</v>
      </c>
      <c r="V1232" s="11"/>
      <c r="W1232" s="4"/>
      <c r="X1232" s="12"/>
      <c r="Y1232" s="14"/>
      <c r="Z1232" s="4"/>
      <c r="AA1232" s="13"/>
      <c r="AB1232" s="11"/>
      <c r="AC1232" s="4"/>
      <c r="AD1232" s="12"/>
      <c r="AE1232" s="13"/>
      <c r="AF1232" s="14">
        <v>5.0021000000000004</v>
      </c>
      <c r="AG1232" s="133"/>
      <c r="AI1232" s="96"/>
      <c r="AL1232" s="64">
        <v>4.1737865166666666</v>
      </c>
      <c r="AM1232" s="56">
        <v>13.219999999999921</v>
      </c>
      <c r="AN1232" s="56">
        <v>15.140000000000059</v>
      </c>
      <c r="AO1232" s="62">
        <v>21.020000000000039</v>
      </c>
      <c r="AQ1232" s="64">
        <v>4.0818589333333328</v>
      </c>
      <c r="AR1232" s="56">
        <v>12.860000000000049</v>
      </c>
      <c r="AS1232" s="56">
        <v>14.24000000000003</v>
      </c>
      <c r="AT1232" s="62">
        <v>18.00000000000006</v>
      </c>
      <c r="AV1232" s="64">
        <v>3.7295601833333341</v>
      </c>
      <c r="AW1232" s="56">
        <v>12.56000000000004</v>
      </c>
      <c r="AX1232" s="56">
        <v>13.99999999999997</v>
      </c>
      <c r="AY1232" s="62">
        <v>18.499999999999961</v>
      </c>
      <c r="BA1232" s="64">
        <v>3.1852368666666662</v>
      </c>
      <c r="BB1232" s="56">
        <v>15.120000000000021</v>
      </c>
      <c r="BC1232" s="56">
        <v>17.480000000000029</v>
      </c>
      <c r="BD1232" s="62">
        <v>28.98000000000005</v>
      </c>
      <c r="BF1232" s="64">
        <v>2.900934583333334</v>
      </c>
      <c r="BG1232" s="56">
        <v>19.100000000000069</v>
      </c>
      <c r="BH1232" s="56">
        <v>25.48000000000004</v>
      </c>
      <c r="BI1232" s="62">
        <v>56.140000000000079</v>
      </c>
      <c r="BJ1232" s="70"/>
      <c r="BK1232" s="51"/>
    </row>
    <row r="1233" spans="1:63" x14ac:dyDescent="0.4">
      <c r="A1233" s="147" t="s">
        <v>1310</v>
      </c>
      <c r="G1233" s="147" t="s">
        <v>1310</v>
      </c>
      <c r="H1233" s="159">
        <v>70.069999999999993</v>
      </c>
      <c r="I1233" s="153">
        <v>70.31</v>
      </c>
      <c r="J1233" s="153">
        <v>70.37</v>
      </c>
      <c r="K1233" s="153">
        <v>70.36</v>
      </c>
      <c r="L1233" s="153">
        <v>70.39</v>
      </c>
      <c r="M1233" s="80">
        <f t="shared" si="38"/>
        <v>70.39</v>
      </c>
      <c r="N1233" s="80">
        <f t="shared" si="39"/>
        <v>70.31</v>
      </c>
      <c r="O1233" s="153">
        <v>21.22</v>
      </c>
      <c r="P1233" s="153">
        <v>21.11</v>
      </c>
      <c r="Q1233" s="153">
        <v>21.16</v>
      </c>
      <c r="R1233" s="153">
        <v>21.01</v>
      </c>
      <c r="S1233" s="4"/>
      <c r="U1233" s="147" t="s">
        <v>1310</v>
      </c>
      <c r="V1233" s="11"/>
      <c r="W1233" s="4"/>
      <c r="X1233" s="12"/>
      <c r="Y1233" s="14"/>
      <c r="Z1233" s="4"/>
      <c r="AA1233" s="13"/>
      <c r="AB1233" s="11"/>
      <c r="AC1233" s="4"/>
      <c r="AD1233" s="12"/>
      <c r="AE1233" s="13"/>
      <c r="AF1233" s="14">
        <v>4.9928999999999997</v>
      </c>
      <c r="AG1233" s="133"/>
      <c r="AI1233" s="96"/>
      <c r="AL1233" s="64">
        <v>4.1739524000000001</v>
      </c>
      <c r="AM1233" s="56">
        <v>13.319999999999871</v>
      </c>
      <c r="AN1233" s="56">
        <v>15.259999999999961</v>
      </c>
      <c r="AO1233" s="62">
        <v>21.219999999999931</v>
      </c>
      <c r="AQ1233" s="64">
        <v>4.0827586999999994</v>
      </c>
      <c r="AR1233" s="56">
        <v>13.239999999999871</v>
      </c>
      <c r="AS1233" s="56">
        <v>14.65999999999994</v>
      </c>
      <c r="AT1233" s="62">
        <v>18.53999999999996</v>
      </c>
      <c r="AV1233" s="64">
        <v>3.7303958833333328</v>
      </c>
      <c r="AW1233" s="56">
        <v>13.100000000000019</v>
      </c>
      <c r="AX1233" s="56">
        <v>14.57999999999995</v>
      </c>
      <c r="AY1233" s="62">
        <v>19.179999999999971</v>
      </c>
      <c r="BA1233" s="64">
        <v>3.1844939499999998</v>
      </c>
      <c r="BB1233" s="56">
        <v>15.51999999999998</v>
      </c>
      <c r="BC1233" s="56">
        <v>17.93999999999993</v>
      </c>
      <c r="BD1233" s="62">
        <v>29.63999999999993</v>
      </c>
      <c r="BF1233" s="64">
        <v>2.9032503666666658</v>
      </c>
      <c r="BG1233" s="56">
        <v>19.47999999999999</v>
      </c>
      <c r="BH1233" s="56">
        <v>26.04000000000006</v>
      </c>
      <c r="BI1233" s="62">
        <v>56.760000000000048</v>
      </c>
      <c r="BJ1233" s="70"/>
      <c r="BK1233" s="51"/>
    </row>
    <row r="1234" spans="1:63" x14ac:dyDescent="0.4">
      <c r="A1234" s="147" t="s">
        <v>1311</v>
      </c>
      <c r="G1234" s="147" t="s">
        <v>1311</v>
      </c>
      <c r="H1234" s="159">
        <v>69.870999999999995</v>
      </c>
      <c r="I1234" s="153">
        <v>70.38</v>
      </c>
      <c r="J1234" s="153">
        <v>70.34</v>
      </c>
      <c r="K1234" s="153">
        <v>70.36</v>
      </c>
      <c r="L1234" s="153">
        <v>70.39</v>
      </c>
      <c r="M1234" s="80">
        <f t="shared" si="38"/>
        <v>70.39</v>
      </c>
      <c r="N1234" s="80">
        <f t="shared" si="39"/>
        <v>70.34</v>
      </c>
      <c r="O1234" s="153">
        <v>21.16</v>
      </c>
      <c r="P1234" s="153">
        <v>21.04</v>
      </c>
      <c r="Q1234" s="153">
        <v>21.13</v>
      </c>
      <c r="R1234" s="153">
        <v>21.09</v>
      </c>
      <c r="S1234" s="4"/>
      <c r="U1234" s="147" t="s">
        <v>1311</v>
      </c>
      <c r="V1234" s="11"/>
      <c r="W1234" s="4"/>
      <c r="X1234" s="12"/>
      <c r="Y1234" s="14"/>
      <c r="Z1234" s="4"/>
      <c r="AA1234" s="13"/>
      <c r="AB1234" s="11"/>
      <c r="AC1234" s="4"/>
      <c r="AD1234" s="12"/>
      <c r="AE1234" s="13"/>
      <c r="AF1234" s="14">
        <v>5.0015000000000001</v>
      </c>
      <c r="AG1234" s="133"/>
      <c r="AI1234" s="96"/>
      <c r="AL1234" s="64">
        <v>4.1739740666666671</v>
      </c>
      <c r="AM1234" s="56">
        <v>13.00000000000008</v>
      </c>
      <c r="AN1234" s="56">
        <v>14.900000000000089</v>
      </c>
      <c r="AO1234" s="62">
        <v>20.720000000000031</v>
      </c>
      <c r="AQ1234" s="64">
        <v>4.0825030499999979</v>
      </c>
      <c r="AR1234" s="56">
        <v>12.599999999999939</v>
      </c>
      <c r="AS1234" s="56">
        <v>13.999999999999879</v>
      </c>
      <c r="AT1234" s="62">
        <v>17.71999999999991</v>
      </c>
      <c r="AV1234" s="64">
        <v>3.7289677166666668</v>
      </c>
      <c r="AW1234" s="56">
        <v>12.239999999999981</v>
      </c>
      <c r="AX1234" s="56">
        <v>13.640000000000009</v>
      </c>
      <c r="AY1234" s="62">
        <v>18.079999999999959</v>
      </c>
      <c r="BA1234" s="64">
        <v>3.1820331500000001</v>
      </c>
      <c r="BB1234" s="56">
        <v>14.719999999999979</v>
      </c>
      <c r="BC1234" s="56">
        <v>17.10000000000003</v>
      </c>
      <c r="BD1234" s="62">
        <v>28.739999999999991</v>
      </c>
      <c r="BF1234" s="64">
        <v>2.9081873333333328</v>
      </c>
      <c r="BG1234" s="56">
        <v>18.599999999999991</v>
      </c>
      <c r="BH1234" s="56">
        <v>25.180000000000021</v>
      </c>
      <c r="BI1234" s="62">
        <v>55.52000000000001</v>
      </c>
      <c r="BJ1234" s="70"/>
      <c r="BK1234" s="51"/>
    </row>
    <row r="1235" spans="1:63" x14ac:dyDescent="0.4">
      <c r="A1235" s="147" t="s">
        <v>1312</v>
      </c>
      <c r="G1235" s="147" t="s">
        <v>1312</v>
      </c>
      <c r="H1235" s="159">
        <v>69.891000000000005</v>
      </c>
      <c r="I1235" s="153">
        <v>70.319999999999993</v>
      </c>
      <c r="J1235" s="153">
        <v>70.31</v>
      </c>
      <c r="K1235" s="153">
        <v>70.27</v>
      </c>
      <c r="L1235" s="153">
        <v>70.38</v>
      </c>
      <c r="M1235" s="80">
        <f t="shared" si="38"/>
        <v>70.38</v>
      </c>
      <c r="N1235" s="80">
        <f t="shared" si="39"/>
        <v>70.27</v>
      </c>
      <c r="O1235" s="153">
        <v>21.15</v>
      </c>
      <c r="P1235" s="153">
        <v>21.14</v>
      </c>
      <c r="Q1235" s="153">
        <v>21.12</v>
      </c>
      <c r="R1235" s="153">
        <v>21.11</v>
      </c>
      <c r="S1235" s="4"/>
      <c r="U1235" s="147" t="s">
        <v>1312</v>
      </c>
      <c r="V1235" s="11"/>
      <c r="W1235" s="4"/>
      <c r="X1235" s="12"/>
      <c r="Y1235" s="14"/>
      <c r="Z1235" s="4"/>
      <c r="AA1235" s="13"/>
      <c r="AB1235" s="11"/>
      <c r="AC1235" s="4"/>
      <c r="AD1235" s="12"/>
      <c r="AE1235" s="13"/>
      <c r="AF1235" s="14">
        <v>5.0077999999999996</v>
      </c>
      <c r="AG1235" s="133"/>
      <c r="AI1235" s="96"/>
      <c r="AL1235" s="64">
        <v>4.173588483333333</v>
      </c>
      <c r="AM1235" s="56">
        <v>13.39999999999986</v>
      </c>
      <c r="AN1235" s="56">
        <v>15.32</v>
      </c>
      <c r="AO1235" s="62">
        <v>21.239999999999881</v>
      </c>
      <c r="AQ1235" s="64">
        <v>4.0815100666666657</v>
      </c>
      <c r="AR1235" s="56">
        <v>12.899999999999959</v>
      </c>
      <c r="AS1235" s="56">
        <v>14.299999999999891</v>
      </c>
      <c r="AT1235" s="62">
        <v>18.100000000000001</v>
      </c>
      <c r="AV1235" s="64">
        <v>3.7278992666666659</v>
      </c>
      <c r="AW1235" s="56">
        <v>12.640000000000031</v>
      </c>
      <c r="AX1235" s="56">
        <v>14.1</v>
      </c>
      <c r="AY1235" s="62">
        <v>18.62000000000004</v>
      </c>
      <c r="BA1235" s="64">
        <v>3.181895583333334</v>
      </c>
      <c r="BB1235" s="56">
        <v>15.28</v>
      </c>
      <c r="BC1235" s="56">
        <v>17.69999999999996</v>
      </c>
      <c r="BD1235" s="62">
        <v>29.46</v>
      </c>
      <c r="BF1235" s="64">
        <v>2.9040404999999998</v>
      </c>
      <c r="BG1235" s="56">
        <v>18.940000000000001</v>
      </c>
      <c r="BH1235" s="56">
        <v>25.13999999999994</v>
      </c>
      <c r="BI1235" s="62">
        <v>55.180000000000007</v>
      </c>
      <c r="BJ1235" s="70"/>
      <c r="BK1235" s="51"/>
    </row>
    <row r="1236" spans="1:63" x14ac:dyDescent="0.4">
      <c r="A1236" s="147" t="s">
        <v>1313</v>
      </c>
      <c r="G1236" s="147" t="s">
        <v>1313</v>
      </c>
      <c r="H1236" s="159">
        <v>69.944999999999993</v>
      </c>
      <c r="I1236" s="153">
        <v>70.37</v>
      </c>
      <c r="J1236" s="153">
        <v>70.28</v>
      </c>
      <c r="K1236" s="153">
        <v>70.34</v>
      </c>
      <c r="L1236" s="153">
        <v>70.33</v>
      </c>
      <c r="M1236" s="80">
        <f t="shared" si="38"/>
        <v>70.37</v>
      </c>
      <c r="N1236" s="80">
        <f t="shared" si="39"/>
        <v>70.28</v>
      </c>
      <c r="O1236" s="153">
        <v>21.16</v>
      </c>
      <c r="P1236" s="153">
        <v>21.14</v>
      </c>
      <c r="Q1236" s="153">
        <v>21.11</v>
      </c>
      <c r="R1236" s="153">
        <v>21.06</v>
      </c>
      <c r="S1236" s="4"/>
      <c r="U1236" s="147" t="s">
        <v>1313</v>
      </c>
      <c r="V1236" s="11"/>
      <c r="W1236" s="4"/>
      <c r="X1236" s="12"/>
      <c r="Y1236" s="14"/>
      <c r="Z1236" s="4"/>
      <c r="AA1236" s="13"/>
      <c r="AB1236" s="11"/>
      <c r="AC1236" s="4"/>
      <c r="AD1236" s="12"/>
      <c r="AE1236" s="13"/>
      <c r="AF1236" s="14">
        <v>5.0058999999999996</v>
      </c>
      <c r="AG1236" s="133"/>
      <c r="AI1236" s="96"/>
      <c r="AL1236" s="64">
        <v>4.1740889499999998</v>
      </c>
      <c r="AM1236" s="56">
        <v>13.56000000000002</v>
      </c>
      <c r="AN1236" s="56">
        <v>15.479999999999981</v>
      </c>
      <c r="AO1236" s="62">
        <v>21.380000000000091</v>
      </c>
      <c r="AQ1236" s="64">
        <v>4.0818282833333326</v>
      </c>
      <c r="AR1236" s="56">
        <v>13.03999999999998</v>
      </c>
      <c r="AS1236" s="56">
        <v>14.42000000000014</v>
      </c>
      <c r="AT1236" s="62">
        <v>18.220000000000081</v>
      </c>
      <c r="AV1236" s="64">
        <v>3.7283338333333331</v>
      </c>
      <c r="AW1236" s="56">
        <v>12.78000000000006</v>
      </c>
      <c r="AX1236" s="56">
        <v>14.179999999999991</v>
      </c>
      <c r="AY1236" s="62">
        <v>18.72000000000007</v>
      </c>
      <c r="BA1236" s="64">
        <v>3.1843735500000001</v>
      </c>
      <c r="BB1236" s="56">
        <v>15.7</v>
      </c>
      <c r="BC1236" s="56">
        <v>18.100000000000001</v>
      </c>
      <c r="BD1236" s="62">
        <v>29.860000000000039</v>
      </c>
      <c r="BF1236" s="64">
        <v>2.9072429</v>
      </c>
      <c r="BG1236" s="56">
        <v>19.600000000000058</v>
      </c>
      <c r="BH1236" s="56">
        <v>26.100000000000009</v>
      </c>
      <c r="BI1236" s="62">
        <v>56.00000000000005</v>
      </c>
      <c r="BJ1236" s="70"/>
      <c r="BK1236" s="51"/>
    </row>
    <row r="1237" spans="1:63" x14ac:dyDescent="0.4">
      <c r="A1237" s="147" t="s">
        <v>1314</v>
      </c>
      <c r="G1237" s="147" t="s">
        <v>1314</v>
      </c>
      <c r="H1237" s="159">
        <v>69.924999999999997</v>
      </c>
      <c r="I1237" s="153">
        <v>70.290000000000006</v>
      </c>
      <c r="J1237" s="153">
        <v>70.400000000000006</v>
      </c>
      <c r="K1237" s="153">
        <v>70.3</v>
      </c>
      <c r="L1237" s="153">
        <v>70.28</v>
      </c>
      <c r="M1237" s="80">
        <f t="shared" si="38"/>
        <v>70.400000000000006</v>
      </c>
      <c r="N1237" s="80">
        <f t="shared" si="39"/>
        <v>70.28</v>
      </c>
      <c r="O1237" s="153">
        <v>21.15</v>
      </c>
      <c r="P1237" s="153">
        <v>21.1</v>
      </c>
      <c r="Q1237" s="153">
        <v>21.16</v>
      </c>
      <c r="R1237" s="153">
        <v>21.04</v>
      </c>
      <c r="S1237" s="4"/>
      <c r="U1237" s="147" t="s">
        <v>1314</v>
      </c>
      <c r="V1237" s="11"/>
      <c r="W1237" s="4"/>
      <c r="X1237" s="12"/>
      <c r="Y1237" s="14"/>
      <c r="Z1237" s="4"/>
      <c r="AA1237" s="13"/>
      <c r="AB1237" s="11"/>
      <c r="AC1237" s="4"/>
      <c r="AD1237" s="12"/>
      <c r="AE1237" s="13"/>
      <c r="AF1237" s="14">
        <v>5.0065</v>
      </c>
      <c r="AG1237" s="133"/>
      <c r="AI1237" s="96"/>
      <c r="AL1237" s="64">
        <v>4.1751378333333333</v>
      </c>
      <c r="AM1237" s="56">
        <v>13.879999999999979</v>
      </c>
      <c r="AN1237" s="56">
        <v>15.859999999999991</v>
      </c>
      <c r="AO1237" s="62">
        <v>21.77999999999987</v>
      </c>
      <c r="AQ1237" s="64">
        <v>4.0822875333333339</v>
      </c>
      <c r="AR1237" s="56">
        <v>13.56000000000002</v>
      </c>
      <c r="AS1237" s="56">
        <v>15.000000000000041</v>
      </c>
      <c r="AT1237" s="62">
        <v>18.900000000000009</v>
      </c>
      <c r="AV1237" s="64">
        <v>3.7301526166666661</v>
      </c>
      <c r="AW1237" s="56">
        <v>13.26000000000001</v>
      </c>
      <c r="AX1237" s="56">
        <v>14.74000000000002</v>
      </c>
      <c r="AY1237" s="62">
        <v>19.379999999999949</v>
      </c>
      <c r="BA1237" s="64">
        <v>3.1846427333333329</v>
      </c>
      <c r="BB1237" s="56">
        <v>15.839999999999939</v>
      </c>
      <c r="BC1237" s="56">
        <v>18.259999999999991</v>
      </c>
      <c r="BD1237" s="62">
        <v>29.999999999999979</v>
      </c>
      <c r="BF1237" s="64">
        <v>2.896243483333333</v>
      </c>
      <c r="BG1237" s="56">
        <v>19.859999999999989</v>
      </c>
      <c r="BH1237" s="56">
        <v>26.41999999999998</v>
      </c>
      <c r="BI1237" s="62">
        <v>58.060000000000038</v>
      </c>
      <c r="BJ1237" s="70"/>
      <c r="BK1237" s="51"/>
    </row>
    <row r="1238" spans="1:63" x14ac:dyDescent="0.4">
      <c r="A1238" s="147" t="s">
        <v>1315</v>
      </c>
      <c r="G1238" s="147" t="s">
        <v>1315</v>
      </c>
      <c r="H1238" s="159">
        <v>69.971999999999994</v>
      </c>
      <c r="I1238" s="153">
        <v>70.349999999999994</v>
      </c>
      <c r="J1238" s="153">
        <v>70.37</v>
      </c>
      <c r="K1238" s="153">
        <v>70.27</v>
      </c>
      <c r="L1238" s="153">
        <v>70.36</v>
      </c>
      <c r="M1238" s="80">
        <f t="shared" si="38"/>
        <v>70.37</v>
      </c>
      <c r="N1238" s="80">
        <f t="shared" si="39"/>
        <v>70.27</v>
      </c>
      <c r="O1238" s="153">
        <v>21.19</v>
      </c>
      <c r="P1238" s="153">
        <v>21.05</v>
      </c>
      <c r="Q1238" s="153">
        <v>21.16</v>
      </c>
      <c r="R1238" s="153">
        <v>21.09</v>
      </c>
      <c r="S1238" s="4"/>
      <c r="U1238" s="147" t="s">
        <v>1315</v>
      </c>
      <c r="V1238" s="11"/>
      <c r="W1238" s="4"/>
      <c r="X1238" s="12"/>
      <c r="Y1238" s="14"/>
      <c r="Z1238" s="4"/>
      <c r="AA1238" s="13"/>
      <c r="AB1238" s="11"/>
      <c r="AC1238" s="4"/>
      <c r="AD1238" s="12"/>
      <c r="AE1238" s="13"/>
      <c r="AF1238" s="14">
        <v>5.0079000000000002</v>
      </c>
      <c r="AG1238" s="133"/>
      <c r="AI1238" s="96"/>
      <c r="AL1238" s="64">
        <v>4.174573633333333</v>
      </c>
      <c r="AM1238" s="56">
        <v>13.439999999999941</v>
      </c>
      <c r="AN1238" s="56">
        <v>15.38000000000004</v>
      </c>
      <c r="AO1238" s="62">
        <v>21.279999999999969</v>
      </c>
      <c r="AQ1238" s="64">
        <v>4.0825598833333334</v>
      </c>
      <c r="AR1238" s="56">
        <v>13.18000000000001</v>
      </c>
      <c r="AS1238" s="56">
        <v>14.620000000000029</v>
      </c>
      <c r="AT1238" s="62">
        <v>18.460000000000051</v>
      </c>
      <c r="AV1238" s="64">
        <v>3.730546383333333</v>
      </c>
      <c r="AW1238" s="56">
        <v>12.88</v>
      </c>
      <c r="AX1238" s="56">
        <v>14.360000000000021</v>
      </c>
      <c r="AY1238" s="62">
        <v>18.919999999999959</v>
      </c>
      <c r="BA1238" s="64">
        <v>3.185464266666667</v>
      </c>
      <c r="BB1238" s="56">
        <v>15.60000000000006</v>
      </c>
      <c r="BC1238" s="56">
        <v>18.00000000000006</v>
      </c>
      <c r="BD1238" s="62">
        <v>29.70000000000006</v>
      </c>
      <c r="BF1238" s="64">
        <v>2.90036615</v>
      </c>
      <c r="BG1238" s="56">
        <v>19.439999999999991</v>
      </c>
      <c r="BH1238" s="56">
        <v>25.939999999999941</v>
      </c>
      <c r="BI1238" s="62">
        <v>56.759999999999962</v>
      </c>
      <c r="BJ1238" s="70"/>
      <c r="BK1238" s="51"/>
    </row>
    <row r="1239" spans="1:63" x14ac:dyDescent="0.4">
      <c r="A1239" s="147" t="s">
        <v>1316</v>
      </c>
      <c r="G1239" s="147" t="s">
        <v>1316</v>
      </c>
      <c r="H1239" s="159">
        <v>70.045000000000002</v>
      </c>
      <c r="I1239" s="153">
        <v>70.34</v>
      </c>
      <c r="J1239" s="153">
        <v>70.28</v>
      </c>
      <c r="K1239" s="153">
        <v>70.290000000000006</v>
      </c>
      <c r="L1239" s="153">
        <v>70.34</v>
      </c>
      <c r="M1239" s="80">
        <f t="shared" si="38"/>
        <v>70.34</v>
      </c>
      <c r="N1239" s="80">
        <f t="shared" si="39"/>
        <v>70.28</v>
      </c>
      <c r="O1239" s="153">
        <v>21.14</v>
      </c>
      <c r="P1239" s="153">
        <v>21.13</v>
      </c>
      <c r="Q1239" s="153">
        <v>21.14</v>
      </c>
      <c r="R1239" s="153">
        <v>21.08</v>
      </c>
      <c r="S1239" s="4"/>
      <c r="U1239" s="147" t="s">
        <v>1316</v>
      </c>
      <c r="V1239" s="11"/>
      <c r="W1239" s="4"/>
      <c r="X1239" s="12"/>
      <c r="Y1239" s="14"/>
      <c r="Z1239" s="4"/>
      <c r="AA1239" s="13"/>
      <c r="AB1239" s="11"/>
      <c r="AC1239" s="4"/>
      <c r="AD1239" s="12"/>
      <c r="AE1239" s="13"/>
      <c r="AF1239" s="14">
        <v>4.9949000000000003</v>
      </c>
      <c r="AG1239" s="133"/>
      <c r="AI1239" s="96"/>
      <c r="AL1239" s="64">
        <v>4.1749289833333334</v>
      </c>
      <c r="AM1239" s="56">
        <v>13.18000000000001</v>
      </c>
      <c r="AN1239" s="56">
        <v>15.08000000000003</v>
      </c>
      <c r="AO1239" s="62">
        <v>20.940000000000051</v>
      </c>
      <c r="AQ1239" s="64">
        <v>4.0833386000000003</v>
      </c>
      <c r="AR1239" s="56">
        <v>12.78000000000006</v>
      </c>
      <c r="AS1239" s="56">
        <v>14.179999999999991</v>
      </c>
      <c r="AT1239" s="62">
        <v>17.920000000000069</v>
      </c>
      <c r="AV1239" s="64">
        <v>3.7308951999999991</v>
      </c>
      <c r="AW1239" s="56">
        <v>12.46</v>
      </c>
      <c r="AX1239" s="56">
        <v>13.859999999999941</v>
      </c>
      <c r="AY1239" s="62">
        <v>18.339999999999979</v>
      </c>
      <c r="BA1239" s="64">
        <v>3.1872011499999999</v>
      </c>
      <c r="BB1239" s="56">
        <v>15.28</v>
      </c>
      <c r="BC1239" s="56">
        <v>17.659999999999961</v>
      </c>
      <c r="BD1239" s="62">
        <v>29.180000000000032</v>
      </c>
      <c r="BF1239" s="64">
        <v>2.902098183333333</v>
      </c>
      <c r="BG1239" s="56">
        <v>19.25999999999997</v>
      </c>
      <c r="BH1239" s="56">
        <v>25.740000000000052</v>
      </c>
      <c r="BI1239" s="62">
        <v>56.48</v>
      </c>
      <c r="BJ1239" s="70"/>
      <c r="BK1239" s="51"/>
    </row>
    <row r="1240" spans="1:63" x14ac:dyDescent="0.4">
      <c r="A1240" s="147" t="s">
        <v>1317</v>
      </c>
      <c r="G1240" s="147" t="s">
        <v>1317</v>
      </c>
      <c r="H1240" s="159">
        <v>69.92</v>
      </c>
      <c r="I1240" s="153">
        <v>70.31</v>
      </c>
      <c r="J1240" s="153">
        <v>70.39</v>
      </c>
      <c r="K1240" s="153">
        <v>70.38</v>
      </c>
      <c r="L1240" s="153">
        <v>70.400000000000006</v>
      </c>
      <c r="M1240" s="80">
        <f t="shared" si="38"/>
        <v>70.400000000000006</v>
      </c>
      <c r="N1240" s="80">
        <f t="shared" si="39"/>
        <v>70.31</v>
      </c>
      <c r="O1240" s="153">
        <v>21.18</v>
      </c>
      <c r="P1240" s="153">
        <v>21.12</v>
      </c>
      <c r="Q1240" s="153">
        <v>21.16</v>
      </c>
      <c r="R1240" s="153">
        <v>21.03</v>
      </c>
      <c r="S1240" s="4"/>
      <c r="U1240" s="147" t="s">
        <v>1317</v>
      </c>
      <c r="V1240" s="11"/>
      <c r="W1240" s="4"/>
      <c r="X1240" s="12"/>
      <c r="Y1240" s="14"/>
      <c r="Z1240" s="4"/>
      <c r="AA1240" s="13"/>
      <c r="AB1240" s="11"/>
      <c r="AC1240" s="4"/>
      <c r="AD1240" s="12"/>
      <c r="AE1240" s="13"/>
      <c r="AF1240" s="14">
        <v>5.0037000000000003</v>
      </c>
      <c r="AG1240" s="133"/>
      <c r="AI1240" s="96"/>
      <c r="AL1240" s="64">
        <v>4.1740694833333336</v>
      </c>
      <c r="AM1240" s="56">
        <v>14.160000000000039</v>
      </c>
      <c r="AN1240" s="56">
        <v>16.14000000000004</v>
      </c>
      <c r="AO1240" s="62">
        <v>21.840000000000082</v>
      </c>
      <c r="AQ1240" s="64">
        <v>4.0816366666666664</v>
      </c>
      <c r="AR1240" s="56">
        <v>13.73999999999995</v>
      </c>
      <c r="AS1240" s="56">
        <v>15.240000000000011</v>
      </c>
      <c r="AT1240" s="62">
        <v>19.25999999999997</v>
      </c>
      <c r="AV1240" s="64">
        <v>3.7291586999999988</v>
      </c>
      <c r="AW1240" s="56">
        <v>13.100000000000019</v>
      </c>
      <c r="AX1240" s="56">
        <v>14.580000000000039</v>
      </c>
      <c r="AY1240" s="62">
        <v>19.200000000000021</v>
      </c>
      <c r="BA1240" s="64">
        <v>3.1843208999999999</v>
      </c>
      <c r="BB1240" s="56">
        <v>15.54000000000002</v>
      </c>
      <c r="BC1240" s="56">
        <v>17.999999999999972</v>
      </c>
      <c r="BD1240" s="62">
        <v>29.740000000000059</v>
      </c>
      <c r="BF1240" s="64">
        <v>2.9100534166666669</v>
      </c>
      <c r="BG1240" s="56">
        <v>19.620000000000019</v>
      </c>
      <c r="BH1240" s="56">
        <v>26.29999999999999</v>
      </c>
      <c r="BI1240" s="62">
        <v>56.71999999999997</v>
      </c>
      <c r="BJ1240" s="70"/>
      <c r="BK1240" s="51"/>
    </row>
    <row r="1241" spans="1:63" x14ac:dyDescent="0.4">
      <c r="A1241" s="147" t="s">
        <v>1318</v>
      </c>
      <c r="G1241" s="147" t="s">
        <v>1318</v>
      </c>
      <c r="H1241" s="159">
        <v>70.066000000000003</v>
      </c>
      <c r="I1241" s="153">
        <v>70.3</v>
      </c>
      <c r="J1241" s="153">
        <v>70.400000000000006</v>
      </c>
      <c r="K1241" s="153">
        <v>70.33</v>
      </c>
      <c r="L1241" s="153">
        <v>70.319999999999993</v>
      </c>
      <c r="M1241" s="80">
        <f t="shared" si="38"/>
        <v>70.400000000000006</v>
      </c>
      <c r="N1241" s="80">
        <f t="shared" si="39"/>
        <v>70.3</v>
      </c>
      <c r="O1241" s="153">
        <v>21.19</v>
      </c>
      <c r="P1241" s="153">
        <v>21.13</v>
      </c>
      <c r="Q1241" s="153">
        <v>21.11</v>
      </c>
      <c r="R1241" s="153">
        <v>21.07</v>
      </c>
      <c r="S1241" s="4"/>
      <c r="U1241" s="147" t="s">
        <v>1318</v>
      </c>
      <c r="V1241" s="11"/>
      <c r="W1241" s="4"/>
      <c r="X1241" s="12"/>
      <c r="Y1241" s="14"/>
      <c r="Z1241" s="4"/>
      <c r="AA1241" s="13"/>
      <c r="AB1241" s="11"/>
      <c r="AC1241" s="4"/>
      <c r="AD1241" s="12"/>
      <c r="AE1241" s="13"/>
      <c r="AF1241" s="14">
        <v>5.0141</v>
      </c>
      <c r="AG1241" s="133"/>
      <c r="AI1241" s="96"/>
      <c r="AL1241" s="64">
        <v>4.1737012</v>
      </c>
      <c r="AM1241" s="56">
        <v>13.27999999999996</v>
      </c>
      <c r="AN1241" s="56">
        <v>15.21999999999988</v>
      </c>
      <c r="AO1241" s="62">
        <v>21.13999999999994</v>
      </c>
      <c r="AQ1241" s="64">
        <v>4.081781133333334</v>
      </c>
      <c r="AR1241" s="56">
        <v>12.90000000000013</v>
      </c>
      <c r="AS1241" s="56">
        <v>14.280000000000109</v>
      </c>
      <c r="AT1241" s="62">
        <v>18.060000000000102</v>
      </c>
      <c r="AV1241" s="64">
        <v>3.7280972499999998</v>
      </c>
      <c r="AW1241" s="56">
        <v>12.60000000000003</v>
      </c>
      <c r="AX1241" s="56">
        <v>14.02000000000001</v>
      </c>
      <c r="AY1241" s="62">
        <v>18.52</v>
      </c>
      <c r="BA1241" s="64">
        <v>3.1836084333333341</v>
      </c>
      <c r="BB1241" s="56">
        <v>15.16000000000002</v>
      </c>
      <c r="BC1241" s="56">
        <v>17.539999999999981</v>
      </c>
      <c r="BD1241" s="62">
        <v>29.199999999999982</v>
      </c>
      <c r="BF1241" s="64">
        <v>2.9063186833333341</v>
      </c>
      <c r="BG1241" s="56">
        <v>19.120000000000029</v>
      </c>
      <c r="BH1241" s="56">
        <v>25.499999999999989</v>
      </c>
      <c r="BI1241" s="62">
        <v>55.620000000000047</v>
      </c>
      <c r="BJ1241" s="70"/>
      <c r="BK1241" s="51"/>
    </row>
    <row r="1242" spans="1:63" x14ac:dyDescent="0.4">
      <c r="A1242" s="147" t="s">
        <v>1319</v>
      </c>
      <c r="G1242" s="147" t="s">
        <v>1319</v>
      </c>
      <c r="H1242" s="159">
        <v>69.968000000000004</v>
      </c>
      <c r="I1242" s="153">
        <v>70.28</v>
      </c>
      <c r="J1242" s="153">
        <v>70.28</v>
      </c>
      <c r="K1242" s="153">
        <v>70.36</v>
      </c>
      <c r="L1242" s="153">
        <v>70.33</v>
      </c>
      <c r="M1242" s="80">
        <f t="shared" si="38"/>
        <v>70.36</v>
      </c>
      <c r="N1242" s="80">
        <f t="shared" si="39"/>
        <v>70.28</v>
      </c>
      <c r="O1242" s="153">
        <v>21.21</v>
      </c>
      <c r="P1242" s="153">
        <v>21.09</v>
      </c>
      <c r="Q1242" s="153">
        <v>21.11</v>
      </c>
      <c r="R1242" s="153">
        <v>21.08</v>
      </c>
      <c r="S1242" s="4"/>
      <c r="U1242" s="147" t="s">
        <v>1319</v>
      </c>
      <c r="V1242" s="11"/>
      <c r="W1242" s="4"/>
      <c r="X1242" s="12"/>
      <c r="Y1242" s="14"/>
      <c r="Z1242" s="4"/>
      <c r="AA1242" s="13"/>
      <c r="AB1242" s="11"/>
      <c r="AC1242" s="4"/>
      <c r="AD1242" s="12"/>
      <c r="AE1242" s="13"/>
      <c r="AF1242" s="14">
        <v>5.0102000000000002</v>
      </c>
      <c r="AG1242" s="133"/>
      <c r="AI1242" s="96"/>
      <c r="AL1242" s="64">
        <v>4.1746261333333328</v>
      </c>
      <c r="AM1242" s="56">
        <v>13.13999999999993</v>
      </c>
      <c r="AN1242" s="56">
        <v>15.059999999999899</v>
      </c>
      <c r="AO1242" s="62">
        <v>20.96</v>
      </c>
      <c r="AQ1242" s="64">
        <v>4.0833397666666666</v>
      </c>
      <c r="AR1242" s="56">
        <v>12.90000000000013</v>
      </c>
      <c r="AS1242" s="56">
        <v>14.30000000000007</v>
      </c>
      <c r="AT1242" s="62">
        <v>18.080000000000052</v>
      </c>
      <c r="AV1242" s="64">
        <v>3.7311375666666668</v>
      </c>
      <c r="AW1242" s="56">
        <v>12.63999999999994</v>
      </c>
      <c r="AX1242" s="56">
        <v>14.079999999999959</v>
      </c>
      <c r="AY1242" s="62">
        <v>18.599999999999991</v>
      </c>
      <c r="BA1242" s="64">
        <v>3.1886985166666668</v>
      </c>
      <c r="BB1242" s="56">
        <v>15.240000000000011</v>
      </c>
      <c r="BC1242" s="56">
        <v>17.619999999999969</v>
      </c>
      <c r="BD1242" s="62">
        <v>29.11999999999999</v>
      </c>
      <c r="BF1242" s="64">
        <v>2.8954815666666671</v>
      </c>
      <c r="BG1242" s="56">
        <v>19.059999999999992</v>
      </c>
      <c r="BH1242" s="56">
        <v>25.780000000000051</v>
      </c>
      <c r="BI1242" s="62">
        <v>57.720000000000027</v>
      </c>
      <c r="BJ1242" s="70"/>
      <c r="BK1242" s="51"/>
    </row>
    <row r="1243" spans="1:63" x14ac:dyDescent="0.4">
      <c r="A1243" s="147" t="s">
        <v>1320</v>
      </c>
      <c r="G1243" s="147" t="s">
        <v>1320</v>
      </c>
      <c r="H1243" s="159">
        <v>70.004999999999995</v>
      </c>
      <c r="I1243" s="153">
        <v>70.3</v>
      </c>
      <c r="J1243" s="153">
        <v>70.349999999999994</v>
      </c>
      <c r="K1243" s="153">
        <v>70.3</v>
      </c>
      <c r="L1243" s="153">
        <v>70.349999999999994</v>
      </c>
      <c r="M1243" s="80">
        <f t="shared" si="38"/>
        <v>70.349999999999994</v>
      </c>
      <c r="N1243" s="80">
        <f t="shared" si="39"/>
        <v>70.3</v>
      </c>
      <c r="O1243" s="153">
        <v>21.12</v>
      </c>
      <c r="P1243" s="153">
        <v>21.03</v>
      </c>
      <c r="Q1243" s="153">
        <v>21.12</v>
      </c>
      <c r="R1243" s="153">
        <v>21.07</v>
      </c>
      <c r="S1243" s="4"/>
      <c r="U1243" s="147" t="s">
        <v>1320</v>
      </c>
      <c r="V1243" s="11"/>
      <c r="W1243" s="4"/>
      <c r="X1243" s="12"/>
      <c r="Y1243" s="14"/>
      <c r="Z1243" s="4"/>
      <c r="AA1243" s="13"/>
      <c r="AB1243" s="11"/>
      <c r="AC1243" s="4"/>
      <c r="AD1243" s="12"/>
      <c r="AE1243" s="13"/>
      <c r="AF1243" s="14">
        <v>5.0179999999999998</v>
      </c>
      <c r="AG1243" s="133"/>
      <c r="AI1243" s="96"/>
      <c r="AL1243" s="64">
        <v>4.1743014000000001</v>
      </c>
      <c r="AM1243" s="56">
        <v>13.26000000000001</v>
      </c>
      <c r="AN1243" s="56">
        <v>15.21999999999988</v>
      </c>
      <c r="AO1243" s="62">
        <v>21.15999999999989</v>
      </c>
      <c r="AQ1243" s="64">
        <v>4.0829001000000016</v>
      </c>
      <c r="AR1243" s="56">
        <v>13.320000000000039</v>
      </c>
      <c r="AS1243" s="56">
        <v>14.74000000000011</v>
      </c>
      <c r="AT1243" s="62">
        <v>18.580000000000041</v>
      </c>
      <c r="AV1243" s="64">
        <v>3.7307157333333332</v>
      </c>
      <c r="AW1243" s="56">
        <v>13.079999999999981</v>
      </c>
      <c r="AX1243" s="56">
        <v>14.56</v>
      </c>
      <c r="AY1243" s="62">
        <v>19.179999999999971</v>
      </c>
      <c r="BA1243" s="64">
        <v>3.1870731833333341</v>
      </c>
      <c r="BB1243" s="56">
        <v>15.63999999999997</v>
      </c>
      <c r="BC1243" s="56">
        <v>18.079999999999959</v>
      </c>
      <c r="BD1243" s="62">
        <v>29.699999999999971</v>
      </c>
      <c r="BF1243" s="64">
        <v>2.8943081166666671</v>
      </c>
      <c r="BG1243" s="56">
        <v>19.659999999999918</v>
      </c>
      <c r="BH1243" s="56">
        <v>26.19999999999996</v>
      </c>
      <c r="BI1243" s="62">
        <v>58.05999999999996</v>
      </c>
      <c r="BJ1243" s="70"/>
      <c r="BK1243" s="51"/>
    </row>
    <row r="1244" spans="1:63" x14ac:dyDescent="0.4">
      <c r="A1244" s="147" t="s">
        <v>1321</v>
      </c>
      <c r="G1244" s="147" t="s">
        <v>1321</v>
      </c>
      <c r="H1244" s="159">
        <v>69.834000000000003</v>
      </c>
      <c r="I1244" s="153">
        <v>70.319999999999993</v>
      </c>
      <c r="J1244" s="153">
        <v>70.38</v>
      </c>
      <c r="K1244" s="153">
        <v>70.38</v>
      </c>
      <c r="L1244" s="153">
        <v>70.33</v>
      </c>
      <c r="M1244" s="80">
        <f t="shared" si="38"/>
        <v>70.38</v>
      </c>
      <c r="N1244" s="80">
        <f t="shared" si="39"/>
        <v>70.319999999999993</v>
      </c>
      <c r="O1244" s="153">
        <v>21.22</v>
      </c>
      <c r="P1244" s="153">
        <v>21.14</v>
      </c>
      <c r="Q1244" s="153">
        <v>21.17</v>
      </c>
      <c r="R1244" s="153">
        <v>21.1</v>
      </c>
      <c r="S1244" s="4"/>
      <c r="U1244" s="147" t="s">
        <v>1321</v>
      </c>
      <c r="V1244" s="11"/>
      <c r="W1244" s="4"/>
      <c r="X1244" s="12"/>
      <c r="Y1244" s="14"/>
      <c r="Z1244" s="4"/>
      <c r="AA1244" s="13"/>
      <c r="AB1244" s="11"/>
      <c r="AC1244" s="4"/>
      <c r="AD1244" s="12"/>
      <c r="AE1244" s="13"/>
      <c r="AF1244" s="14">
        <v>4.9926000000000004</v>
      </c>
      <c r="AG1244" s="133"/>
      <c r="AI1244" s="96"/>
      <c r="AL1244" s="64">
        <v>4.1744509666666669</v>
      </c>
      <c r="AM1244" s="56">
        <v>13.2200000000001</v>
      </c>
      <c r="AN1244" s="56">
        <v>15.10000000000016</v>
      </c>
      <c r="AO1244" s="62">
        <v>20.940000000000051</v>
      </c>
      <c r="AQ1244" s="64">
        <v>4.0828946333333347</v>
      </c>
      <c r="AR1244" s="56">
        <v>12.78000000000006</v>
      </c>
      <c r="AS1244" s="56">
        <v>14.160000000000039</v>
      </c>
      <c r="AT1244" s="62">
        <v>17.900000000000119</v>
      </c>
      <c r="AV1244" s="64">
        <v>3.7305500166666672</v>
      </c>
      <c r="AW1244" s="56">
        <v>12.47999999999996</v>
      </c>
      <c r="AX1244" s="56">
        <v>13.859999999999941</v>
      </c>
      <c r="AY1244" s="62">
        <v>18.339999999999979</v>
      </c>
      <c r="BA1244" s="64">
        <v>3.18772805</v>
      </c>
      <c r="BB1244" s="56">
        <v>15.41999999999994</v>
      </c>
      <c r="BC1244" s="56">
        <v>17.79999999999999</v>
      </c>
      <c r="BD1244" s="62">
        <v>29.300000000000011</v>
      </c>
      <c r="BF1244" s="64">
        <v>2.8938292833333339</v>
      </c>
      <c r="BG1244" s="56">
        <v>19.640000000000061</v>
      </c>
      <c r="BH1244" s="56">
        <v>26.960000000000051</v>
      </c>
      <c r="BI1244" s="62">
        <v>59.820000000000029</v>
      </c>
      <c r="BJ1244" s="70"/>
      <c r="BK1244" s="51"/>
    </row>
    <row r="1245" spans="1:63" x14ac:dyDescent="0.4">
      <c r="A1245" s="147" t="s">
        <v>1322</v>
      </c>
      <c r="G1245" s="147" t="s">
        <v>1322</v>
      </c>
      <c r="H1245" s="159">
        <v>69.873000000000005</v>
      </c>
      <c r="I1245" s="153">
        <v>70.319999999999993</v>
      </c>
      <c r="J1245" s="153">
        <v>70.319999999999993</v>
      </c>
      <c r="K1245" s="153">
        <v>70.37</v>
      </c>
      <c r="L1245" s="153">
        <v>70.31</v>
      </c>
      <c r="M1245" s="80">
        <f t="shared" si="38"/>
        <v>70.37</v>
      </c>
      <c r="N1245" s="80">
        <f t="shared" si="39"/>
        <v>70.31</v>
      </c>
      <c r="O1245" s="153">
        <v>21.16</v>
      </c>
      <c r="P1245" s="153">
        <v>21.15</v>
      </c>
      <c r="Q1245" s="153">
        <v>21.15</v>
      </c>
      <c r="R1245" s="153">
        <v>21.06</v>
      </c>
      <c r="S1245" s="4"/>
      <c r="U1245" s="147" t="s">
        <v>1322</v>
      </c>
      <c r="V1245" s="11"/>
      <c r="W1245" s="4"/>
      <c r="X1245" s="12"/>
      <c r="Y1245" s="14"/>
      <c r="Z1245" s="4"/>
      <c r="AA1245" s="13"/>
      <c r="AB1245" s="11"/>
      <c r="AC1245" s="4"/>
      <c r="AD1245" s="12"/>
      <c r="AE1245" s="13"/>
      <c r="AF1245" s="14">
        <v>4.9950999999999999</v>
      </c>
      <c r="AG1245" s="133"/>
      <c r="AI1245" s="96"/>
      <c r="AL1245" s="64">
        <v>4.1737604499999996</v>
      </c>
      <c r="AM1245" s="56">
        <v>13.44000000000012</v>
      </c>
      <c r="AN1245" s="56">
        <v>15.38000000000004</v>
      </c>
      <c r="AO1245" s="62">
        <v>21.34</v>
      </c>
      <c r="AQ1245" s="64">
        <v>4.0834866166666668</v>
      </c>
      <c r="AR1245" s="56">
        <v>13.29999999999991</v>
      </c>
      <c r="AS1245" s="56">
        <v>14.700000000000021</v>
      </c>
      <c r="AT1245" s="62">
        <v>18.559999999999999</v>
      </c>
      <c r="AV1245" s="64">
        <v>3.7293985166666661</v>
      </c>
      <c r="AW1245" s="56">
        <v>13.05999999999994</v>
      </c>
      <c r="AX1245" s="56">
        <v>14.539999999999949</v>
      </c>
      <c r="AY1245" s="62">
        <v>19.119999999999941</v>
      </c>
      <c r="BA1245" s="64">
        <v>3.1832269333333332</v>
      </c>
      <c r="BB1245" s="56">
        <v>15.7</v>
      </c>
      <c r="BC1245" s="56">
        <v>18.15999999999995</v>
      </c>
      <c r="BD1245" s="62">
        <v>30.100000000000019</v>
      </c>
      <c r="BF1245" s="64">
        <v>2.911930616666667</v>
      </c>
      <c r="BG1245" s="56">
        <v>19.640000000000061</v>
      </c>
      <c r="BH1245" s="56">
        <v>26.039999999999971</v>
      </c>
      <c r="BI1245" s="62">
        <v>55.919999999999973</v>
      </c>
      <c r="BJ1245" s="70"/>
      <c r="BK1245" s="51"/>
    </row>
    <row r="1246" spans="1:63" x14ac:dyDescent="0.4">
      <c r="A1246" s="147" t="s">
        <v>1323</v>
      </c>
      <c r="G1246" s="147" t="s">
        <v>1323</v>
      </c>
      <c r="H1246" s="159">
        <v>69.992000000000004</v>
      </c>
      <c r="I1246" s="153">
        <v>70.3</v>
      </c>
      <c r="J1246" s="153">
        <v>70.28</v>
      </c>
      <c r="K1246" s="153">
        <v>70.33</v>
      </c>
      <c r="L1246" s="153">
        <v>70.33</v>
      </c>
      <c r="M1246" s="80">
        <f t="shared" si="38"/>
        <v>70.33</v>
      </c>
      <c r="N1246" s="80">
        <f t="shared" si="39"/>
        <v>70.28</v>
      </c>
      <c r="O1246" s="153">
        <v>21.2</v>
      </c>
      <c r="P1246" s="153">
        <v>21.16</v>
      </c>
      <c r="Q1246" s="153">
        <v>21.14</v>
      </c>
      <c r="R1246" s="153">
        <v>21.08</v>
      </c>
      <c r="S1246" s="4"/>
      <c r="U1246" s="147" t="s">
        <v>1323</v>
      </c>
      <c r="V1246" s="11"/>
      <c r="W1246" s="4"/>
      <c r="X1246" s="12"/>
      <c r="Y1246" s="14"/>
      <c r="Z1246" s="4"/>
      <c r="AA1246" s="13"/>
      <c r="AB1246" s="11"/>
      <c r="AC1246" s="4"/>
      <c r="AD1246" s="12"/>
      <c r="AE1246" s="13"/>
      <c r="AF1246" s="14">
        <v>5.0030000000000001</v>
      </c>
      <c r="AG1246" s="133"/>
      <c r="AI1246" s="96"/>
      <c r="AL1246" s="64">
        <v>4.1739155166666668</v>
      </c>
      <c r="AM1246" s="56">
        <v>12.919999999999909</v>
      </c>
      <c r="AN1246" s="56">
        <v>14.799999999999971</v>
      </c>
      <c r="AO1246" s="62">
        <v>20.679999999999939</v>
      </c>
      <c r="AQ1246" s="64">
        <v>4.0840871833333328</v>
      </c>
      <c r="AR1246" s="56">
        <v>12.80000000000001</v>
      </c>
      <c r="AS1246" s="56">
        <v>14.20000000000012</v>
      </c>
      <c r="AT1246" s="62">
        <v>17.960000000000061</v>
      </c>
      <c r="AV1246" s="64">
        <v>3.7302692999999998</v>
      </c>
      <c r="AW1246" s="56">
        <v>12.56000000000004</v>
      </c>
      <c r="AX1246" s="56">
        <v>13.980000000000009</v>
      </c>
      <c r="AY1246" s="62">
        <v>18.50000000000005</v>
      </c>
      <c r="BA1246" s="64">
        <v>3.1845651333333329</v>
      </c>
      <c r="BB1246" s="56">
        <v>15.28</v>
      </c>
      <c r="BC1246" s="56">
        <v>17.68000000000001</v>
      </c>
      <c r="BD1246" s="62">
        <v>29.42</v>
      </c>
      <c r="BF1246" s="64">
        <v>2.9088559666666671</v>
      </c>
      <c r="BG1246" s="56">
        <v>19.100000000000069</v>
      </c>
      <c r="BH1246" s="56">
        <v>25.580000000000069</v>
      </c>
      <c r="BI1246" s="62">
        <v>55.64</v>
      </c>
      <c r="BJ1246" s="70"/>
      <c r="BK1246" s="51"/>
    </row>
    <row r="1247" spans="1:63" x14ac:dyDescent="0.4">
      <c r="A1247" s="147" t="s">
        <v>1324</v>
      </c>
      <c r="G1247" s="147" t="s">
        <v>1324</v>
      </c>
      <c r="H1247" s="159">
        <v>69.966999999999999</v>
      </c>
      <c r="I1247" s="153">
        <v>70.38</v>
      </c>
      <c r="J1247" s="153">
        <v>70.3</v>
      </c>
      <c r="K1247" s="153">
        <v>70.319999999999993</v>
      </c>
      <c r="L1247" s="153">
        <v>70.38</v>
      </c>
      <c r="M1247" s="80">
        <f t="shared" si="38"/>
        <v>70.38</v>
      </c>
      <c r="N1247" s="80">
        <f t="shared" si="39"/>
        <v>70.3</v>
      </c>
      <c r="O1247" s="153">
        <v>21.17</v>
      </c>
      <c r="P1247" s="153">
        <v>21.08</v>
      </c>
      <c r="Q1247" s="153">
        <v>21.1</v>
      </c>
      <c r="R1247" s="153">
        <v>21.08</v>
      </c>
      <c r="S1247" s="4"/>
      <c r="U1247" s="147" t="s">
        <v>1324</v>
      </c>
      <c r="V1247" s="11"/>
      <c r="W1247" s="4"/>
      <c r="X1247" s="12"/>
      <c r="Y1247" s="14"/>
      <c r="Z1247" s="4"/>
      <c r="AA1247" s="13"/>
      <c r="AB1247" s="11"/>
      <c r="AC1247" s="4"/>
      <c r="AD1247" s="12"/>
      <c r="AE1247" s="13"/>
      <c r="AF1247" s="14">
        <v>4.9987000000000004</v>
      </c>
      <c r="AG1247" s="133"/>
      <c r="AI1247" s="96"/>
      <c r="AL1247" s="64">
        <v>4.1743528833333334</v>
      </c>
      <c r="AM1247" s="56">
        <v>13.100000000000019</v>
      </c>
      <c r="AN1247" s="56">
        <v>15.019999999999991</v>
      </c>
      <c r="AO1247" s="62">
        <v>20.86000000000006</v>
      </c>
      <c r="AQ1247" s="64">
        <v>4.0837082166666674</v>
      </c>
      <c r="AR1247" s="56">
        <v>12.860000000000049</v>
      </c>
      <c r="AS1247" s="56">
        <v>14.24000000000003</v>
      </c>
      <c r="AT1247" s="62">
        <v>18.00000000000006</v>
      </c>
      <c r="AV1247" s="64">
        <v>3.7314949999999998</v>
      </c>
      <c r="AW1247" s="56">
        <v>12.54</v>
      </c>
      <c r="AX1247" s="56">
        <v>13.93999999999993</v>
      </c>
      <c r="AY1247" s="62">
        <v>18.379999999999971</v>
      </c>
      <c r="BA1247" s="64">
        <v>3.1861633</v>
      </c>
      <c r="BB1247" s="56">
        <v>14.94</v>
      </c>
      <c r="BC1247" s="56">
        <v>17.279999999999959</v>
      </c>
      <c r="BD1247" s="62">
        <v>28.77999999999998</v>
      </c>
      <c r="BF1247" s="64">
        <v>2.9012024666666671</v>
      </c>
      <c r="BG1247" s="56">
        <v>18.87999999999996</v>
      </c>
      <c r="BH1247" s="56">
        <v>25.279999999999969</v>
      </c>
      <c r="BI1247" s="62">
        <v>56.219999999999978</v>
      </c>
      <c r="BJ1247" s="70"/>
      <c r="BK1247" s="51"/>
    </row>
    <row r="1248" spans="1:63" x14ac:dyDescent="0.4">
      <c r="A1248" s="147" t="s">
        <v>1325</v>
      </c>
      <c r="G1248" s="147" t="s">
        <v>1325</v>
      </c>
      <c r="H1248" s="159">
        <v>69.998999999999995</v>
      </c>
      <c r="I1248" s="153">
        <v>70.38</v>
      </c>
      <c r="J1248" s="153">
        <v>70.319999999999993</v>
      </c>
      <c r="K1248" s="153">
        <v>70.33</v>
      </c>
      <c r="L1248" s="153">
        <v>70.31</v>
      </c>
      <c r="M1248" s="80">
        <f t="shared" si="38"/>
        <v>70.38</v>
      </c>
      <c r="N1248" s="80">
        <f t="shared" si="39"/>
        <v>70.31</v>
      </c>
      <c r="O1248" s="153">
        <v>21.09</v>
      </c>
      <c r="P1248" s="153">
        <v>21.16</v>
      </c>
      <c r="Q1248" s="153">
        <v>21.11</v>
      </c>
      <c r="R1248" s="153">
        <v>21.07</v>
      </c>
      <c r="S1248" s="4"/>
      <c r="U1248" s="147" t="s">
        <v>1325</v>
      </c>
      <c r="V1248" s="11"/>
      <c r="W1248" s="4"/>
      <c r="X1248" s="12"/>
      <c r="Y1248" s="14"/>
      <c r="Z1248" s="4"/>
      <c r="AA1248" s="13"/>
      <c r="AB1248" s="11"/>
      <c r="AC1248" s="4"/>
      <c r="AD1248" s="12"/>
      <c r="AE1248" s="13"/>
      <c r="AF1248" s="14">
        <v>4.9992000000000001</v>
      </c>
      <c r="AG1248" s="133"/>
      <c r="AI1248" s="96"/>
      <c r="AL1248" s="64">
        <v>4.1739555833333339</v>
      </c>
      <c r="AM1248" s="56">
        <v>13.72</v>
      </c>
      <c r="AN1248" s="56">
        <v>15.65999999999992</v>
      </c>
      <c r="AO1248" s="62">
        <v>21.539999999999889</v>
      </c>
      <c r="AQ1248" s="64">
        <v>4.0817661999999997</v>
      </c>
      <c r="AR1248" s="56">
        <v>13.140000000000111</v>
      </c>
      <c r="AS1248" s="56">
        <v>14.56</v>
      </c>
      <c r="AT1248" s="62">
        <v>18.380000000000059</v>
      </c>
      <c r="AV1248" s="64">
        <v>3.728663216666666</v>
      </c>
      <c r="AW1248" s="56">
        <v>12.760000000000019</v>
      </c>
      <c r="AX1248" s="56">
        <v>14.19999999999995</v>
      </c>
      <c r="AY1248" s="62">
        <v>18.719999999999981</v>
      </c>
      <c r="BA1248" s="64">
        <v>3.1810142166666671</v>
      </c>
      <c r="BB1248" s="56">
        <v>15.42000000000003</v>
      </c>
      <c r="BC1248" s="56">
        <v>17.820000000000039</v>
      </c>
      <c r="BD1248" s="62">
        <v>29.540000000000081</v>
      </c>
      <c r="BF1248" s="64">
        <v>2.899727566666666</v>
      </c>
      <c r="BG1248" s="56">
        <v>19.299999999999962</v>
      </c>
      <c r="BH1248" s="56">
        <v>25.72000000000001</v>
      </c>
      <c r="BI1248" s="62">
        <v>56.48</v>
      </c>
      <c r="BJ1248" s="70"/>
      <c r="BK1248" s="51"/>
    </row>
    <row r="1249" spans="1:63" x14ac:dyDescent="0.4">
      <c r="A1249" s="147" t="s">
        <v>1326</v>
      </c>
      <c r="G1249" s="147" t="s">
        <v>1326</v>
      </c>
      <c r="H1249" s="159">
        <v>70.061999999999998</v>
      </c>
      <c r="I1249" s="153">
        <v>70.39</v>
      </c>
      <c r="J1249" s="153">
        <v>70.290000000000006</v>
      </c>
      <c r="K1249" s="153">
        <v>70.39</v>
      </c>
      <c r="L1249" s="153">
        <v>70.36</v>
      </c>
      <c r="M1249" s="80">
        <f t="shared" si="38"/>
        <v>70.39</v>
      </c>
      <c r="N1249" s="80">
        <f t="shared" si="39"/>
        <v>70.290000000000006</v>
      </c>
      <c r="O1249" s="153">
        <v>21.19</v>
      </c>
      <c r="P1249" s="153">
        <v>21.16</v>
      </c>
      <c r="Q1249" s="153">
        <v>21.15</v>
      </c>
      <c r="R1249" s="153">
        <v>21.06</v>
      </c>
      <c r="S1249" s="4"/>
      <c r="U1249" s="147" t="s">
        <v>1326</v>
      </c>
      <c r="V1249" s="11"/>
      <c r="W1249" s="4"/>
      <c r="X1249" s="12"/>
      <c r="Y1249" s="14"/>
      <c r="Z1249" s="4"/>
      <c r="AA1249" s="13"/>
      <c r="AB1249" s="11"/>
      <c r="AC1249" s="4"/>
      <c r="AD1249" s="12"/>
      <c r="AE1249" s="13"/>
      <c r="AF1249" s="14">
        <v>5.0025000000000004</v>
      </c>
      <c r="AG1249" s="133"/>
      <c r="AI1249" s="96"/>
      <c r="AL1249" s="64">
        <v>4.1741622833333336</v>
      </c>
      <c r="AM1249" s="56">
        <v>13.44000000000012</v>
      </c>
      <c r="AN1249" s="56">
        <v>15.360000000000079</v>
      </c>
      <c r="AO1249" s="62">
        <v>21.279999999999969</v>
      </c>
      <c r="AQ1249" s="64">
        <v>4.0823024833333346</v>
      </c>
      <c r="AR1249" s="56">
        <v>13.24000000000005</v>
      </c>
      <c r="AS1249" s="56">
        <v>14.65999999999994</v>
      </c>
      <c r="AT1249" s="62">
        <v>18.50000000000005</v>
      </c>
      <c r="AV1249" s="64">
        <v>3.7299010500000001</v>
      </c>
      <c r="AW1249" s="56">
        <v>12.98000000000004</v>
      </c>
      <c r="AX1249" s="56">
        <v>14.45999999999996</v>
      </c>
      <c r="AY1249" s="62">
        <v>19.040000000000031</v>
      </c>
      <c r="BA1249" s="64">
        <v>3.184478533333333</v>
      </c>
      <c r="BB1249" s="56">
        <v>15.51999999999998</v>
      </c>
      <c r="BC1249" s="56">
        <v>17.91999999999998</v>
      </c>
      <c r="BD1249" s="62">
        <v>29.579999999999981</v>
      </c>
      <c r="BF1249" s="64">
        <v>2.89827295</v>
      </c>
      <c r="BG1249" s="56">
        <v>19.47999999999999</v>
      </c>
      <c r="BH1249" s="56">
        <v>25.999999999999979</v>
      </c>
      <c r="BI1249" s="62">
        <v>57.30000000000004</v>
      </c>
      <c r="BJ1249" s="70"/>
      <c r="BK1249" s="51"/>
    </row>
    <row r="1250" spans="1:63" x14ac:dyDescent="0.4">
      <c r="A1250" s="147" t="s">
        <v>1327</v>
      </c>
      <c r="G1250" s="147" t="s">
        <v>1327</v>
      </c>
      <c r="H1250" s="159">
        <v>69.882999999999996</v>
      </c>
      <c r="I1250" s="153">
        <v>70.34</v>
      </c>
      <c r="J1250" s="153">
        <v>70.27</v>
      </c>
      <c r="K1250" s="153">
        <v>70.33</v>
      </c>
      <c r="L1250" s="153">
        <v>70.319999999999993</v>
      </c>
      <c r="M1250" s="80">
        <f t="shared" si="38"/>
        <v>70.34</v>
      </c>
      <c r="N1250" s="80">
        <f t="shared" si="39"/>
        <v>70.27</v>
      </c>
      <c r="O1250" s="153">
        <v>21.18</v>
      </c>
      <c r="P1250" s="153">
        <v>21.03</v>
      </c>
      <c r="Q1250" s="153">
        <v>21.11</v>
      </c>
      <c r="R1250" s="153">
        <v>21</v>
      </c>
      <c r="S1250" s="4"/>
      <c r="U1250" s="147" t="s">
        <v>1327</v>
      </c>
      <c r="V1250" s="11"/>
      <c r="W1250" s="4"/>
      <c r="X1250" s="12"/>
      <c r="Y1250" s="14"/>
      <c r="Z1250" s="4"/>
      <c r="AA1250" s="13"/>
      <c r="AB1250" s="11"/>
      <c r="AC1250" s="4"/>
      <c r="AD1250" s="12"/>
      <c r="AE1250" s="13"/>
      <c r="AF1250" s="14">
        <v>4.9932999999999996</v>
      </c>
      <c r="AG1250" s="133"/>
      <c r="AI1250" s="96"/>
      <c r="AL1250" s="64">
        <v>4.1740308166666669</v>
      </c>
      <c r="AM1250" s="56">
        <v>13.419999999999989</v>
      </c>
      <c r="AN1250" s="56">
        <v>15.32</v>
      </c>
      <c r="AO1250" s="62">
        <v>21.160000000000071</v>
      </c>
      <c r="AQ1250" s="64">
        <v>4.0810944666666664</v>
      </c>
      <c r="AR1250" s="56">
        <v>12.70000000000007</v>
      </c>
      <c r="AS1250" s="56">
        <v>14.060000000000089</v>
      </c>
      <c r="AT1250" s="62">
        <v>17.78000000000004</v>
      </c>
      <c r="AV1250" s="64">
        <v>3.7279371333333331</v>
      </c>
      <c r="AW1250" s="56">
        <v>12.340000000000019</v>
      </c>
      <c r="AX1250" s="56">
        <v>13.740000000000039</v>
      </c>
      <c r="AY1250" s="62">
        <v>18.160000000000039</v>
      </c>
      <c r="BA1250" s="64">
        <v>3.1836233000000012</v>
      </c>
      <c r="BB1250" s="56">
        <v>14.780000000000021</v>
      </c>
      <c r="BC1250" s="56">
        <v>17.11999999999998</v>
      </c>
      <c r="BD1250" s="62">
        <v>28.66</v>
      </c>
      <c r="BF1250" s="64">
        <v>2.9052286166666672</v>
      </c>
      <c r="BG1250" s="56">
        <v>18.579999999999949</v>
      </c>
      <c r="BH1250" s="56">
        <v>25.22000000000002</v>
      </c>
      <c r="BI1250" s="62">
        <v>55.539999999999957</v>
      </c>
      <c r="BJ1250" s="70"/>
      <c r="BK1250" s="51"/>
    </row>
    <row r="1251" spans="1:63" x14ac:dyDescent="0.4">
      <c r="A1251" s="147" t="s">
        <v>1328</v>
      </c>
      <c r="G1251" s="147" t="s">
        <v>1328</v>
      </c>
      <c r="H1251" s="159">
        <v>69.977999999999994</v>
      </c>
      <c r="I1251" s="153">
        <v>70.290000000000006</v>
      </c>
      <c r="J1251" s="153">
        <v>70.36</v>
      </c>
      <c r="K1251" s="153">
        <v>70.400000000000006</v>
      </c>
      <c r="L1251" s="153">
        <v>70.34</v>
      </c>
      <c r="M1251" s="80">
        <f t="shared" si="38"/>
        <v>70.400000000000006</v>
      </c>
      <c r="N1251" s="80">
        <f t="shared" si="39"/>
        <v>70.290000000000006</v>
      </c>
      <c r="O1251" s="153">
        <v>21.06</v>
      </c>
      <c r="P1251" s="153">
        <v>21.07</v>
      </c>
      <c r="Q1251" s="153">
        <v>21.16</v>
      </c>
      <c r="R1251" s="153">
        <v>21.12</v>
      </c>
      <c r="S1251" s="4"/>
      <c r="U1251" s="147" t="s">
        <v>1328</v>
      </c>
      <c r="V1251" s="11"/>
      <c r="W1251" s="4"/>
      <c r="X1251" s="12"/>
      <c r="Y1251" s="14"/>
      <c r="Z1251" s="4"/>
      <c r="AA1251" s="13"/>
      <c r="AB1251" s="11"/>
      <c r="AC1251" s="4"/>
      <c r="AD1251" s="12"/>
      <c r="AE1251" s="13"/>
      <c r="AF1251" s="14">
        <v>5.0019</v>
      </c>
      <c r="AG1251" s="133"/>
      <c r="AI1251" s="96"/>
      <c r="AL1251" s="64">
        <v>4.1738215666666667</v>
      </c>
      <c r="AM1251" s="56">
        <v>13.219999999999921</v>
      </c>
      <c r="AN1251" s="56">
        <v>15.140000000000059</v>
      </c>
      <c r="AO1251" s="62">
        <v>20.979999999999951</v>
      </c>
      <c r="AQ1251" s="64">
        <v>4.082659200000001</v>
      </c>
      <c r="AR1251" s="56">
        <v>13.24000000000005</v>
      </c>
      <c r="AS1251" s="56">
        <v>14.63999999999999</v>
      </c>
      <c r="AT1251" s="62">
        <v>18.459999999999969</v>
      </c>
      <c r="AV1251" s="64">
        <v>3.7287536999999999</v>
      </c>
      <c r="AW1251" s="56">
        <v>13.019999999999939</v>
      </c>
      <c r="AX1251" s="56">
        <v>14.499999999999959</v>
      </c>
      <c r="AY1251" s="62">
        <v>19.079999999999941</v>
      </c>
      <c r="BA1251" s="64">
        <v>3.1823732166666669</v>
      </c>
      <c r="BB1251" s="56">
        <v>15.30000000000005</v>
      </c>
      <c r="BC1251" s="56">
        <v>17.700000000000049</v>
      </c>
      <c r="BD1251" s="62">
        <v>29.48000000000004</v>
      </c>
      <c r="BF1251" s="64">
        <v>2.9100481166666659</v>
      </c>
      <c r="BG1251" s="56">
        <v>19.059999999999992</v>
      </c>
      <c r="BH1251" s="56">
        <v>25.44000000000004</v>
      </c>
      <c r="BI1251" s="62">
        <v>55.240000000000038</v>
      </c>
      <c r="BJ1251" s="70"/>
      <c r="BK1251" s="51"/>
    </row>
    <row r="1252" spans="1:63" x14ac:dyDescent="0.4">
      <c r="A1252" s="147" t="s">
        <v>1329</v>
      </c>
      <c r="G1252" s="147" t="s">
        <v>1329</v>
      </c>
      <c r="H1252" s="159">
        <v>69.983999999999995</v>
      </c>
      <c r="I1252" s="153">
        <v>70.36</v>
      </c>
      <c r="J1252" s="153">
        <v>70.28</v>
      </c>
      <c r="K1252" s="153">
        <v>70.319999999999993</v>
      </c>
      <c r="L1252" s="153">
        <v>70.290000000000006</v>
      </c>
      <c r="M1252" s="80">
        <f t="shared" si="38"/>
        <v>70.36</v>
      </c>
      <c r="N1252" s="80">
        <f t="shared" si="39"/>
        <v>70.28</v>
      </c>
      <c r="O1252" s="153">
        <v>21.09</v>
      </c>
      <c r="P1252" s="153">
        <v>21.1</v>
      </c>
      <c r="Q1252" s="153">
        <v>21.13</v>
      </c>
      <c r="R1252" s="153">
        <v>21.08</v>
      </c>
      <c r="S1252" s="4"/>
      <c r="U1252" s="147" t="s">
        <v>1329</v>
      </c>
      <c r="V1252" s="11"/>
      <c r="W1252" s="4"/>
      <c r="X1252" s="12"/>
      <c r="Y1252" s="14"/>
      <c r="Z1252" s="4"/>
      <c r="AA1252" s="13"/>
      <c r="AB1252" s="11"/>
      <c r="AC1252" s="4"/>
      <c r="AD1252" s="12"/>
      <c r="AE1252" s="13"/>
      <c r="AF1252" s="14">
        <v>4.9969000000000001</v>
      </c>
      <c r="AG1252" s="133"/>
      <c r="AI1252" s="96"/>
      <c r="AL1252" s="64">
        <v>4.1748358166666666</v>
      </c>
      <c r="AM1252" s="56">
        <v>13.74000000000013</v>
      </c>
      <c r="AN1252" s="56">
        <v>15.680000000000049</v>
      </c>
      <c r="AO1252" s="62">
        <v>21.640000000000011</v>
      </c>
      <c r="AQ1252" s="64">
        <v>4.0816869333333328</v>
      </c>
      <c r="AR1252" s="56">
        <v>13.27999999999996</v>
      </c>
      <c r="AS1252" s="56">
        <v>14.69999999999985</v>
      </c>
      <c r="AT1252" s="62">
        <v>18.55999999999991</v>
      </c>
      <c r="AV1252" s="64">
        <v>3.7295484000000001</v>
      </c>
      <c r="AW1252" s="56">
        <v>13.02000000000003</v>
      </c>
      <c r="AX1252" s="56">
        <v>14.48</v>
      </c>
      <c r="AY1252" s="62">
        <v>19.08000000000003</v>
      </c>
      <c r="BA1252" s="64">
        <v>3.1854651999999999</v>
      </c>
      <c r="BB1252" s="56">
        <v>15.7</v>
      </c>
      <c r="BC1252" s="56">
        <v>18.100000000000001</v>
      </c>
      <c r="BD1252" s="62">
        <v>29.72000000000001</v>
      </c>
      <c r="BF1252" s="64">
        <v>2.8973177333333329</v>
      </c>
      <c r="BG1252" s="56">
        <v>19.760000000000041</v>
      </c>
      <c r="BH1252" s="56">
        <v>26.29999999999999</v>
      </c>
      <c r="BI1252" s="62">
        <v>57.460000000000022</v>
      </c>
      <c r="BJ1252" s="70"/>
      <c r="BK1252" s="51"/>
    </row>
    <row r="1253" spans="1:63" x14ac:dyDescent="0.4">
      <c r="A1253" s="147" t="s">
        <v>1330</v>
      </c>
      <c r="G1253" s="147" t="s">
        <v>1330</v>
      </c>
      <c r="H1253" s="159">
        <v>69.864000000000004</v>
      </c>
      <c r="I1253" s="153">
        <v>70.349999999999994</v>
      </c>
      <c r="J1253" s="153">
        <v>70.39</v>
      </c>
      <c r="K1253" s="153">
        <v>70.36</v>
      </c>
      <c r="L1253" s="153">
        <v>70.28</v>
      </c>
      <c r="M1253" s="80">
        <f t="shared" si="38"/>
        <v>70.39</v>
      </c>
      <c r="N1253" s="80">
        <f t="shared" si="39"/>
        <v>70.28</v>
      </c>
      <c r="O1253" s="153">
        <v>21.21</v>
      </c>
      <c r="P1253" s="153">
        <v>21.07</v>
      </c>
      <c r="Q1253" s="153">
        <v>21.16</v>
      </c>
      <c r="R1253" s="153">
        <v>21.09</v>
      </c>
      <c r="S1253" s="4"/>
      <c r="U1253" s="147" t="s">
        <v>1330</v>
      </c>
      <c r="V1253" s="11"/>
      <c r="W1253" s="4"/>
      <c r="X1253" s="12"/>
      <c r="Y1253" s="14"/>
      <c r="Z1253" s="4"/>
      <c r="AA1253" s="13"/>
      <c r="AB1253" s="11"/>
      <c r="AC1253" s="4"/>
      <c r="AD1253" s="12"/>
      <c r="AE1253" s="13"/>
      <c r="AF1253" s="14">
        <v>5.0056000000000003</v>
      </c>
      <c r="AG1253" s="133"/>
      <c r="AI1253" s="96"/>
      <c r="AL1253" s="64">
        <v>4.1742970000000001</v>
      </c>
      <c r="AM1253" s="56">
        <v>14.03999999999996</v>
      </c>
      <c r="AN1253" s="56">
        <v>16.039999999999921</v>
      </c>
      <c r="AO1253" s="62">
        <v>22.020000000000021</v>
      </c>
      <c r="AQ1253" s="64">
        <v>4.0816530666666662</v>
      </c>
      <c r="AR1253" s="56">
        <v>13.659999999999959</v>
      </c>
      <c r="AS1253" s="56">
        <v>15.09999999999998</v>
      </c>
      <c r="AT1253" s="62">
        <v>18.979999999999912</v>
      </c>
      <c r="AV1253" s="64">
        <v>3.7292667666666661</v>
      </c>
      <c r="AW1253" s="56">
        <v>13.239999999999959</v>
      </c>
      <c r="AX1253" s="56">
        <v>14.739999999999929</v>
      </c>
      <c r="AY1253" s="62">
        <v>19.36</v>
      </c>
      <c r="BA1253" s="64">
        <v>3.1842074666666669</v>
      </c>
      <c r="BB1253" s="56">
        <v>15.62000000000001</v>
      </c>
      <c r="BC1253" s="56">
        <v>18.060000000000009</v>
      </c>
      <c r="BD1253" s="62">
        <v>29.760000000000009</v>
      </c>
      <c r="BF1253" s="64">
        <v>2.9019981499999998</v>
      </c>
      <c r="BG1253" s="56">
        <v>19.559999999999981</v>
      </c>
      <c r="BH1253" s="56">
        <v>25.85999999999995</v>
      </c>
      <c r="BI1253" s="62">
        <v>56.319999999999922</v>
      </c>
      <c r="BJ1253" s="70"/>
      <c r="BK1253" s="51"/>
    </row>
    <row r="1254" spans="1:63" x14ac:dyDescent="0.4">
      <c r="A1254" s="147" t="s">
        <v>1331</v>
      </c>
      <c r="G1254" s="147" t="s">
        <v>1331</v>
      </c>
      <c r="H1254" s="159">
        <v>69.872</v>
      </c>
      <c r="I1254" s="153">
        <v>70.319999999999993</v>
      </c>
      <c r="J1254" s="153">
        <v>70.34</v>
      </c>
      <c r="K1254" s="153">
        <v>70.319999999999993</v>
      </c>
      <c r="L1254" s="153">
        <v>70.38</v>
      </c>
      <c r="M1254" s="80">
        <f t="shared" si="38"/>
        <v>70.38</v>
      </c>
      <c r="N1254" s="80">
        <f t="shared" si="39"/>
        <v>70.319999999999993</v>
      </c>
      <c r="O1254" s="153">
        <v>21.16</v>
      </c>
      <c r="P1254" s="153">
        <v>21.09</v>
      </c>
      <c r="Q1254" s="153">
        <v>21.17</v>
      </c>
      <c r="R1254" s="153">
        <v>20.98</v>
      </c>
      <c r="S1254" s="4"/>
      <c r="U1254" s="147" t="s">
        <v>1331</v>
      </c>
      <c r="V1254" s="11"/>
      <c r="W1254" s="4"/>
      <c r="X1254" s="12"/>
      <c r="Y1254" s="14"/>
      <c r="Z1254" s="4"/>
      <c r="AA1254" s="13"/>
      <c r="AB1254" s="11"/>
      <c r="AC1254" s="4"/>
      <c r="AD1254" s="12"/>
      <c r="AE1254" s="13"/>
      <c r="AF1254" s="14">
        <v>4.9947999999999997</v>
      </c>
      <c r="AG1254" s="133"/>
      <c r="AI1254" s="96"/>
      <c r="AL1254" s="64">
        <v>4.1739897333333333</v>
      </c>
      <c r="AM1254" s="56">
        <v>13.34</v>
      </c>
      <c r="AN1254" s="56">
        <v>15.26000000000014</v>
      </c>
      <c r="AO1254" s="62">
        <v>21.120000000000161</v>
      </c>
      <c r="AQ1254" s="64">
        <v>4.0819938833333342</v>
      </c>
      <c r="AR1254" s="56">
        <v>12.860000000000049</v>
      </c>
      <c r="AS1254" s="56">
        <v>14.24000000000003</v>
      </c>
      <c r="AT1254" s="62">
        <v>17.979999999999929</v>
      </c>
      <c r="AV1254" s="64">
        <v>3.729684483333334</v>
      </c>
      <c r="AW1254" s="56">
        <v>12.579999999999989</v>
      </c>
      <c r="AX1254" s="56">
        <v>13.99999999999997</v>
      </c>
      <c r="AY1254" s="62">
        <v>18.480000000000011</v>
      </c>
      <c r="BA1254" s="64">
        <v>3.1863665333333331</v>
      </c>
      <c r="BB1254" s="56">
        <v>15.460000000000029</v>
      </c>
      <c r="BC1254" s="56">
        <v>17.879999999999981</v>
      </c>
      <c r="BD1254" s="62">
        <v>29.499999999999989</v>
      </c>
      <c r="BF1254" s="64">
        <v>2.9041101999999999</v>
      </c>
      <c r="BG1254" s="56">
        <v>19.559999999999981</v>
      </c>
      <c r="BH1254" s="56">
        <v>26.41999999999998</v>
      </c>
      <c r="BI1254" s="62">
        <v>57.479999999999983</v>
      </c>
      <c r="BJ1254" s="70"/>
      <c r="BK1254" s="51"/>
    </row>
    <row r="1255" spans="1:63" x14ac:dyDescent="0.4">
      <c r="A1255" s="147" t="s">
        <v>1332</v>
      </c>
      <c r="G1255" s="147" t="s">
        <v>1332</v>
      </c>
      <c r="H1255" s="159">
        <v>69.984999999999999</v>
      </c>
      <c r="I1255" s="153">
        <v>70.38</v>
      </c>
      <c r="J1255" s="153">
        <v>70.349999999999994</v>
      </c>
      <c r="K1255" s="153">
        <v>70.319999999999993</v>
      </c>
      <c r="L1255" s="153">
        <v>70.3</v>
      </c>
      <c r="M1255" s="80">
        <f t="shared" si="38"/>
        <v>70.38</v>
      </c>
      <c r="N1255" s="80">
        <f t="shared" si="39"/>
        <v>70.3</v>
      </c>
      <c r="O1255" s="153">
        <v>21.13</v>
      </c>
      <c r="P1255" s="153">
        <v>21.05</v>
      </c>
      <c r="Q1255" s="153">
        <v>21.11</v>
      </c>
      <c r="R1255" s="153">
        <v>21.05</v>
      </c>
      <c r="S1255" s="4"/>
      <c r="U1255" s="147" t="s">
        <v>1332</v>
      </c>
      <c r="V1255" s="11"/>
      <c r="W1255" s="4"/>
      <c r="X1255" s="12"/>
      <c r="Y1255" s="14"/>
      <c r="Z1255" s="4"/>
      <c r="AA1255" s="13"/>
      <c r="AB1255" s="11"/>
      <c r="AC1255" s="4"/>
      <c r="AD1255" s="12"/>
      <c r="AE1255" s="13"/>
      <c r="AF1255" s="14">
        <v>4.9905999999999997</v>
      </c>
      <c r="AG1255" s="133"/>
      <c r="AI1255" s="96"/>
      <c r="AL1255" s="64">
        <v>4.1742252833333344</v>
      </c>
      <c r="AM1255" s="56">
        <v>13.320000000000039</v>
      </c>
      <c r="AN1255" s="56">
        <v>15.220000000000059</v>
      </c>
      <c r="AO1255" s="62">
        <v>21.11999999999998</v>
      </c>
      <c r="AQ1255" s="64">
        <v>4.0820751999999993</v>
      </c>
      <c r="AR1255" s="56">
        <v>12.819999999999959</v>
      </c>
      <c r="AS1255" s="56">
        <v>14.19999999999995</v>
      </c>
      <c r="AT1255" s="62">
        <v>17.979999999999929</v>
      </c>
      <c r="AV1255" s="64">
        <v>3.7279399666666659</v>
      </c>
      <c r="AW1255" s="56">
        <v>12.5</v>
      </c>
      <c r="AX1255" s="56">
        <v>13.920000000000069</v>
      </c>
      <c r="AY1255" s="62">
        <v>18.420000000000059</v>
      </c>
      <c r="BA1255" s="64">
        <v>3.1819638166666668</v>
      </c>
      <c r="BB1255" s="56">
        <v>15.259999999999961</v>
      </c>
      <c r="BC1255" s="56">
        <v>17.659999999999961</v>
      </c>
      <c r="BD1255" s="62">
        <v>29.399999999999959</v>
      </c>
      <c r="BF1255" s="64">
        <v>2.9077848833333331</v>
      </c>
      <c r="BG1255" s="56">
        <v>19.040000000000031</v>
      </c>
      <c r="BH1255" s="56">
        <v>25.44000000000004</v>
      </c>
      <c r="BI1255" s="62">
        <v>55.100000000000023</v>
      </c>
      <c r="BJ1255" s="70"/>
      <c r="BK1255" s="51"/>
    </row>
    <row r="1256" spans="1:63" x14ac:dyDescent="0.4">
      <c r="A1256" s="147" t="s">
        <v>1333</v>
      </c>
      <c r="G1256" s="147" t="s">
        <v>1333</v>
      </c>
      <c r="H1256" s="159">
        <v>69.95</v>
      </c>
      <c r="I1256" s="153">
        <v>70.28</v>
      </c>
      <c r="J1256" s="153">
        <v>70.319999999999993</v>
      </c>
      <c r="K1256" s="153">
        <v>70.319999999999993</v>
      </c>
      <c r="L1256" s="153">
        <v>70.36</v>
      </c>
      <c r="M1256" s="80">
        <f t="shared" si="38"/>
        <v>70.36</v>
      </c>
      <c r="N1256" s="80">
        <f t="shared" si="39"/>
        <v>70.28</v>
      </c>
      <c r="O1256" s="153">
        <v>21.14</v>
      </c>
      <c r="P1256" s="153">
        <v>21.08</v>
      </c>
      <c r="Q1256" s="153">
        <v>21.1</v>
      </c>
      <c r="R1256" s="153">
        <v>21</v>
      </c>
      <c r="S1256" s="4"/>
      <c r="U1256" s="147" t="s">
        <v>1333</v>
      </c>
      <c r="V1256" s="11"/>
      <c r="W1256" s="4"/>
      <c r="X1256" s="12"/>
      <c r="Y1256" s="14"/>
      <c r="Z1256" s="4"/>
      <c r="AA1256" s="13"/>
      <c r="AB1256" s="11"/>
      <c r="AC1256" s="4"/>
      <c r="AD1256" s="12"/>
      <c r="AE1256" s="13"/>
      <c r="AF1256" s="14">
        <v>4.9943999999999997</v>
      </c>
      <c r="AG1256" s="133"/>
      <c r="AI1256" s="96"/>
      <c r="AL1256" s="64">
        <v>4.1738098499999996</v>
      </c>
      <c r="AM1256" s="56">
        <v>13.79999999999999</v>
      </c>
      <c r="AN1256" s="56">
        <v>15.78</v>
      </c>
      <c r="AO1256" s="62">
        <v>21.8</v>
      </c>
      <c r="AQ1256" s="64">
        <v>4.0822977000000007</v>
      </c>
      <c r="AR1256" s="56">
        <v>13.72</v>
      </c>
      <c r="AS1256" s="56">
        <v>15.16000000000002</v>
      </c>
      <c r="AT1256" s="62">
        <v>19.08000000000003</v>
      </c>
      <c r="AV1256" s="64">
        <v>3.7287517500000011</v>
      </c>
      <c r="AW1256" s="56">
        <v>13.34</v>
      </c>
      <c r="AX1256" s="56">
        <v>14.839999999999961</v>
      </c>
      <c r="AY1256" s="62">
        <v>19.519999999999978</v>
      </c>
      <c r="BA1256" s="64">
        <v>3.1838819666666671</v>
      </c>
      <c r="BB1256" s="56">
        <v>15.899999999999981</v>
      </c>
      <c r="BC1256" s="56">
        <v>18.360000000000021</v>
      </c>
      <c r="BD1256" s="62">
        <v>30.26</v>
      </c>
      <c r="BF1256" s="64">
        <v>2.9091744500000001</v>
      </c>
      <c r="BG1256" s="56">
        <v>19.879999999999939</v>
      </c>
      <c r="BH1256" s="56">
        <v>26.339999999999989</v>
      </c>
      <c r="BI1256" s="62">
        <v>56.219999999999978</v>
      </c>
      <c r="BJ1256" s="70"/>
      <c r="BK1256" s="51"/>
    </row>
    <row r="1257" spans="1:63" x14ac:dyDescent="0.4">
      <c r="A1257" s="147" t="s">
        <v>1334</v>
      </c>
      <c r="G1257" s="147" t="s">
        <v>1334</v>
      </c>
      <c r="H1257" s="159">
        <v>69.888999999999996</v>
      </c>
      <c r="I1257" s="153">
        <v>70.36</v>
      </c>
      <c r="J1257" s="153">
        <v>70.28</v>
      </c>
      <c r="K1257" s="153">
        <v>70.319999999999993</v>
      </c>
      <c r="L1257" s="153">
        <v>70.290000000000006</v>
      </c>
      <c r="M1257" s="80">
        <f t="shared" si="38"/>
        <v>70.36</v>
      </c>
      <c r="N1257" s="80">
        <f t="shared" si="39"/>
        <v>70.28</v>
      </c>
      <c r="O1257" s="153">
        <v>21.15</v>
      </c>
      <c r="P1257" s="153">
        <v>21.12</v>
      </c>
      <c r="Q1257" s="153">
        <v>21.15</v>
      </c>
      <c r="R1257" s="153">
        <v>21.11</v>
      </c>
      <c r="S1257" s="4"/>
      <c r="U1257" s="147" t="s">
        <v>1334</v>
      </c>
      <c r="V1257" s="11"/>
      <c r="W1257" s="4"/>
      <c r="X1257" s="12"/>
      <c r="Y1257" s="14"/>
      <c r="Z1257" s="4"/>
      <c r="AA1257" s="13"/>
      <c r="AB1257" s="11"/>
      <c r="AC1257" s="4"/>
      <c r="AD1257" s="12"/>
      <c r="AE1257" s="13"/>
      <c r="AF1257" s="14">
        <v>4.992</v>
      </c>
      <c r="AG1257" s="133"/>
      <c r="AI1257" s="96"/>
      <c r="AL1257" s="64">
        <v>4.1751725666666664</v>
      </c>
      <c r="AM1257" s="56">
        <v>12.980000000000119</v>
      </c>
      <c r="AN1257" s="56">
        <v>14.880000000000139</v>
      </c>
      <c r="AO1257" s="62">
        <v>20.70000000000007</v>
      </c>
      <c r="AQ1257" s="64">
        <v>4.083999433333334</v>
      </c>
      <c r="AR1257" s="56">
        <v>12.63999999999985</v>
      </c>
      <c r="AS1257" s="56">
        <v>14.02000000000001</v>
      </c>
      <c r="AT1257" s="62">
        <v>17.759999999999909</v>
      </c>
      <c r="AV1257" s="64">
        <v>3.7317019166666681</v>
      </c>
      <c r="AW1257" s="56">
        <v>12.27999999999998</v>
      </c>
      <c r="AX1257" s="56">
        <v>13.659999999999959</v>
      </c>
      <c r="AY1257" s="62">
        <v>18.09999999999992</v>
      </c>
      <c r="BA1257" s="64">
        <v>3.1860640666666669</v>
      </c>
      <c r="BB1257" s="56">
        <v>14.48</v>
      </c>
      <c r="BC1257" s="56">
        <v>16.779999999999969</v>
      </c>
      <c r="BD1257" s="62">
        <v>28.24</v>
      </c>
      <c r="BF1257" s="64">
        <v>2.907001783333333</v>
      </c>
      <c r="BG1257" s="56">
        <v>18.24000000000003</v>
      </c>
      <c r="BH1257" s="56">
        <v>24.460000000000019</v>
      </c>
      <c r="BI1257" s="62">
        <v>54.459999999999987</v>
      </c>
      <c r="BJ1257" s="70"/>
      <c r="BK1257" s="51"/>
    </row>
    <row r="1258" spans="1:63" x14ac:dyDescent="0.4">
      <c r="A1258" s="147" t="s">
        <v>1335</v>
      </c>
      <c r="G1258" s="147" t="s">
        <v>1335</v>
      </c>
      <c r="H1258" s="159">
        <v>70.117999999999995</v>
      </c>
      <c r="I1258" s="153">
        <v>70.290000000000006</v>
      </c>
      <c r="J1258" s="153">
        <v>70.38</v>
      </c>
      <c r="K1258" s="153">
        <v>70.28</v>
      </c>
      <c r="L1258" s="153">
        <v>70.319999999999993</v>
      </c>
      <c r="M1258" s="80">
        <f t="shared" si="38"/>
        <v>70.38</v>
      </c>
      <c r="N1258" s="80">
        <f t="shared" si="39"/>
        <v>70.28</v>
      </c>
      <c r="O1258" s="153">
        <v>21.17</v>
      </c>
      <c r="P1258" s="153">
        <v>21.1</v>
      </c>
      <c r="Q1258" s="153">
        <v>21.17</v>
      </c>
      <c r="R1258" s="153">
        <v>21.04</v>
      </c>
      <c r="S1258" s="4"/>
      <c r="U1258" s="147" t="s">
        <v>1335</v>
      </c>
      <c r="V1258" s="11"/>
      <c r="W1258" s="4"/>
      <c r="X1258" s="12"/>
      <c r="Y1258" s="14"/>
      <c r="Z1258" s="4"/>
      <c r="AA1258" s="13"/>
      <c r="AB1258" s="11"/>
      <c r="AC1258" s="4"/>
      <c r="AD1258" s="12"/>
      <c r="AE1258" s="13"/>
      <c r="AF1258" s="14">
        <v>4.9969999999999999</v>
      </c>
      <c r="AG1258" s="133"/>
      <c r="AI1258" s="96"/>
      <c r="AL1258" s="64">
        <v>4.1744844333333333</v>
      </c>
      <c r="AM1258" s="56">
        <v>13.66000000000014</v>
      </c>
      <c r="AN1258" s="56">
        <v>15.62000000000001</v>
      </c>
      <c r="AO1258" s="62">
        <v>21.480000000000029</v>
      </c>
      <c r="AQ1258" s="64">
        <v>4.0830033999999991</v>
      </c>
      <c r="AR1258" s="56">
        <v>13.3799999999999</v>
      </c>
      <c r="AS1258" s="56">
        <v>14.799999999999971</v>
      </c>
      <c r="AT1258" s="62">
        <v>18.679999999999989</v>
      </c>
      <c r="AV1258" s="64">
        <v>3.7305425333333329</v>
      </c>
      <c r="AW1258" s="56">
        <v>12.899999999999959</v>
      </c>
      <c r="AX1258" s="56">
        <v>14.360000000000021</v>
      </c>
      <c r="AY1258" s="62">
        <v>18.919999999999959</v>
      </c>
      <c r="BA1258" s="64">
        <v>3.18527045</v>
      </c>
      <c r="BB1258" s="56">
        <v>15.439999999999991</v>
      </c>
      <c r="BC1258" s="56">
        <v>17.839999999999989</v>
      </c>
      <c r="BD1258" s="62">
        <v>29.499999999999989</v>
      </c>
      <c r="BF1258" s="64">
        <v>2.9062173333333332</v>
      </c>
      <c r="BG1258" s="56">
        <v>19.36</v>
      </c>
      <c r="BH1258" s="56">
        <v>25.699999999999971</v>
      </c>
      <c r="BI1258" s="62">
        <v>55.759999999999991</v>
      </c>
      <c r="BJ1258" s="70"/>
      <c r="BK1258" s="51"/>
    </row>
    <row r="1259" spans="1:63" x14ac:dyDescent="0.4">
      <c r="A1259" s="147" t="s">
        <v>1336</v>
      </c>
      <c r="G1259" s="147" t="s">
        <v>1336</v>
      </c>
      <c r="H1259" s="159">
        <v>69.924999999999997</v>
      </c>
      <c r="I1259" s="153">
        <v>70.290000000000006</v>
      </c>
      <c r="J1259" s="153">
        <v>70.38</v>
      </c>
      <c r="K1259" s="153">
        <v>70.34</v>
      </c>
      <c r="L1259" s="153">
        <v>70.3</v>
      </c>
      <c r="M1259" s="80">
        <f t="shared" si="38"/>
        <v>70.38</v>
      </c>
      <c r="N1259" s="80">
        <f t="shared" si="39"/>
        <v>70.290000000000006</v>
      </c>
      <c r="O1259" s="153">
        <v>21.16</v>
      </c>
      <c r="P1259" s="153">
        <v>21.09</v>
      </c>
      <c r="Q1259" s="153">
        <v>21.13</v>
      </c>
      <c r="R1259" s="153">
        <v>21.12</v>
      </c>
      <c r="S1259" s="4"/>
      <c r="U1259" s="147" t="s">
        <v>1336</v>
      </c>
      <c r="V1259" s="11"/>
      <c r="W1259" s="4"/>
      <c r="X1259" s="12"/>
      <c r="Y1259" s="14"/>
      <c r="Z1259" s="4"/>
      <c r="AA1259" s="13"/>
      <c r="AB1259" s="11"/>
      <c r="AC1259" s="4"/>
      <c r="AD1259" s="12"/>
      <c r="AE1259" s="13"/>
      <c r="AF1259" s="14">
        <v>4.9884000000000004</v>
      </c>
      <c r="AG1259" s="133"/>
      <c r="AI1259" s="96"/>
      <c r="AL1259" s="64">
        <v>4.1747263833333337</v>
      </c>
      <c r="AM1259" s="56">
        <v>13.61999999999988</v>
      </c>
      <c r="AN1259" s="56">
        <v>15.579999999999931</v>
      </c>
      <c r="AO1259" s="62">
        <v>21.56000000000002</v>
      </c>
      <c r="AQ1259" s="64">
        <v>4.0827763166666662</v>
      </c>
      <c r="AR1259" s="56">
        <v>13.400000000000031</v>
      </c>
      <c r="AS1259" s="56">
        <v>14.839999999999881</v>
      </c>
      <c r="AT1259" s="62">
        <v>18.739999999999931</v>
      </c>
      <c r="AV1259" s="64">
        <v>3.730645716666666</v>
      </c>
      <c r="AW1259" s="56">
        <v>13.080000000000069</v>
      </c>
      <c r="AX1259" s="56">
        <v>14.580000000000039</v>
      </c>
      <c r="AY1259" s="62">
        <v>19.18000000000006</v>
      </c>
      <c r="BA1259" s="64">
        <v>3.1858428000000001</v>
      </c>
      <c r="BB1259" s="56">
        <v>15.660000000000011</v>
      </c>
      <c r="BC1259" s="56">
        <v>18.080000000000052</v>
      </c>
      <c r="BD1259" s="62">
        <v>29.760000000000009</v>
      </c>
      <c r="BF1259" s="64">
        <v>2.8998361166666671</v>
      </c>
      <c r="BG1259" s="56">
        <v>19.58000000000002</v>
      </c>
      <c r="BH1259" s="56">
        <v>26.06000000000002</v>
      </c>
      <c r="BI1259" s="62">
        <v>56.97999999999999</v>
      </c>
      <c r="BJ1259" s="70"/>
      <c r="BK1259" s="51"/>
    </row>
    <row r="1260" spans="1:63" x14ac:dyDescent="0.4">
      <c r="A1260" s="147" t="s">
        <v>1337</v>
      </c>
      <c r="G1260" s="147" t="s">
        <v>1337</v>
      </c>
      <c r="H1260" s="159">
        <v>69.947999999999993</v>
      </c>
      <c r="I1260" s="153">
        <v>70.34</v>
      </c>
      <c r="J1260" s="153">
        <v>70.37</v>
      </c>
      <c r="K1260" s="153">
        <v>70.39</v>
      </c>
      <c r="L1260" s="153">
        <v>70.3</v>
      </c>
      <c r="M1260" s="80">
        <f t="shared" si="38"/>
        <v>70.39</v>
      </c>
      <c r="N1260" s="80">
        <f t="shared" si="39"/>
        <v>70.3</v>
      </c>
      <c r="O1260" s="153">
        <v>21.21</v>
      </c>
      <c r="P1260" s="153">
        <v>21.14</v>
      </c>
      <c r="Q1260" s="153">
        <v>21.15</v>
      </c>
      <c r="R1260" s="153">
        <v>21.1</v>
      </c>
      <c r="S1260" s="4"/>
      <c r="U1260" s="147" t="s">
        <v>1337</v>
      </c>
      <c r="V1260" s="11"/>
      <c r="W1260" s="4"/>
      <c r="X1260" s="12"/>
      <c r="Y1260" s="14"/>
      <c r="Z1260" s="4"/>
      <c r="AA1260" s="13"/>
      <c r="AB1260" s="11"/>
      <c r="AC1260" s="4"/>
      <c r="AD1260" s="12"/>
      <c r="AE1260" s="13"/>
      <c r="AF1260" s="14">
        <v>5.0079000000000002</v>
      </c>
      <c r="AG1260" s="133"/>
      <c r="AI1260" s="96"/>
      <c r="AL1260" s="64">
        <v>4.1737297166666663</v>
      </c>
      <c r="AM1260" s="56">
        <v>14.36000000000011</v>
      </c>
      <c r="AN1260" s="56">
        <v>16.34000000000011</v>
      </c>
      <c r="AO1260" s="62">
        <v>22.280000000000118</v>
      </c>
      <c r="AQ1260" s="64">
        <v>4.0824953166666651</v>
      </c>
      <c r="AR1260" s="56">
        <v>14.00000000000006</v>
      </c>
      <c r="AS1260" s="56">
        <v>15.50000000000011</v>
      </c>
      <c r="AT1260" s="62">
        <v>19.54000000000002</v>
      </c>
      <c r="AV1260" s="64">
        <v>3.730476883333333</v>
      </c>
      <c r="AW1260" s="56">
        <v>13.439999999999941</v>
      </c>
      <c r="AX1260" s="56">
        <v>14.959999999999949</v>
      </c>
      <c r="AY1260" s="62">
        <v>19.620000000000019</v>
      </c>
      <c r="BA1260" s="64">
        <v>3.1859557166666672</v>
      </c>
      <c r="BB1260" s="56">
        <v>15.64000000000005</v>
      </c>
      <c r="BC1260" s="56">
        <v>18.080000000000052</v>
      </c>
      <c r="BD1260" s="62">
        <v>29.8</v>
      </c>
      <c r="BF1260" s="64">
        <v>2.9104987000000002</v>
      </c>
      <c r="BG1260" s="56">
        <v>19.559999999999981</v>
      </c>
      <c r="BH1260" s="56">
        <v>26.22</v>
      </c>
      <c r="BI1260" s="62">
        <v>56.48</v>
      </c>
      <c r="BJ1260" s="70"/>
      <c r="BK1260" s="51"/>
    </row>
    <row r="1261" spans="1:63" x14ac:dyDescent="0.4">
      <c r="A1261" s="147" t="s">
        <v>1338</v>
      </c>
      <c r="G1261" s="147" t="s">
        <v>1338</v>
      </c>
      <c r="H1261" s="159">
        <v>70.004000000000005</v>
      </c>
      <c r="I1261" s="153">
        <v>70.39</v>
      </c>
      <c r="J1261" s="153">
        <v>70.39</v>
      </c>
      <c r="K1261" s="153">
        <v>70.39</v>
      </c>
      <c r="L1261" s="153">
        <v>70.349999999999994</v>
      </c>
      <c r="M1261" s="80">
        <f t="shared" si="38"/>
        <v>70.39</v>
      </c>
      <c r="N1261" s="80">
        <f t="shared" si="39"/>
        <v>70.349999999999994</v>
      </c>
      <c r="O1261" s="153">
        <v>21.16</v>
      </c>
      <c r="P1261" s="153">
        <v>21.16</v>
      </c>
      <c r="Q1261" s="153">
        <v>21.15</v>
      </c>
      <c r="R1261" s="153">
        <v>21.05</v>
      </c>
      <c r="S1261" s="4"/>
      <c r="U1261" s="147" t="s">
        <v>1338</v>
      </c>
      <c r="V1261" s="11"/>
      <c r="W1261" s="4"/>
      <c r="X1261" s="12"/>
      <c r="Y1261" s="14"/>
      <c r="Z1261" s="4"/>
      <c r="AA1261" s="13"/>
      <c r="AB1261" s="11"/>
      <c r="AC1261" s="4"/>
      <c r="AD1261" s="12"/>
      <c r="AE1261" s="13"/>
      <c r="AF1261" s="14">
        <v>4.9946999999999999</v>
      </c>
      <c r="AG1261" s="133"/>
      <c r="AI1261" s="96"/>
      <c r="AL1261" s="64">
        <v>4.1738320833333331</v>
      </c>
      <c r="AM1261" s="56">
        <v>12.920000000000091</v>
      </c>
      <c r="AN1261" s="56">
        <v>14.84000000000005</v>
      </c>
      <c r="AO1261" s="62">
        <v>20.759999999999931</v>
      </c>
      <c r="AQ1261" s="64">
        <v>4.0840522999999997</v>
      </c>
      <c r="AR1261" s="56">
        <v>12.860000000000049</v>
      </c>
      <c r="AS1261" s="56">
        <v>14.24000000000003</v>
      </c>
      <c r="AT1261" s="62">
        <v>18.00000000000006</v>
      </c>
      <c r="AV1261" s="64">
        <v>3.7307145499999992</v>
      </c>
      <c r="AW1261" s="56">
        <v>12.61999999999999</v>
      </c>
      <c r="AX1261" s="56">
        <v>14.03999999999996</v>
      </c>
      <c r="AY1261" s="62">
        <v>18.559999999999999</v>
      </c>
      <c r="BA1261" s="64">
        <v>3.1888968833333329</v>
      </c>
      <c r="BB1261" s="56">
        <v>15.39999999999999</v>
      </c>
      <c r="BC1261" s="56">
        <v>17.760000000000002</v>
      </c>
      <c r="BD1261" s="62">
        <v>29.38000000000001</v>
      </c>
      <c r="BF1261" s="64">
        <v>2.9104048166666669</v>
      </c>
      <c r="BG1261" s="56">
        <v>19.25999999999997</v>
      </c>
      <c r="BH1261" s="56">
        <v>25.719999999999921</v>
      </c>
      <c r="BI1261" s="62">
        <v>55.719999999999992</v>
      </c>
      <c r="BJ1261" s="70"/>
      <c r="BK1261" s="51"/>
    </row>
    <row r="1262" spans="1:63" x14ac:dyDescent="0.4">
      <c r="A1262" s="147" t="s">
        <v>1339</v>
      </c>
      <c r="G1262" s="147" t="s">
        <v>1339</v>
      </c>
      <c r="H1262" s="159">
        <v>69.995000000000005</v>
      </c>
      <c r="I1262" s="153">
        <v>70.349999999999994</v>
      </c>
      <c r="J1262" s="153">
        <v>70.319999999999993</v>
      </c>
      <c r="K1262" s="153">
        <v>70.37</v>
      </c>
      <c r="L1262" s="153">
        <v>70.34</v>
      </c>
      <c r="M1262" s="80">
        <f t="shared" si="38"/>
        <v>70.37</v>
      </c>
      <c r="N1262" s="80">
        <f t="shared" si="39"/>
        <v>70.319999999999993</v>
      </c>
      <c r="O1262" s="153">
        <v>21.22</v>
      </c>
      <c r="P1262" s="153">
        <v>21.14</v>
      </c>
      <c r="Q1262" s="153">
        <v>21.11</v>
      </c>
      <c r="R1262" s="153">
        <v>21.04</v>
      </c>
      <c r="S1262" s="4"/>
      <c r="U1262" s="147" t="s">
        <v>1339</v>
      </c>
      <c r="V1262" s="11"/>
      <c r="W1262" s="4"/>
      <c r="X1262" s="12"/>
      <c r="Y1262" s="14"/>
      <c r="Z1262" s="4"/>
      <c r="AA1262" s="13"/>
      <c r="AB1262" s="11"/>
      <c r="AC1262" s="4"/>
      <c r="AD1262" s="12"/>
      <c r="AE1262" s="13"/>
      <c r="AF1262" s="14">
        <v>4.9941000000000004</v>
      </c>
      <c r="AG1262" s="133"/>
      <c r="AI1262" s="96"/>
      <c r="AL1262" s="64">
        <v>4.1740937000000002</v>
      </c>
      <c r="AM1262" s="56">
        <v>13.11999999999998</v>
      </c>
      <c r="AN1262" s="56">
        <v>15.019999999999991</v>
      </c>
      <c r="AO1262" s="62">
        <v>20.899999999999959</v>
      </c>
      <c r="AQ1262" s="64">
        <v>4.0831993166666658</v>
      </c>
      <c r="AR1262" s="56">
        <v>13.040000000000161</v>
      </c>
      <c r="AS1262" s="56">
        <v>14.460000000000051</v>
      </c>
      <c r="AT1262" s="62">
        <v>18.26000000000008</v>
      </c>
      <c r="AV1262" s="64">
        <v>3.730791716666666</v>
      </c>
      <c r="AW1262" s="56">
        <v>12.69999999999998</v>
      </c>
      <c r="AX1262" s="56">
        <v>14.12000000000004</v>
      </c>
      <c r="AY1262" s="62">
        <v>18.63999999999999</v>
      </c>
      <c r="BA1262" s="64">
        <v>3.1853307499999999</v>
      </c>
      <c r="BB1262" s="56">
        <v>14.780000000000021</v>
      </c>
      <c r="BC1262" s="56">
        <v>17.11999999999998</v>
      </c>
      <c r="BD1262" s="62">
        <v>28.599999999999959</v>
      </c>
      <c r="BF1262" s="64">
        <v>2.9013762500000002</v>
      </c>
      <c r="BG1262" s="56">
        <v>18.699999999999939</v>
      </c>
      <c r="BH1262" s="56">
        <v>25.079999999999991</v>
      </c>
      <c r="BI1262" s="62">
        <v>55.759999999999991</v>
      </c>
      <c r="BJ1262" s="70"/>
      <c r="BK1262" s="51"/>
    </row>
    <row r="1263" spans="1:63" x14ac:dyDescent="0.4">
      <c r="A1263" s="147" t="s">
        <v>1340</v>
      </c>
      <c r="G1263" s="147" t="s">
        <v>1340</v>
      </c>
      <c r="H1263" s="159">
        <v>69.962999999999994</v>
      </c>
      <c r="I1263" s="153">
        <v>70.36</v>
      </c>
      <c r="J1263" s="153">
        <v>70.33</v>
      </c>
      <c r="K1263" s="153">
        <v>70.37</v>
      </c>
      <c r="L1263" s="153">
        <v>70.38</v>
      </c>
      <c r="M1263" s="80">
        <f t="shared" si="38"/>
        <v>70.38</v>
      </c>
      <c r="N1263" s="80">
        <f t="shared" si="39"/>
        <v>70.33</v>
      </c>
      <c r="O1263" s="153">
        <v>21.2</v>
      </c>
      <c r="P1263" s="153">
        <v>21.09</v>
      </c>
      <c r="Q1263" s="153">
        <v>21.13</v>
      </c>
      <c r="R1263" s="153">
        <v>21.1</v>
      </c>
      <c r="S1263" s="4"/>
      <c r="U1263" s="147" t="s">
        <v>1340</v>
      </c>
      <c r="V1263" s="11"/>
      <c r="W1263" s="4"/>
      <c r="X1263" s="12"/>
      <c r="Y1263" s="14"/>
      <c r="Z1263" s="4"/>
      <c r="AA1263" s="13"/>
      <c r="AB1263" s="11"/>
      <c r="AC1263" s="4"/>
      <c r="AD1263" s="12"/>
      <c r="AE1263" s="13"/>
      <c r="AF1263" s="14">
        <v>4.9968000000000004</v>
      </c>
      <c r="AG1263" s="133"/>
      <c r="AI1263" s="96"/>
      <c r="AL1263" s="64">
        <v>4.1738826500000004</v>
      </c>
      <c r="AM1263" s="56">
        <v>13.480000000000031</v>
      </c>
      <c r="AN1263" s="56">
        <v>15.359999999999911</v>
      </c>
      <c r="AO1263" s="62">
        <v>21.199999999999971</v>
      </c>
      <c r="AQ1263" s="64">
        <v>4.0804658500000004</v>
      </c>
      <c r="AR1263" s="56">
        <v>12.88</v>
      </c>
      <c r="AS1263" s="56">
        <v>14.25999999999998</v>
      </c>
      <c r="AT1263" s="62">
        <v>18.019999999999921</v>
      </c>
      <c r="AV1263" s="64">
        <v>3.7269550333333328</v>
      </c>
      <c r="AW1263" s="56">
        <v>12.679999999999939</v>
      </c>
      <c r="AX1263" s="56">
        <v>14.079999999999959</v>
      </c>
      <c r="AY1263" s="62">
        <v>18.559999999999999</v>
      </c>
      <c r="BA1263" s="64">
        <v>3.180867566666667</v>
      </c>
      <c r="BB1263" s="56">
        <v>15.41999999999994</v>
      </c>
      <c r="BC1263" s="56">
        <v>17.819999999999951</v>
      </c>
      <c r="BD1263" s="62">
        <v>29.399999999999959</v>
      </c>
      <c r="BF1263" s="64">
        <v>2.8989081333333329</v>
      </c>
      <c r="BG1263" s="56">
        <v>19.34000000000005</v>
      </c>
      <c r="BH1263" s="56">
        <v>25.980000000000029</v>
      </c>
      <c r="BI1263" s="62">
        <v>56.580000000000027</v>
      </c>
      <c r="BJ1263" s="70"/>
      <c r="BK1263" s="51"/>
    </row>
    <row r="1264" spans="1:63" x14ac:dyDescent="0.4">
      <c r="A1264" s="147" t="s">
        <v>1341</v>
      </c>
      <c r="G1264" s="147" t="s">
        <v>1341</v>
      </c>
      <c r="H1264" s="159">
        <v>69.945999999999998</v>
      </c>
      <c r="I1264" s="153">
        <v>70.290000000000006</v>
      </c>
      <c r="J1264" s="153">
        <v>70.38</v>
      </c>
      <c r="K1264" s="153">
        <v>70.34</v>
      </c>
      <c r="L1264" s="153">
        <v>70.38</v>
      </c>
      <c r="M1264" s="80">
        <f t="shared" si="38"/>
        <v>70.38</v>
      </c>
      <c r="N1264" s="80">
        <f t="shared" si="39"/>
        <v>70.290000000000006</v>
      </c>
      <c r="O1264" s="153">
        <v>21.11</v>
      </c>
      <c r="P1264" s="153">
        <v>21.14</v>
      </c>
      <c r="Q1264" s="153">
        <v>21.15</v>
      </c>
      <c r="R1264" s="153">
        <v>21.12</v>
      </c>
      <c r="S1264" s="4"/>
      <c r="U1264" s="147" t="s">
        <v>1341</v>
      </c>
      <c r="V1264" s="11"/>
      <c r="W1264" s="4"/>
      <c r="X1264" s="12"/>
      <c r="Y1264" s="14"/>
      <c r="Z1264" s="4"/>
      <c r="AA1264" s="13"/>
      <c r="AB1264" s="11"/>
      <c r="AC1264" s="4"/>
      <c r="AD1264" s="12"/>
      <c r="AE1264" s="13"/>
      <c r="AF1264" s="14">
        <v>4.9969999999999999</v>
      </c>
      <c r="AG1264" s="133"/>
      <c r="AI1264" s="96"/>
      <c r="AL1264" s="64">
        <v>4.1737173166666661</v>
      </c>
      <c r="AM1264" s="56">
        <v>13.52000000000011</v>
      </c>
      <c r="AN1264" s="56">
        <v>15.440000000000079</v>
      </c>
      <c r="AO1264" s="62">
        <v>21.360000000000131</v>
      </c>
      <c r="AQ1264" s="64">
        <v>4.0822275833333332</v>
      </c>
      <c r="AR1264" s="56">
        <v>13.27999999999996</v>
      </c>
      <c r="AS1264" s="56">
        <v>14.700000000000021</v>
      </c>
      <c r="AT1264" s="62">
        <v>18.540000000000049</v>
      </c>
      <c r="AV1264" s="64">
        <v>3.7300936999999998</v>
      </c>
      <c r="AW1264" s="56">
        <v>12.98000000000004</v>
      </c>
      <c r="AX1264" s="56">
        <v>14.44000000000001</v>
      </c>
      <c r="AY1264" s="62">
        <v>18.99999999999995</v>
      </c>
      <c r="BA1264" s="64">
        <v>3.185846033333334</v>
      </c>
      <c r="BB1264" s="56">
        <v>15.39999999999999</v>
      </c>
      <c r="BC1264" s="56">
        <v>17.79999999999999</v>
      </c>
      <c r="BD1264" s="62">
        <v>29.400000000000048</v>
      </c>
      <c r="BF1264" s="64">
        <v>2.904999683333334</v>
      </c>
      <c r="BG1264" s="56">
        <v>19.399999999999999</v>
      </c>
      <c r="BH1264" s="56">
        <v>25.779999999999959</v>
      </c>
      <c r="BI1264" s="62">
        <v>55.999999999999957</v>
      </c>
      <c r="BJ1264" s="70"/>
      <c r="BK1264" s="51"/>
    </row>
    <row r="1265" spans="1:63" x14ac:dyDescent="0.4">
      <c r="A1265" s="147" t="s">
        <v>1342</v>
      </c>
      <c r="G1265" s="147" t="s">
        <v>1342</v>
      </c>
      <c r="H1265" s="159">
        <v>69.906999999999996</v>
      </c>
      <c r="I1265" s="153">
        <v>70.33</v>
      </c>
      <c r="J1265" s="153">
        <v>70.319999999999993</v>
      </c>
      <c r="K1265" s="153">
        <v>70.39</v>
      </c>
      <c r="L1265" s="153">
        <v>70.3</v>
      </c>
      <c r="M1265" s="80">
        <f t="shared" si="38"/>
        <v>70.39</v>
      </c>
      <c r="N1265" s="80">
        <f t="shared" si="39"/>
        <v>70.3</v>
      </c>
      <c r="O1265" s="153">
        <v>21.21</v>
      </c>
      <c r="P1265" s="153">
        <v>21.05</v>
      </c>
      <c r="Q1265" s="153">
        <v>21.14</v>
      </c>
      <c r="R1265" s="153">
        <v>21.1</v>
      </c>
      <c r="S1265" s="4"/>
      <c r="U1265" s="147" t="s">
        <v>1342</v>
      </c>
      <c r="V1265" s="11"/>
      <c r="W1265" s="4"/>
      <c r="X1265" s="12"/>
      <c r="Y1265" s="14"/>
      <c r="Z1265" s="4"/>
      <c r="AA1265" s="13"/>
      <c r="AB1265" s="11"/>
      <c r="AC1265" s="4"/>
      <c r="AD1265" s="12"/>
      <c r="AE1265" s="13"/>
      <c r="AF1265" s="14">
        <v>4.9850000000000003</v>
      </c>
      <c r="AG1265" s="133"/>
      <c r="AI1265" s="96"/>
      <c r="AL1265" s="64">
        <v>4.1734457166666674</v>
      </c>
      <c r="AM1265" s="56">
        <v>13.640000000000009</v>
      </c>
      <c r="AN1265" s="56">
        <v>15.49999999999994</v>
      </c>
      <c r="AO1265" s="62">
        <v>21.380000000000091</v>
      </c>
      <c r="AQ1265" s="64">
        <v>4.079658816666667</v>
      </c>
      <c r="AR1265" s="56">
        <v>12.78000000000006</v>
      </c>
      <c r="AS1265" s="56">
        <v>14.119999999999949</v>
      </c>
      <c r="AT1265" s="62">
        <v>17.879999999999981</v>
      </c>
      <c r="AV1265" s="64">
        <v>3.7259398833333339</v>
      </c>
      <c r="AW1265" s="56">
        <v>12.38000000000001</v>
      </c>
      <c r="AX1265" s="56">
        <v>13.78000000000004</v>
      </c>
      <c r="AY1265" s="62">
        <v>18.259999999999991</v>
      </c>
      <c r="BA1265" s="64">
        <v>3.1804705833333329</v>
      </c>
      <c r="BB1265" s="56">
        <v>15.21999999999997</v>
      </c>
      <c r="BC1265" s="56">
        <v>17.57999999999997</v>
      </c>
      <c r="BD1265" s="62">
        <v>29.179999999999939</v>
      </c>
      <c r="BF1265" s="64">
        <v>2.903662433333333</v>
      </c>
      <c r="BG1265" s="56">
        <v>19.09999999999998</v>
      </c>
      <c r="BH1265" s="56">
        <v>25.68000000000001</v>
      </c>
      <c r="BI1265" s="62">
        <v>55.960000000000051</v>
      </c>
      <c r="BJ1265" s="70"/>
      <c r="BK1265" s="51"/>
    </row>
    <row r="1266" spans="1:63" x14ac:dyDescent="0.4">
      <c r="A1266" s="147" t="s">
        <v>1343</v>
      </c>
      <c r="G1266" s="147" t="s">
        <v>1343</v>
      </c>
      <c r="H1266" s="159">
        <v>69.977999999999994</v>
      </c>
      <c r="I1266" s="153">
        <v>70.38</v>
      </c>
      <c r="J1266" s="153">
        <v>70.33</v>
      </c>
      <c r="K1266" s="153">
        <v>70.34</v>
      </c>
      <c r="L1266" s="153">
        <v>70.31</v>
      </c>
      <c r="M1266" s="80">
        <f t="shared" si="38"/>
        <v>70.38</v>
      </c>
      <c r="N1266" s="80">
        <f t="shared" si="39"/>
        <v>70.31</v>
      </c>
      <c r="O1266" s="153">
        <v>21.09</v>
      </c>
      <c r="P1266" s="153">
        <v>21.09</v>
      </c>
      <c r="Q1266" s="153">
        <v>21.11</v>
      </c>
      <c r="R1266" s="153">
        <v>21.09</v>
      </c>
      <c r="S1266" s="4"/>
      <c r="U1266" s="147" t="s">
        <v>1343</v>
      </c>
      <c r="V1266" s="11"/>
      <c r="W1266" s="4"/>
      <c r="X1266" s="12"/>
      <c r="Y1266" s="14"/>
      <c r="Z1266" s="4"/>
      <c r="AA1266" s="13"/>
      <c r="AB1266" s="11"/>
      <c r="AC1266" s="4"/>
      <c r="AD1266" s="12"/>
      <c r="AE1266" s="13"/>
      <c r="AF1266" s="14">
        <v>5.0152999999999999</v>
      </c>
      <c r="AG1266" s="133"/>
      <c r="AI1266" s="96"/>
      <c r="AL1266" s="64">
        <v>4.1732276333333331</v>
      </c>
      <c r="AM1266" s="56">
        <v>13.3799999999999</v>
      </c>
      <c r="AN1266" s="56">
        <v>15.279999999999919</v>
      </c>
      <c r="AO1266" s="62">
        <v>21.17999999999984</v>
      </c>
      <c r="AQ1266" s="64">
        <v>4.0813775500000009</v>
      </c>
      <c r="AR1266" s="56">
        <v>12.840000000000099</v>
      </c>
      <c r="AS1266" s="56">
        <v>14.24000000000003</v>
      </c>
      <c r="AT1266" s="62">
        <v>18.020000000000099</v>
      </c>
      <c r="AV1266" s="64">
        <v>3.727202483333333</v>
      </c>
      <c r="AW1266" s="56">
        <v>12.52000000000004</v>
      </c>
      <c r="AX1266" s="56">
        <v>13.940000000000021</v>
      </c>
      <c r="AY1266" s="62">
        <v>18.440000000000008</v>
      </c>
      <c r="BA1266" s="64">
        <v>3.179938566666666</v>
      </c>
      <c r="BB1266" s="56">
        <v>15.09999999999998</v>
      </c>
      <c r="BC1266" s="56">
        <v>17.54000000000007</v>
      </c>
      <c r="BD1266" s="62">
        <v>29.320000000000061</v>
      </c>
      <c r="BF1266" s="64">
        <v>2.9089410999999998</v>
      </c>
      <c r="BG1266" s="56">
        <v>18.75999999999998</v>
      </c>
      <c r="BH1266" s="56">
        <v>25.180000000000021</v>
      </c>
      <c r="BI1266" s="62">
        <v>54.8</v>
      </c>
      <c r="BJ1266" s="70"/>
      <c r="BK1266" s="51"/>
    </row>
    <row r="1267" spans="1:63" x14ac:dyDescent="0.4">
      <c r="A1267" s="147" t="s">
        <v>1344</v>
      </c>
      <c r="G1267" s="147" t="s">
        <v>1344</v>
      </c>
      <c r="H1267" s="159">
        <v>70.027000000000001</v>
      </c>
      <c r="I1267" s="153">
        <v>70.34</v>
      </c>
      <c r="J1267" s="153">
        <v>70.31</v>
      </c>
      <c r="K1267" s="153">
        <v>70.28</v>
      </c>
      <c r="L1267" s="153">
        <v>70.31</v>
      </c>
      <c r="M1267" s="80">
        <f t="shared" si="38"/>
        <v>70.34</v>
      </c>
      <c r="N1267" s="80">
        <f t="shared" si="39"/>
        <v>70.28</v>
      </c>
      <c r="O1267" s="153">
        <v>21.14</v>
      </c>
      <c r="P1267" s="153">
        <v>21.15</v>
      </c>
      <c r="Q1267" s="153">
        <v>21.08</v>
      </c>
      <c r="R1267" s="153">
        <v>21.06</v>
      </c>
      <c r="S1267" s="4"/>
      <c r="U1267" s="147" t="s">
        <v>1344</v>
      </c>
      <c r="V1267" s="11"/>
      <c r="W1267" s="4"/>
      <c r="X1267" s="12"/>
      <c r="Y1267" s="14"/>
      <c r="Z1267" s="4"/>
      <c r="AA1267" s="13"/>
      <c r="AB1267" s="11"/>
      <c r="AC1267" s="4"/>
      <c r="AD1267" s="12"/>
      <c r="AE1267" s="13"/>
      <c r="AF1267" s="14">
        <v>5.0194000000000001</v>
      </c>
      <c r="AG1267" s="133"/>
      <c r="AI1267" s="96"/>
      <c r="AL1267" s="64">
        <v>4.1741687166666672</v>
      </c>
      <c r="AM1267" s="56">
        <v>13.419999999999989</v>
      </c>
      <c r="AN1267" s="56">
        <v>15.360000000000079</v>
      </c>
      <c r="AO1267" s="62">
        <v>21.220000000000109</v>
      </c>
      <c r="AQ1267" s="64">
        <v>4.0827091666666666</v>
      </c>
      <c r="AR1267" s="56">
        <v>13.26000000000001</v>
      </c>
      <c r="AS1267" s="56">
        <v>14.67999999999989</v>
      </c>
      <c r="AT1267" s="62">
        <v>18.579999999999949</v>
      </c>
      <c r="AV1267" s="64">
        <v>3.7306499666666659</v>
      </c>
      <c r="AW1267" s="56">
        <v>12.760000000000019</v>
      </c>
      <c r="AX1267" s="56">
        <v>14.21999999999999</v>
      </c>
      <c r="AY1267" s="62">
        <v>18.760000000000069</v>
      </c>
      <c r="BA1267" s="64">
        <v>3.1861753666666659</v>
      </c>
      <c r="BB1267" s="56">
        <v>15.139999999999979</v>
      </c>
      <c r="BC1267" s="56">
        <v>17.519999999999939</v>
      </c>
      <c r="BD1267" s="62">
        <v>29.13999999999994</v>
      </c>
      <c r="BF1267" s="64">
        <v>2.9094024333333328</v>
      </c>
      <c r="BG1267" s="56">
        <v>18.87999999999996</v>
      </c>
      <c r="BH1267" s="56">
        <v>25.319999999999961</v>
      </c>
      <c r="BI1267" s="62">
        <v>55.039999999999978</v>
      </c>
      <c r="BJ1267" s="70"/>
      <c r="BK1267" s="51"/>
    </row>
    <row r="1268" spans="1:63" x14ac:dyDescent="0.4">
      <c r="A1268" s="147" t="s">
        <v>1345</v>
      </c>
      <c r="G1268" s="147" t="s">
        <v>1345</v>
      </c>
      <c r="H1268" s="159">
        <v>69.947999999999993</v>
      </c>
      <c r="I1268" s="153">
        <v>70.27</v>
      </c>
      <c r="J1268" s="153">
        <v>70.400000000000006</v>
      </c>
      <c r="K1268" s="153">
        <v>70.400000000000006</v>
      </c>
      <c r="L1268" s="153">
        <v>70.319999999999993</v>
      </c>
      <c r="M1268" s="80">
        <f t="shared" si="38"/>
        <v>70.400000000000006</v>
      </c>
      <c r="N1268" s="80">
        <f t="shared" si="39"/>
        <v>70.27</v>
      </c>
      <c r="O1268" s="153">
        <v>21.2</v>
      </c>
      <c r="P1268" s="153">
        <v>21.02</v>
      </c>
      <c r="Q1268" s="153">
        <v>21.16</v>
      </c>
      <c r="R1268" s="153">
        <v>21.11</v>
      </c>
      <c r="S1268" s="4"/>
      <c r="U1268" s="147" t="s">
        <v>1345</v>
      </c>
      <c r="V1268" s="11"/>
      <c r="W1268" s="4"/>
      <c r="X1268" s="12"/>
      <c r="Y1268" s="14"/>
      <c r="Z1268" s="4"/>
      <c r="AA1268" s="13"/>
      <c r="AB1268" s="11"/>
      <c r="AC1268" s="4"/>
      <c r="AD1268" s="12"/>
      <c r="AE1268" s="13"/>
      <c r="AF1268" s="14">
        <v>5.0095999999999998</v>
      </c>
      <c r="AG1268" s="133"/>
      <c r="AI1268" s="96"/>
      <c r="AL1268" s="64">
        <v>4.1738609999999996</v>
      </c>
      <c r="AM1268" s="56">
        <v>13.840000000000069</v>
      </c>
      <c r="AN1268" s="56">
        <v>15.760000000000041</v>
      </c>
      <c r="AO1268" s="62">
        <v>21.659999999999972</v>
      </c>
      <c r="AQ1268" s="64">
        <v>4.0807774833333328</v>
      </c>
      <c r="AR1268" s="56">
        <v>13.199999999999971</v>
      </c>
      <c r="AS1268" s="56">
        <v>14.60000000000008</v>
      </c>
      <c r="AT1268" s="62">
        <v>18.41999999999997</v>
      </c>
      <c r="AV1268" s="64">
        <v>3.7277680499999999</v>
      </c>
      <c r="AW1268" s="56">
        <v>12.87999999999991</v>
      </c>
      <c r="AX1268" s="56">
        <v>14.319999999999929</v>
      </c>
      <c r="AY1268" s="62">
        <v>18.87999999999996</v>
      </c>
      <c r="BA1268" s="64">
        <v>3.1824319000000001</v>
      </c>
      <c r="BB1268" s="56">
        <v>15.17999999999997</v>
      </c>
      <c r="BC1268" s="56">
        <v>17.520000000000021</v>
      </c>
      <c r="BD1268" s="62">
        <v>29.100000000000041</v>
      </c>
      <c r="BF1268" s="64">
        <v>2.9015682666666671</v>
      </c>
      <c r="BG1268" s="56">
        <v>19.040000000000031</v>
      </c>
      <c r="BH1268" s="56">
        <v>25.45999999999999</v>
      </c>
      <c r="BI1268" s="62">
        <v>55.719999999999992</v>
      </c>
      <c r="BJ1268" s="70"/>
      <c r="BK1268" s="51"/>
    </row>
    <row r="1269" spans="1:63" x14ac:dyDescent="0.4">
      <c r="A1269" s="147" t="s">
        <v>1346</v>
      </c>
      <c r="G1269" s="147" t="s">
        <v>1346</v>
      </c>
      <c r="H1269" s="159">
        <v>70.034999999999997</v>
      </c>
      <c r="I1269" s="153">
        <v>70.36</v>
      </c>
      <c r="J1269" s="153">
        <v>70.31</v>
      </c>
      <c r="K1269" s="153">
        <v>70.36</v>
      </c>
      <c r="L1269" s="153">
        <v>70.37</v>
      </c>
      <c r="M1269" s="80">
        <f t="shared" si="38"/>
        <v>70.37</v>
      </c>
      <c r="N1269" s="80">
        <f t="shared" si="39"/>
        <v>70.31</v>
      </c>
      <c r="O1269" s="153">
        <v>21.19</v>
      </c>
      <c r="P1269" s="153">
        <v>21.07</v>
      </c>
      <c r="Q1269" s="153">
        <v>21.13</v>
      </c>
      <c r="R1269" s="153">
        <v>21.07</v>
      </c>
      <c r="S1269" s="4"/>
      <c r="U1269" s="147" t="s">
        <v>1346</v>
      </c>
      <c r="V1269" s="11"/>
      <c r="W1269" s="4"/>
      <c r="X1269" s="12"/>
      <c r="Y1269" s="14"/>
      <c r="Z1269" s="4"/>
      <c r="AA1269" s="13"/>
      <c r="AB1269" s="11"/>
      <c r="AC1269" s="4"/>
      <c r="AD1269" s="12"/>
      <c r="AE1269" s="13"/>
      <c r="AF1269" s="14">
        <v>5.0244999999999997</v>
      </c>
      <c r="AG1269" s="133"/>
      <c r="AI1269" s="96"/>
      <c r="AL1269" s="64">
        <v>4.1738454166666674</v>
      </c>
      <c r="AM1269" s="56">
        <v>13.34</v>
      </c>
      <c r="AN1269" s="56">
        <v>15.259999999999961</v>
      </c>
      <c r="AO1269" s="62">
        <v>21.160000000000071</v>
      </c>
      <c r="AQ1269" s="64">
        <v>4.0836202999999989</v>
      </c>
      <c r="AR1269" s="56">
        <v>13.18000000000001</v>
      </c>
      <c r="AS1269" s="56">
        <v>14.58000000000013</v>
      </c>
      <c r="AT1269" s="62">
        <v>18.400000000000109</v>
      </c>
      <c r="AV1269" s="64">
        <v>3.7307748333333328</v>
      </c>
      <c r="AW1269" s="56">
        <v>12.73999999999997</v>
      </c>
      <c r="AX1269" s="56">
        <v>14.19999999999995</v>
      </c>
      <c r="AY1269" s="62">
        <v>18.699999999999939</v>
      </c>
      <c r="BA1269" s="64">
        <v>3.18482485</v>
      </c>
      <c r="BB1269" s="56">
        <v>15.21999999999997</v>
      </c>
      <c r="BC1269" s="56">
        <v>17.619999999999969</v>
      </c>
      <c r="BD1269" s="62">
        <v>29.279999999999969</v>
      </c>
      <c r="BF1269" s="64">
        <v>2.9094629166666661</v>
      </c>
      <c r="BG1269" s="56">
        <v>19.019999999999989</v>
      </c>
      <c r="BH1269" s="56">
        <v>25.32000000000005</v>
      </c>
      <c r="BI1269" s="62">
        <v>55.200000000000053</v>
      </c>
      <c r="BJ1269" s="70"/>
      <c r="BK1269" s="51"/>
    </row>
    <row r="1270" spans="1:63" x14ac:dyDescent="0.4">
      <c r="A1270" s="147" t="s">
        <v>1347</v>
      </c>
      <c r="G1270" s="147" t="s">
        <v>1347</v>
      </c>
      <c r="H1270" s="159">
        <v>69.885999999999996</v>
      </c>
      <c r="I1270" s="153">
        <v>70.39</v>
      </c>
      <c r="J1270" s="153">
        <v>70.319999999999993</v>
      </c>
      <c r="K1270" s="153">
        <v>70.37</v>
      </c>
      <c r="L1270" s="153">
        <v>70.3</v>
      </c>
      <c r="M1270" s="80">
        <f t="shared" si="38"/>
        <v>70.39</v>
      </c>
      <c r="N1270" s="80">
        <f t="shared" si="39"/>
        <v>70.3</v>
      </c>
      <c r="O1270" s="153">
        <v>21.14</v>
      </c>
      <c r="P1270" s="153">
        <v>21.12</v>
      </c>
      <c r="Q1270" s="153">
        <v>21.09</v>
      </c>
      <c r="R1270" s="153">
        <v>21.07</v>
      </c>
      <c r="S1270" s="4"/>
      <c r="U1270" s="147" t="s">
        <v>1347</v>
      </c>
      <c r="V1270" s="11"/>
      <c r="W1270" s="4"/>
      <c r="X1270" s="12"/>
      <c r="Y1270" s="14"/>
      <c r="Z1270" s="4"/>
      <c r="AA1270" s="13"/>
      <c r="AB1270" s="11"/>
      <c r="AC1270" s="4"/>
      <c r="AD1270" s="12"/>
      <c r="AE1270" s="13"/>
      <c r="AF1270" s="14">
        <v>5.008</v>
      </c>
      <c r="AG1270" s="133"/>
      <c r="AI1270" s="96"/>
      <c r="AL1270" s="64">
        <v>4.1732914666666669</v>
      </c>
      <c r="AM1270" s="56">
        <v>13.00000000000008</v>
      </c>
      <c r="AN1270" s="56">
        <v>14.920000000000041</v>
      </c>
      <c r="AO1270" s="62">
        <v>20.780000000000069</v>
      </c>
      <c r="AQ1270" s="64">
        <v>4.0839012333333331</v>
      </c>
      <c r="AR1270" s="56">
        <v>12.899999999999959</v>
      </c>
      <c r="AS1270" s="56">
        <v>14.279999999999941</v>
      </c>
      <c r="AT1270" s="62">
        <v>18.039999999999971</v>
      </c>
      <c r="AV1270" s="64">
        <v>3.7318541999999999</v>
      </c>
      <c r="AW1270" s="56">
        <v>12.56000000000004</v>
      </c>
      <c r="AX1270" s="56">
        <v>13.99999999999997</v>
      </c>
      <c r="AY1270" s="62">
        <v>18.480000000000011</v>
      </c>
      <c r="BA1270" s="64">
        <v>3.1903245999999998</v>
      </c>
      <c r="BB1270" s="56">
        <v>15.41999999999994</v>
      </c>
      <c r="BC1270" s="56">
        <v>17.79999999999999</v>
      </c>
      <c r="BD1270" s="62">
        <v>29.319999999999968</v>
      </c>
      <c r="BF1270" s="64">
        <v>2.9080200833333341</v>
      </c>
      <c r="BG1270" s="56">
        <v>19.420000000000041</v>
      </c>
      <c r="BH1270" s="56">
        <v>26.379999999999981</v>
      </c>
      <c r="BI1270" s="62">
        <v>57.220000000000049</v>
      </c>
      <c r="BJ1270" s="70"/>
      <c r="BK1270" s="51"/>
    </row>
    <row r="1271" spans="1:63" x14ac:dyDescent="0.4">
      <c r="A1271" s="147" t="s">
        <v>1348</v>
      </c>
      <c r="G1271" s="147" t="s">
        <v>1348</v>
      </c>
      <c r="H1271" s="159">
        <v>69.971000000000004</v>
      </c>
      <c r="I1271" s="153">
        <v>70.400000000000006</v>
      </c>
      <c r="J1271" s="153">
        <v>70.27</v>
      </c>
      <c r="K1271" s="153">
        <v>70.349999999999994</v>
      </c>
      <c r="L1271" s="153">
        <v>70.36</v>
      </c>
      <c r="M1271" s="80">
        <f t="shared" si="38"/>
        <v>70.400000000000006</v>
      </c>
      <c r="N1271" s="80">
        <f t="shared" si="39"/>
        <v>70.27</v>
      </c>
      <c r="O1271" s="153">
        <v>21.18</v>
      </c>
      <c r="P1271" s="153">
        <v>21.07</v>
      </c>
      <c r="Q1271" s="153">
        <v>21.1</v>
      </c>
      <c r="R1271" s="153">
        <v>21.09</v>
      </c>
      <c r="S1271" s="4"/>
      <c r="U1271" s="147" t="s">
        <v>1348</v>
      </c>
      <c r="V1271" s="11"/>
      <c r="W1271" s="4"/>
      <c r="X1271" s="12"/>
      <c r="Y1271" s="14"/>
      <c r="Z1271" s="4"/>
      <c r="AA1271" s="13"/>
      <c r="AB1271" s="11"/>
      <c r="AC1271" s="4"/>
      <c r="AD1271" s="12"/>
      <c r="AE1271" s="13"/>
      <c r="AF1271" s="14">
        <v>5.0209999999999999</v>
      </c>
      <c r="AG1271" s="133"/>
      <c r="AI1271" s="96"/>
      <c r="AL1271" s="64">
        <v>4.1731935166666663</v>
      </c>
      <c r="AM1271" s="56">
        <v>13.439999999999941</v>
      </c>
      <c r="AN1271" s="56">
        <v>15.359999999999911</v>
      </c>
      <c r="AO1271" s="62">
        <v>21.239999999999881</v>
      </c>
      <c r="AQ1271" s="64">
        <v>4.0824540499999991</v>
      </c>
      <c r="AR1271" s="56">
        <v>13.09999999999985</v>
      </c>
      <c r="AS1271" s="56">
        <v>14.519999999999911</v>
      </c>
      <c r="AT1271" s="62">
        <v>18.359999999999928</v>
      </c>
      <c r="AV1271" s="64">
        <v>3.7283534166666659</v>
      </c>
      <c r="AW1271" s="56">
        <v>12.680000000000019</v>
      </c>
      <c r="AX1271" s="56">
        <v>14.12000000000004</v>
      </c>
      <c r="AY1271" s="62">
        <v>18.660000000000029</v>
      </c>
      <c r="BA1271" s="64">
        <v>3.1811677666666669</v>
      </c>
      <c r="BB1271" s="56">
        <v>15.140000000000059</v>
      </c>
      <c r="BC1271" s="56">
        <v>17.56000000000002</v>
      </c>
      <c r="BD1271" s="62">
        <v>29.300000000000011</v>
      </c>
      <c r="BF1271" s="64">
        <v>2.910320099999999</v>
      </c>
      <c r="BG1271" s="56">
        <v>18.959999999999951</v>
      </c>
      <c r="BH1271" s="56">
        <v>25.259999999999931</v>
      </c>
      <c r="BI1271" s="62">
        <v>54.899999999999949</v>
      </c>
      <c r="BJ1271" s="70"/>
      <c r="BK1271" s="51"/>
    </row>
    <row r="1272" spans="1:63" x14ac:dyDescent="0.4">
      <c r="A1272" s="147" t="s">
        <v>1349</v>
      </c>
      <c r="G1272" s="147" t="s">
        <v>1349</v>
      </c>
      <c r="H1272" s="159">
        <v>69.680000000000007</v>
      </c>
      <c r="I1272" s="153">
        <v>70.36</v>
      </c>
      <c r="J1272" s="153">
        <v>70.290000000000006</v>
      </c>
      <c r="K1272" s="153">
        <v>70.39</v>
      </c>
      <c r="L1272" s="153">
        <v>70.290000000000006</v>
      </c>
      <c r="M1272" s="80">
        <f t="shared" si="38"/>
        <v>70.39</v>
      </c>
      <c r="N1272" s="80">
        <f t="shared" si="39"/>
        <v>70.290000000000006</v>
      </c>
      <c r="O1272" s="153">
        <v>21.22</v>
      </c>
      <c r="P1272" s="153">
        <v>21.16</v>
      </c>
      <c r="Q1272" s="153">
        <v>21.12</v>
      </c>
      <c r="R1272" s="153">
        <v>21.03</v>
      </c>
      <c r="S1272" s="4"/>
      <c r="U1272" s="147" t="s">
        <v>1349</v>
      </c>
      <c r="V1272" s="11"/>
      <c r="W1272" s="4"/>
      <c r="X1272" s="12"/>
      <c r="Y1272" s="14"/>
      <c r="Z1272" s="4"/>
      <c r="AA1272" s="13"/>
      <c r="AB1272" s="11"/>
      <c r="AC1272" s="4"/>
      <c r="AD1272" s="12"/>
      <c r="AE1272" s="13"/>
      <c r="AF1272" s="14">
        <v>4.9706000000000001</v>
      </c>
      <c r="AG1272" s="133"/>
      <c r="AI1272" s="96"/>
      <c r="AL1272" s="64">
        <v>4.1735879499999999</v>
      </c>
      <c r="AM1272" s="56">
        <v>12.979999999999951</v>
      </c>
      <c r="AN1272" s="56">
        <v>14.87999999999996</v>
      </c>
      <c r="AO1272" s="62">
        <v>20.759999999999931</v>
      </c>
      <c r="AQ1272" s="64">
        <v>4.0836935666666667</v>
      </c>
      <c r="AR1272" s="56">
        <v>12.95999999999999</v>
      </c>
      <c r="AS1272" s="56">
        <v>14.36000000000011</v>
      </c>
      <c r="AT1272" s="62">
        <v>18.18</v>
      </c>
      <c r="AV1272" s="64">
        <v>3.7313471499999999</v>
      </c>
      <c r="AW1272" s="56">
        <v>12.71999999999993</v>
      </c>
      <c r="AX1272" s="56">
        <v>14.15999999999995</v>
      </c>
      <c r="AY1272" s="62">
        <v>18.679999999999989</v>
      </c>
      <c r="BA1272" s="64">
        <v>3.186799049999999</v>
      </c>
      <c r="BB1272" s="56">
        <v>15.460000000000029</v>
      </c>
      <c r="BC1272" s="56">
        <v>17.839999999999989</v>
      </c>
      <c r="BD1272" s="62">
        <v>29.44000000000004</v>
      </c>
      <c r="BF1272" s="64">
        <v>2.9005475166666672</v>
      </c>
      <c r="BG1272" s="56">
        <v>19.299999999999962</v>
      </c>
      <c r="BH1272" s="56">
        <v>25.719999999999921</v>
      </c>
      <c r="BI1272" s="62">
        <v>56.539999999999942</v>
      </c>
      <c r="BJ1272" s="70"/>
      <c r="BK1272" s="51"/>
    </row>
    <row r="1273" spans="1:63" x14ac:dyDescent="0.4">
      <c r="A1273" s="147" t="s">
        <v>1350</v>
      </c>
      <c r="G1273" s="147" t="s">
        <v>1350</v>
      </c>
      <c r="H1273" s="159">
        <v>69.930999999999997</v>
      </c>
      <c r="I1273" s="153">
        <v>70.349999999999994</v>
      </c>
      <c r="J1273" s="153">
        <v>70.3</v>
      </c>
      <c r="K1273" s="153">
        <v>70.31</v>
      </c>
      <c r="L1273" s="153">
        <v>70.34</v>
      </c>
      <c r="M1273" s="80">
        <f t="shared" si="38"/>
        <v>70.349999999999994</v>
      </c>
      <c r="N1273" s="80">
        <f t="shared" si="39"/>
        <v>70.3</v>
      </c>
      <c r="O1273" s="153">
        <v>21.17</v>
      </c>
      <c r="P1273" s="153">
        <v>20.99</v>
      </c>
      <c r="Q1273" s="153">
        <v>21.12</v>
      </c>
      <c r="R1273" s="153">
        <v>21.05</v>
      </c>
      <c r="S1273" s="4"/>
      <c r="U1273" s="147" t="s">
        <v>1350</v>
      </c>
      <c r="V1273" s="11"/>
      <c r="W1273" s="4"/>
      <c r="X1273" s="12"/>
      <c r="Y1273" s="14"/>
      <c r="Z1273" s="4"/>
      <c r="AA1273" s="13"/>
      <c r="AB1273" s="11"/>
      <c r="AC1273" s="4"/>
      <c r="AD1273" s="12"/>
      <c r="AE1273" s="13"/>
      <c r="AF1273" s="14">
        <v>5.0133999999999999</v>
      </c>
      <c r="AG1273" s="133"/>
      <c r="AI1273" s="96"/>
      <c r="AL1273" s="64">
        <v>4.1718636166666672</v>
      </c>
      <c r="AM1273" s="56">
        <v>14.700000000000021</v>
      </c>
      <c r="AN1273" s="56">
        <v>16.760000000000019</v>
      </c>
      <c r="AO1273" s="62">
        <v>22.879999999999971</v>
      </c>
      <c r="AQ1273" s="64">
        <v>4.0815067333333328</v>
      </c>
      <c r="AR1273" s="56">
        <v>14.03999999999996</v>
      </c>
      <c r="AS1273" s="56">
        <v>15.54000000000002</v>
      </c>
      <c r="AT1273" s="62">
        <v>19.58000000000002</v>
      </c>
      <c r="AV1273" s="64">
        <v>3.7257048666666668</v>
      </c>
      <c r="AW1273" s="56">
        <v>13.56000000000002</v>
      </c>
      <c r="AX1273" s="56">
        <v>15.08000000000003</v>
      </c>
      <c r="AY1273" s="62">
        <v>19.859999999999989</v>
      </c>
      <c r="BA1273" s="64">
        <v>3.1673285</v>
      </c>
      <c r="BB1273" s="56">
        <v>15.96000000000002</v>
      </c>
      <c r="BC1273" s="56">
        <v>18.559999999999999</v>
      </c>
      <c r="BD1273" s="62">
        <v>31.160000000000029</v>
      </c>
      <c r="BF1273" s="64">
        <v>2.9046314833333331</v>
      </c>
      <c r="BG1273" s="56">
        <v>19.500000000000028</v>
      </c>
      <c r="BH1273" s="56">
        <v>25.95999999999998</v>
      </c>
      <c r="BI1273" s="62">
        <v>56.839999999999961</v>
      </c>
      <c r="BJ1273" s="70"/>
      <c r="BK1273" s="51"/>
    </row>
    <row r="1274" spans="1:63" x14ac:dyDescent="0.4">
      <c r="A1274" s="147" t="s">
        <v>1351</v>
      </c>
      <c r="G1274" s="147" t="s">
        <v>1351</v>
      </c>
      <c r="H1274" s="159">
        <v>69.975999999999999</v>
      </c>
      <c r="I1274" s="153">
        <v>70.319999999999993</v>
      </c>
      <c r="J1274" s="153">
        <v>70.290000000000006</v>
      </c>
      <c r="K1274" s="153">
        <v>70.290000000000006</v>
      </c>
      <c r="L1274" s="153">
        <v>70.319999999999993</v>
      </c>
      <c r="M1274" s="80">
        <f t="shared" si="38"/>
        <v>70.319999999999993</v>
      </c>
      <c r="N1274" s="80">
        <f t="shared" si="39"/>
        <v>70.290000000000006</v>
      </c>
      <c r="O1274" s="153">
        <v>21.2</v>
      </c>
      <c r="P1274" s="153">
        <v>21.09</v>
      </c>
      <c r="Q1274" s="153">
        <v>21.14</v>
      </c>
      <c r="R1274" s="153">
        <v>21.09</v>
      </c>
      <c r="S1274" s="4"/>
      <c r="U1274" s="147" t="s">
        <v>1351</v>
      </c>
      <c r="V1274" s="11"/>
      <c r="W1274" s="4"/>
      <c r="X1274" s="12"/>
      <c r="Y1274" s="14"/>
      <c r="Z1274" s="4"/>
      <c r="AA1274" s="13"/>
      <c r="AB1274" s="11"/>
      <c r="AC1274" s="4"/>
      <c r="AD1274" s="12"/>
      <c r="AE1274" s="13"/>
      <c r="AF1274" s="14">
        <v>5.0254000000000003</v>
      </c>
      <c r="AG1274" s="133"/>
      <c r="AI1274" s="96"/>
      <c r="AL1274" s="64">
        <v>4.1734083166666656</v>
      </c>
      <c r="AM1274" s="56">
        <v>13.72</v>
      </c>
      <c r="AN1274" s="56">
        <v>15.680000000000049</v>
      </c>
      <c r="AO1274" s="62">
        <v>21.620000000000061</v>
      </c>
      <c r="AQ1274" s="64">
        <v>4.0815232833333326</v>
      </c>
      <c r="AR1274" s="56">
        <v>13.419999999999989</v>
      </c>
      <c r="AS1274" s="56">
        <v>14.86000000000001</v>
      </c>
      <c r="AT1274" s="62">
        <v>18.75999999999998</v>
      </c>
      <c r="AV1274" s="64">
        <v>3.7285727500000001</v>
      </c>
      <c r="AW1274" s="56">
        <v>13.14000000000002</v>
      </c>
      <c r="AX1274" s="56">
        <v>14.619999999999941</v>
      </c>
      <c r="AY1274" s="62">
        <v>19.25999999999997</v>
      </c>
      <c r="BA1274" s="64">
        <v>3.1820801333333328</v>
      </c>
      <c r="BB1274" s="56">
        <v>15.75999999999995</v>
      </c>
      <c r="BC1274" s="56">
        <v>18.19999999999995</v>
      </c>
      <c r="BD1274" s="62">
        <v>30.019999999999939</v>
      </c>
      <c r="BF1274" s="64">
        <v>2.9055871999999989</v>
      </c>
      <c r="BG1274" s="56">
        <v>19.620000000000019</v>
      </c>
      <c r="BH1274" s="56">
        <v>26.120000000000051</v>
      </c>
      <c r="BI1274" s="62">
        <v>56.260000000000069</v>
      </c>
      <c r="BJ1274" s="70"/>
      <c r="BK1274" s="51"/>
    </row>
    <row r="1275" spans="1:63" x14ac:dyDescent="0.4">
      <c r="A1275" s="147" t="s">
        <v>1352</v>
      </c>
      <c r="G1275" s="147" t="s">
        <v>1352</v>
      </c>
      <c r="H1275" s="159">
        <v>69.841999999999999</v>
      </c>
      <c r="I1275" s="153">
        <v>70.37</v>
      </c>
      <c r="J1275" s="153">
        <v>70.39</v>
      </c>
      <c r="K1275" s="153">
        <v>70.28</v>
      </c>
      <c r="L1275" s="153">
        <v>70.319999999999993</v>
      </c>
      <c r="M1275" s="80">
        <f t="shared" si="38"/>
        <v>70.39</v>
      </c>
      <c r="N1275" s="80">
        <f t="shared" si="39"/>
        <v>70.28</v>
      </c>
      <c r="O1275" s="153">
        <v>21.15</v>
      </c>
      <c r="P1275" s="153">
        <v>21.12</v>
      </c>
      <c r="Q1275" s="153">
        <v>21.11</v>
      </c>
      <c r="R1275" s="153">
        <v>21.09</v>
      </c>
      <c r="S1275" s="4"/>
      <c r="U1275" s="147" t="s">
        <v>1352</v>
      </c>
      <c r="V1275" s="11"/>
      <c r="W1275" s="4"/>
      <c r="X1275" s="12"/>
      <c r="Y1275" s="14"/>
      <c r="Z1275" s="4"/>
      <c r="AA1275" s="13"/>
      <c r="AB1275" s="11"/>
      <c r="AC1275" s="4"/>
      <c r="AD1275" s="12"/>
      <c r="AE1275" s="13"/>
      <c r="AF1275" s="14">
        <v>5.0092999999999996</v>
      </c>
      <c r="AG1275" s="133"/>
      <c r="AI1275" s="96"/>
      <c r="AL1275" s="64">
        <v>4.1739004499999997</v>
      </c>
      <c r="AM1275" s="56">
        <v>13.160000000000061</v>
      </c>
      <c r="AN1275" s="56">
        <v>15.019999999999991</v>
      </c>
      <c r="AO1275" s="62">
        <v>20.91999999999992</v>
      </c>
      <c r="AQ1275" s="64">
        <v>4.0821839500000001</v>
      </c>
      <c r="AR1275" s="56">
        <v>12.72000000000002</v>
      </c>
      <c r="AS1275" s="56">
        <v>14.060000000000089</v>
      </c>
      <c r="AT1275" s="62">
        <v>17.800000000000079</v>
      </c>
      <c r="AV1275" s="64">
        <v>3.728466183333333</v>
      </c>
      <c r="AW1275" s="56">
        <v>12.340000000000019</v>
      </c>
      <c r="AX1275" s="56">
        <v>13.740000000000039</v>
      </c>
      <c r="AY1275" s="62">
        <v>18.200000000000038</v>
      </c>
      <c r="BA1275" s="64">
        <v>3.1845686166666671</v>
      </c>
      <c r="BB1275" s="56">
        <v>14.84000000000005</v>
      </c>
      <c r="BC1275" s="56">
        <v>17.140000000000018</v>
      </c>
      <c r="BD1275" s="62">
        <v>28.580000000000009</v>
      </c>
      <c r="BF1275" s="64">
        <v>2.899635566666666</v>
      </c>
      <c r="BG1275" s="56">
        <v>18.780000000000019</v>
      </c>
      <c r="BH1275" s="56">
        <v>25.439999999999952</v>
      </c>
      <c r="BI1275" s="62">
        <v>56.49999999999995</v>
      </c>
      <c r="BJ1275" s="70"/>
      <c r="BK1275" s="51"/>
    </row>
    <row r="1276" spans="1:63" x14ac:dyDescent="0.4">
      <c r="A1276" s="147" t="s">
        <v>1353</v>
      </c>
      <c r="G1276" s="147" t="s">
        <v>1353</v>
      </c>
      <c r="H1276" s="159">
        <v>69.942999999999998</v>
      </c>
      <c r="I1276" s="153">
        <v>70.28</v>
      </c>
      <c r="J1276" s="153">
        <v>70.27</v>
      </c>
      <c r="K1276" s="153">
        <v>70.36</v>
      </c>
      <c r="L1276" s="153">
        <v>70.349999999999994</v>
      </c>
      <c r="M1276" s="80">
        <f t="shared" si="38"/>
        <v>70.36</v>
      </c>
      <c r="N1276" s="80">
        <f t="shared" si="39"/>
        <v>70.27</v>
      </c>
      <c r="O1276" s="153">
        <v>21.17</v>
      </c>
      <c r="P1276" s="153">
        <v>21.03</v>
      </c>
      <c r="Q1276" s="153">
        <v>21.14</v>
      </c>
      <c r="R1276" s="153">
        <v>21.08</v>
      </c>
      <c r="S1276" s="4"/>
      <c r="U1276" s="147" t="s">
        <v>1353</v>
      </c>
      <c r="V1276" s="11"/>
      <c r="W1276" s="4"/>
      <c r="X1276" s="12"/>
      <c r="Y1276" s="14"/>
      <c r="Z1276" s="4"/>
      <c r="AA1276" s="13"/>
      <c r="AB1276" s="11"/>
      <c r="AC1276" s="4"/>
      <c r="AD1276" s="12"/>
      <c r="AE1276" s="13"/>
      <c r="AF1276" s="14">
        <v>5.0110999999999999</v>
      </c>
      <c r="AG1276" s="133"/>
      <c r="AI1276" s="96"/>
      <c r="AL1276" s="64">
        <v>4.1734057833333331</v>
      </c>
      <c r="AM1276" s="56">
        <v>13.080000000000069</v>
      </c>
      <c r="AN1276" s="56">
        <v>14.98000000000008</v>
      </c>
      <c r="AO1276" s="62">
        <v>20.88000000000001</v>
      </c>
      <c r="AQ1276" s="64">
        <v>4.0826931333333354</v>
      </c>
      <c r="AR1276" s="56">
        <v>12.80000000000001</v>
      </c>
      <c r="AS1276" s="56">
        <v>14.179999999999991</v>
      </c>
      <c r="AT1276" s="62">
        <v>17.95999999999998</v>
      </c>
      <c r="AV1276" s="64">
        <v>3.7284662333333332</v>
      </c>
      <c r="AW1276" s="56">
        <v>12.54</v>
      </c>
      <c r="AX1276" s="56">
        <v>13.940000000000021</v>
      </c>
      <c r="AY1276" s="62">
        <v>18.440000000000008</v>
      </c>
      <c r="BA1276" s="64">
        <v>3.1823419666666668</v>
      </c>
      <c r="BB1276" s="56">
        <v>15.39999999999999</v>
      </c>
      <c r="BC1276" s="56">
        <v>17.79999999999999</v>
      </c>
      <c r="BD1276" s="62">
        <v>29.599999999999941</v>
      </c>
      <c r="BF1276" s="64">
        <v>2.9092215000000001</v>
      </c>
      <c r="BG1276" s="56">
        <v>19.059999999999992</v>
      </c>
      <c r="BH1276" s="56">
        <v>25.600000000000019</v>
      </c>
      <c r="BI1276" s="62">
        <v>55.480000000000018</v>
      </c>
      <c r="BJ1276" s="70"/>
      <c r="BK1276" s="51"/>
    </row>
    <row r="1277" spans="1:63" x14ac:dyDescent="0.4">
      <c r="A1277" s="147" t="s">
        <v>1354</v>
      </c>
      <c r="G1277" s="147" t="s">
        <v>1354</v>
      </c>
      <c r="H1277" s="159">
        <v>70.031000000000006</v>
      </c>
      <c r="I1277" s="153">
        <v>70.290000000000006</v>
      </c>
      <c r="J1277" s="153">
        <v>70.3</v>
      </c>
      <c r="K1277" s="153">
        <v>70.27</v>
      </c>
      <c r="L1277" s="153">
        <v>70.38</v>
      </c>
      <c r="M1277" s="80">
        <f t="shared" si="38"/>
        <v>70.38</v>
      </c>
      <c r="N1277" s="80">
        <f t="shared" si="39"/>
        <v>70.27</v>
      </c>
      <c r="O1277" s="153">
        <v>21.19</v>
      </c>
      <c r="P1277" s="153">
        <v>21.07</v>
      </c>
      <c r="Q1277" s="153">
        <v>21.13</v>
      </c>
      <c r="R1277" s="153">
        <v>21.06</v>
      </c>
      <c r="S1277" s="4"/>
      <c r="U1277" s="147" t="s">
        <v>1354</v>
      </c>
      <c r="V1277" s="11"/>
      <c r="W1277" s="4"/>
      <c r="X1277" s="12"/>
      <c r="Y1277" s="14"/>
      <c r="Z1277" s="4"/>
      <c r="AA1277" s="13"/>
      <c r="AB1277" s="11"/>
      <c r="AC1277" s="4"/>
      <c r="AD1277" s="12"/>
      <c r="AE1277" s="13"/>
      <c r="AF1277" s="14">
        <v>5.0202</v>
      </c>
      <c r="AG1277" s="133"/>
      <c r="AI1277" s="96"/>
      <c r="AL1277" s="64">
        <v>4.1738991499999996</v>
      </c>
      <c r="AM1277" s="56">
        <v>13.480000000000031</v>
      </c>
      <c r="AN1277" s="56">
        <v>15.39999999999999</v>
      </c>
      <c r="AO1277" s="62">
        <v>21.299999999999919</v>
      </c>
      <c r="AQ1277" s="64">
        <v>4.0823442833333328</v>
      </c>
      <c r="AR1277" s="56">
        <v>13.11999999999998</v>
      </c>
      <c r="AS1277" s="56">
        <v>14.54000000000004</v>
      </c>
      <c r="AT1277" s="62">
        <v>18.379999999999971</v>
      </c>
      <c r="AV1277" s="64">
        <v>3.7293761499999989</v>
      </c>
      <c r="AW1277" s="56">
        <v>12.860000000000049</v>
      </c>
      <c r="AX1277" s="56">
        <v>14.299999999999979</v>
      </c>
      <c r="AY1277" s="62">
        <v>18.86000000000001</v>
      </c>
      <c r="BA1277" s="64">
        <v>3.1826102000000001</v>
      </c>
      <c r="BB1277" s="56">
        <v>15.07999999999994</v>
      </c>
      <c r="BC1277" s="56">
        <v>17.45999999999999</v>
      </c>
      <c r="BD1277" s="62">
        <v>29.079999999999991</v>
      </c>
      <c r="BF1277" s="64">
        <v>2.9030622666666659</v>
      </c>
      <c r="BG1277" s="56">
        <v>18.340000000000071</v>
      </c>
      <c r="BH1277" s="56">
        <v>25.180000000000021</v>
      </c>
      <c r="BI1277" s="62">
        <v>55.64</v>
      </c>
      <c r="BJ1277" s="70"/>
      <c r="BK1277" s="51"/>
    </row>
    <row r="1278" spans="1:63" x14ac:dyDescent="0.4">
      <c r="A1278" s="147" t="s">
        <v>1355</v>
      </c>
      <c r="G1278" s="147" t="s">
        <v>1355</v>
      </c>
      <c r="H1278" s="159">
        <v>69.966999999999999</v>
      </c>
      <c r="I1278" s="153">
        <v>70.400000000000006</v>
      </c>
      <c r="J1278" s="153">
        <v>70.290000000000006</v>
      </c>
      <c r="K1278" s="153">
        <v>70.3</v>
      </c>
      <c r="L1278" s="153">
        <v>70.38</v>
      </c>
      <c r="M1278" s="80">
        <f t="shared" si="38"/>
        <v>70.400000000000006</v>
      </c>
      <c r="N1278" s="80">
        <f t="shared" si="39"/>
        <v>70.290000000000006</v>
      </c>
      <c r="O1278" s="153">
        <v>21.16</v>
      </c>
      <c r="P1278" s="153">
        <v>21.13</v>
      </c>
      <c r="Q1278" s="153">
        <v>21.15</v>
      </c>
      <c r="R1278" s="153">
        <v>21.11</v>
      </c>
      <c r="S1278" s="4"/>
      <c r="U1278" s="147" t="s">
        <v>1355</v>
      </c>
      <c r="V1278" s="11"/>
      <c r="W1278" s="4"/>
      <c r="X1278" s="12"/>
      <c r="Y1278" s="14"/>
      <c r="Z1278" s="4"/>
      <c r="AA1278" s="13"/>
      <c r="AB1278" s="11"/>
      <c r="AC1278" s="4"/>
      <c r="AD1278" s="12"/>
      <c r="AE1278" s="13"/>
      <c r="AF1278" s="14">
        <v>5.0148000000000001</v>
      </c>
      <c r="AG1278" s="133"/>
      <c r="AI1278" s="96"/>
      <c r="AL1278" s="64">
        <v>4.1740987666666669</v>
      </c>
      <c r="AM1278" s="56">
        <v>13.480000000000031</v>
      </c>
      <c r="AN1278" s="56">
        <v>15.39999999999999</v>
      </c>
      <c r="AO1278" s="62">
        <v>21.279999999999969</v>
      </c>
      <c r="AQ1278" s="64">
        <v>4.0823296666666673</v>
      </c>
      <c r="AR1278" s="56">
        <v>13.03999999999998</v>
      </c>
      <c r="AS1278" s="56">
        <v>14.41999999999997</v>
      </c>
      <c r="AT1278" s="62">
        <v>18.239999999999949</v>
      </c>
      <c r="AV1278" s="64">
        <v>3.7296174999999998</v>
      </c>
      <c r="AW1278" s="56">
        <v>12.69999999999998</v>
      </c>
      <c r="AX1278" s="56">
        <v>14.14</v>
      </c>
      <c r="AY1278" s="62">
        <v>18.65999999999994</v>
      </c>
      <c r="BA1278" s="64">
        <v>3.1856456166666671</v>
      </c>
      <c r="BB1278" s="56">
        <v>15.140000000000059</v>
      </c>
      <c r="BC1278" s="56">
        <v>17.500000000000071</v>
      </c>
      <c r="BD1278" s="62">
        <v>29</v>
      </c>
      <c r="BF1278" s="64">
        <v>2.9017805833333341</v>
      </c>
      <c r="BG1278" s="56">
        <v>18.900000000000009</v>
      </c>
      <c r="BH1278" s="56">
        <v>25.38</v>
      </c>
      <c r="BI1278" s="62">
        <v>55.90000000000002</v>
      </c>
      <c r="BJ1278" s="70"/>
      <c r="BK1278" s="51"/>
    </row>
    <row r="1279" spans="1:63" x14ac:dyDescent="0.4">
      <c r="A1279" s="147" t="s">
        <v>1356</v>
      </c>
      <c r="G1279" s="147" t="s">
        <v>1356</v>
      </c>
      <c r="H1279" s="159">
        <v>70.013000000000005</v>
      </c>
      <c r="I1279" s="153">
        <v>70.39</v>
      </c>
      <c r="J1279" s="153">
        <v>70.319999999999993</v>
      </c>
      <c r="K1279" s="153">
        <v>70.28</v>
      </c>
      <c r="L1279" s="153">
        <v>70.28</v>
      </c>
      <c r="M1279" s="80">
        <f t="shared" si="38"/>
        <v>70.39</v>
      </c>
      <c r="N1279" s="80">
        <f t="shared" si="39"/>
        <v>70.28</v>
      </c>
      <c r="O1279" s="153">
        <v>21.14</v>
      </c>
      <c r="P1279" s="153">
        <v>21.09</v>
      </c>
      <c r="Q1279" s="153">
        <v>21.16</v>
      </c>
      <c r="R1279" s="153">
        <v>21.08</v>
      </c>
      <c r="S1279" s="4"/>
      <c r="U1279" s="147" t="s">
        <v>1356</v>
      </c>
      <c r="V1279" s="11"/>
      <c r="W1279" s="4"/>
      <c r="X1279" s="12"/>
      <c r="Y1279" s="14"/>
      <c r="Z1279" s="4"/>
      <c r="AA1279" s="13"/>
      <c r="AB1279" s="11"/>
      <c r="AC1279" s="4"/>
      <c r="AD1279" s="12"/>
      <c r="AE1279" s="13"/>
      <c r="AF1279" s="14">
        <v>5.0225</v>
      </c>
      <c r="AG1279" s="133"/>
      <c r="AI1279" s="96"/>
      <c r="AL1279" s="64">
        <v>4.1740010999999999</v>
      </c>
      <c r="AM1279" s="56">
        <v>13.52000000000011</v>
      </c>
      <c r="AN1279" s="56">
        <v>15.400000000000171</v>
      </c>
      <c r="AO1279" s="62">
        <v>21.28000000000014</v>
      </c>
      <c r="AQ1279" s="64">
        <v>4.0815207666666664</v>
      </c>
      <c r="AR1279" s="56">
        <v>12.88</v>
      </c>
      <c r="AS1279" s="56">
        <v>14.279999999999941</v>
      </c>
      <c r="AT1279" s="62">
        <v>18.060000000000009</v>
      </c>
      <c r="AV1279" s="64">
        <v>3.7287820833333338</v>
      </c>
      <c r="AW1279" s="56">
        <v>12.559999999999951</v>
      </c>
      <c r="AX1279" s="56">
        <v>13.980000000000009</v>
      </c>
      <c r="AY1279" s="62">
        <v>18.499999999999961</v>
      </c>
      <c r="BA1279" s="64">
        <v>3.182366</v>
      </c>
      <c r="BB1279" s="56">
        <v>15.240000000000011</v>
      </c>
      <c r="BC1279" s="56">
        <v>17.659999999999961</v>
      </c>
      <c r="BD1279" s="62">
        <v>29.29999999999993</v>
      </c>
      <c r="BF1279" s="64">
        <v>2.902628416666666</v>
      </c>
      <c r="BG1279" s="56">
        <v>19.140000000000072</v>
      </c>
      <c r="BH1279" s="56">
        <v>25.500000000000082</v>
      </c>
      <c r="BI1279" s="62">
        <v>55.800000000000068</v>
      </c>
      <c r="BJ1279" s="70"/>
      <c r="BK1279" s="51"/>
    </row>
    <row r="1280" spans="1:63" x14ac:dyDescent="0.4">
      <c r="A1280" s="147" t="s">
        <v>1357</v>
      </c>
      <c r="G1280" s="147" t="s">
        <v>1357</v>
      </c>
      <c r="H1280" s="159">
        <v>69.989999999999995</v>
      </c>
      <c r="I1280" s="153">
        <v>70.34</v>
      </c>
      <c r="J1280" s="153">
        <v>70.319999999999993</v>
      </c>
      <c r="K1280" s="153">
        <v>70.27</v>
      </c>
      <c r="L1280" s="153">
        <v>70.349999999999994</v>
      </c>
      <c r="M1280" s="80">
        <f t="shared" si="38"/>
        <v>70.349999999999994</v>
      </c>
      <c r="N1280" s="80">
        <f t="shared" si="39"/>
        <v>70.27</v>
      </c>
      <c r="O1280" s="153">
        <v>21.1</v>
      </c>
      <c r="P1280" s="153">
        <v>21.15</v>
      </c>
      <c r="Q1280" s="153">
        <v>21.16</v>
      </c>
      <c r="R1280" s="153">
        <v>21.1</v>
      </c>
      <c r="S1280" s="4"/>
      <c r="U1280" s="147" t="s">
        <v>1357</v>
      </c>
      <c r="V1280" s="11"/>
      <c r="W1280" s="4"/>
      <c r="X1280" s="12"/>
      <c r="Y1280" s="14"/>
      <c r="Z1280" s="4"/>
      <c r="AA1280" s="13"/>
      <c r="AB1280" s="11"/>
      <c r="AC1280" s="4"/>
      <c r="AD1280" s="12"/>
      <c r="AE1280" s="13"/>
      <c r="AF1280" s="14">
        <v>5.0227000000000004</v>
      </c>
      <c r="AG1280" s="133"/>
      <c r="AI1280" s="96"/>
      <c r="AL1280" s="64">
        <v>4.1736653666666674</v>
      </c>
      <c r="AM1280" s="56">
        <v>13.2200000000001</v>
      </c>
      <c r="AN1280" s="56">
        <v>15.120000000000109</v>
      </c>
      <c r="AO1280" s="62">
        <v>20.96</v>
      </c>
      <c r="AQ1280" s="64">
        <v>4.0839420833333326</v>
      </c>
      <c r="AR1280" s="56">
        <v>12.939999999999859</v>
      </c>
      <c r="AS1280" s="56">
        <v>14.31999999999984</v>
      </c>
      <c r="AT1280" s="62">
        <v>18.059999999999921</v>
      </c>
      <c r="AV1280" s="64">
        <v>3.7311857333333331</v>
      </c>
      <c r="AW1280" s="56">
        <v>12.680000000000019</v>
      </c>
      <c r="AX1280" s="56">
        <v>14.08000000000005</v>
      </c>
      <c r="AY1280" s="62">
        <v>18.580000000000041</v>
      </c>
      <c r="BA1280" s="64">
        <v>3.187924133333333</v>
      </c>
      <c r="BB1280" s="56">
        <v>15.680000000000049</v>
      </c>
      <c r="BC1280" s="56">
        <v>18.060000000000009</v>
      </c>
      <c r="BD1280" s="62">
        <v>29.740000000000059</v>
      </c>
      <c r="BF1280" s="64">
        <v>2.9113189999999989</v>
      </c>
      <c r="BG1280" s="56">
        <v>19.58000000000002</v>
      </c>
      <c r="BH1280" s="56">
        <v>26.480000000000011</v>
      </c>
      <c r="BI1280" s="62">
        <v>56.899999999999991</v>
      </c>
      <c r="BJ1280" s="70"/>
      <c r="BK1280" s="51"/>
    </row>
    <row r="1281" spans="1:63" x14ac:dyDescent="0.4">
      <c r="A1281" s="147" t="s">
        <v>1358</v>
      </c>
      <c r="G1281" s="147" t="s">
        <v>1358</v>
      </c>
      <c r="H1281" s="159">
        <v>69.97</v>
      </c>
      <c r="I1281" s="153">
        <v>70.27</v>
      </c>
      <c r="J1281" s="153">
        <v>70.37</v>
      </c>
      <c r="K1281" s="153">
        <v>70.31</v>
      </c>
      <c r="L1281" s="153">
        <v>70.28</v>
      </c>
      <c r="M1281" s="80">
        <f t="shared" si="38"/>
        <v>70.37</v>
      </c>
      <c r="N1281" s="80">
        <f t="shared" si="39"/>
        <v>70.27</v>
      </c>
      <c r="O1281" s="153">
        <v>21.21</v>
      </c>
      <c r="P1281" s="153">
        <v>21.08</v>
      </c>
      <c r="Q1281" s="153">
        <v>21.07</v>
      </c>
      <c r="R1281" s="153">
        <v>21.02</v>
      </c>
      <c r="S1281" s="4"/>
      <c r="U1281" s="147" t="s">
        <v>1358</v>
      </c>
      <c r="V1281" s="11"/>
      <c r="W1281" s="4"/>
      <c r="X1281" s="12"/>
      <c r="Y1281" s="14"/>
      <c r="Z1281" s="4"/>
      <c r="AA1281" s="13"/>
      <c r="AB1281" s="11"/>
      <c r="AC1281" s="4"/>
      <c r="AD1281" s="12"/>
      <c r="AE1281" s="13"/>
      <c r="AF1281" s="14">
        <v>5.0122</v>
      </c>
      <c r="AG1281" s="133"/>
      <c r="AI1281" s="96"/>
      <c r="AL1281" s="64">
        <v>4.1732661666666671</v>
      </c>
      <c r="AM1281" s="56">
        <v>13.03999999999998</v>
      </c>
      <c r="AN1281" s="56">
        <v>14.900000000000089</v>
      </c>
      <c r="AO1281" s="62">
        <v>20.780000000000069</v>
      </c>
      <c r="AQ1281" s="64">
        <v>4.0826810500000006</v>
      </c>
      <c r="AR1281" s="56">
        <v>12.640000000000031</v>
      </c>
      <c r="AS1281" s="56">
        <v>14.00000000000006</v>
      </c>
      <c r="AT1281" s="62">
        <v>17.739999999999959</v>
      </c>
      <c r="AV1281" s="64">
        <v>3.7292292333333328</v>
      </c>
      <c r="AW1281" s="56">
        <v>12.27999999999998</v>
      </c>
      <c r="AX1281" s="56">
        <v>13.68</v>
      </c>
      <c r="AY1281" s="62">
        <v>18.14</v>
      </c>
      <c r="BA1281" s="64">
        <v>3.1865845833333331</v>
      </c>
      <c r="BB1281" s="56">
        <v>15.019999999999991</v>
      </c>
      <c r="BC1281" s="56">
        <v>17.38</v>
      </c>
      <c r="BD1281" s="62">
        <v>28.960000000000012</v>
      </c>
      <c r="BF1281" s="64">
        <v>2.9120776166666671</v>
      </c>
      <c r="BG1281" s="56">
        <v>18.839999999999971</v>
      </c>
      <c r="BH1281" s="56">
        <v>25.259999999999931</v>
      </c>
      <c r="BI1281" s="62">
        <v>54.84</v>
      </c>
      <c r="BJ1281" s="70"/>
      <c r="BK1281" s="51"/>
    </row>
    <row r="1282" spans="1:63" x14ac:dyDescent="0.4">
      <c r="A1282" s="147" t="s">
        <v>1359</v>
      </c>
      <c r="G1282" s="147" t="s">
        <v>1359</v>
      </c>
      <c r="H1282" s="159">
        <v>69.747</v>
      </c>
      <c r="I1282" s="153">
        <v>70.349999999999994</v>
      </c>
      <c r="J1282" s="153">
        <v>70.319999999999993</v>
      </c>
      <c r="K1282" s="153">
        <v>70.400000000000006</v>
      </c>
      <c r="L1282" s="153">
        <v>70.34</v>
      </c>
      <c r="M1282" s="80">
        <f t="shared" si="38"/>
        <v>70.400000000000006</v>
      </c>
      <c r="N1282" s="80">
        <f t="shared" si="39"/>
        <v>70.319999999999993</v>
      </c>
      <c r="O1282" s="153">
        <v>21.16</v>
      </c>
      <c r="P1282" s="153">
        <v>21.14</v>
      </c>
      <c r="Q1282" s="153">
        <v>21.12</v>
      </c>
      <c r="R1282" s="153">
        <v>21.02</v>
      </c>
      <c r="S1282" s="4"/>
      <c r="U1282" s="147" t="s">
        <v>1359</v>
      </c>
      <c r="V1282" s="11"/>
      <c r="W1282" s="4"/>
      <c r="X1282" s="12"/>
      <c r="Y1282" s="14"/>
      <c r="Z1282" s="4"/>
      <c r="AA1282" s="13"/>
      <c r="AB1282" s="11"/>
      <c r="AC1282" s="4"/>
      <c r="AD1282" s="12"/>
      <c r="AE1282" s="13"/>
      <c r="AF1282" s="14">
        <v>4.9923000000000002</v>
      </c>
      <c r="AG1282" s="133"/>
      <c r="AI1282" s="96"/>
      <c r="AL1282" s="64">
        <v>4.1742677500000003</v>
      </c>
      <c r="AM1282" s="56">
        <v>13.319999999999871</v>
      </c>
      <c r="AN1282" s="56">
        <v>15.21999999999988</v>
      </c>
      <c r="AO1282" s="62">
        <v>21.10000000000003</v>
      </c>
      <c r="AQ1282" s="64">
        <v>4.0835968499999984</v>
      </c>
      <c r="AR1282" s="56">
        <v>12.919999999999909</v>
      </c>
      <c r="AS1282" s="56">
        <v>14.32000000000002</v>
      </c>
      <c r="AT1282" s="62">
        <v>18.139999999999912</v>
      </c>
      <c r="AV1282" s="64">
        <v>3.7301971166666661</v>
      </c>
      <c r="AW1282" s="56">
        <v>12.620000000000079</v>
      </c>
      <c r="AX1282" s="56">
        <v>14.060000000000009</v>
      </c>
      <c r="AY1282" s="62">
        <v>18.559999999999999</v>
      </c>
      <c r="BA1282" s="64">
        <v>3.1826858666666671</v>
      </c>
      <c r="BB1282" s="56">
        <v>15.41999999999994</v>
      </c>
      <c r="BC1282" s="56">
        <v>17.839999999999989</v>
      </c>
      <c r="BD1282" s="62">
        <v>29.539999999999988</v>
      </c>
      <c r="BF1282" s="64">
        <v>2.901334283333334</v>
      </c>
      <c r="BG1282" s="56">
        <v>19.140000000000072</v>
      </c>
      <c r="BH1282" s="56">
        <v>25.600000000000019</v>
      </c>
      <c r="BI1282" s="62">
        <v>56.500000000000043</v>
      </c>
      <c r="BJ1282" s="70"/>
      <c r="BK1282" s="51"/>
    </row>
    <row r="1283" spans="1:63" x14ac:dyDescent="0.4">
      <c r="A1283" s="147" t="s">
        <v>1360</v>
      </c>
      <c r="G1283" s="147" t="s">
        <v>1360</v>
      </c>
      <c r="H1283" s="159">
        <v>69.997</v>
      </c>
      <c r="I1283" s="153">
        <v>70.31</v>
      </c>
      <c r="J1283" s="153">
        <v>70.36</v>
      </c>
      <c r="K1283" s="153">
        <v>70.31</v>
      </c>
      <c r="L1283" s="153">
        <v>70.39</v>
      </c>
      <c r="M1283" s="80">
        <f t="shared" si="38"/>
        <v>70.39</v>
      </c>
      <c r="N1283" s="80">
        <f t="shared" si="39"/>
        <v>70.31</v>
      </c>
      <c r="O1283" s="153">
        <v>21.15</v>
      </c>
      <c r="P1283" s="153">
        <v>21.1</v>
      </c>
      <c r="Q1283" s="153">
        <v>21.08</v>
      </c>
      <c r="R1283" s="153">
        <v>21.04</v>
      </c>
      <c r="S1283" s="4"/>
      <c r="U1283" s="147" t="s">
        <v>1360</v>
      </c>
      <c r="V1283" s="11"/>
      <c r="W1283" s="4"/>
      <c r="X1283" s="12"/>
      <c r="Y1283" s="14"/>
      <c r="Z1283" s="4"/>
      <c r="AA1283" s="13"/>
      <c r="AB1283" s="11"/>
      <c r="AC1283" s="4"/>
      <c r="AD1283" s="12"/>
      <c r="AE1283" s="13"/>
      <c r="AF1283" s="14">
        <v>5.0152999999999999</v>
      </c>
      <c r="AG1283" s="133"/>
      <c r="AI1283" s="96"/>
      <c r="AL1283" s="64">
        <v>4.1718625833333336</v>
      </c>
      <c r="AM1283" s="56">
        <v>14.519999999999911</v>
      </c>
      <c r="AN1283" s="56">
        <v>16.499999999999911</v>
      </c>
      <c r="AO1283" s="62">
        <v>22.599999999999909</v>
      </c>
      <c r="AQ1283" s="64">
        <v>4.0814324166666669</v>
      </c>
      <c r="AR1283" s="56">
        <v>14.220000000000081</v>
      </c>
      <c r="AS1283" s="56">
        <v>15.680000000000049</v>
      </c>
      <c r="AT1283" s="62">
        <v>19.81999999999999</v>
      </c>
      <c r="AV1283" s="64">
        <v>3.7255088833333332</v>
      </c>
      <c r="AW1283" s="56">
        <v>13.72</v>
      </c>
      <c r="AX1283" s="56">
        <v>15.17999999999997</v>
      </c>
      <c r="AY1283" s="62">
        <v>20.000000000000021</v>
      </c>
      <c r="BA1283" s="64">
        <v>3.1720424500000002</v>
      </c>
      <c r="BB1283" s="56">
        <v>15.96000000000002</v>
      </c>
      <c r="BC1283" s="56">
        <v>18.480000000000011</v>
      </c>
      <c r="BD1283" s="62">
        <v>30.879999999999971</v>
      </c>
      <c r="BF1283" s="64">
        <v>2.9120476333333341</v>
      </c>
      <c r="BG1283" s="56">
        <v>19.58000000000002</v>
      </c>
      <c r="BH1283" s="56">
        <v>26.22</v>
      </c>
      <c r="BI1283" s="62">
        <v>56.740000000000009</v>
      </c>
      <c r="BJ1283" s="70"/>
      <c r="BK1283" s="51"/>
    </row>
    <row r="1284" spans="1:63" x14ac:dyDescent="0.4">
      <c r="A1284" s="147" t="s">
        <v>1361</v>
      </c>
      <c r="G1284" s="147" t="s">
        <v>1361</v>
      </c>
      <c r="H1284" s="159">
        <v>70.009</v>
      </c>
      <c r="I1284" s="153">
        <v>70.319999999999993</v>
      </c>
      <c r="J1284" s="153">
        <v>70.34</v>
      </c>
      <c r="K1284" s="153">
        <v>70.28</v>
      </c>
      <c r="L1284" s="153">
        <v>70.33</v>
      </c>
      <c r="M1284" s="80">
        <f t="shared" si="38"/>
        <v>70.34</v>
      </c>
      <c r="N1284" s="80">
        <f t="shared" si="39"/>
        <v>70.28</v>
      </c>
      <c r="O1284" s="153">
        <v>21.13</v>
      </c>
      <c r="P1284" s="153">
        <v>21.08</v>
      </c>
      <c r="Q1284" s="153">
        <v>21.11</v>
      </c>
      <c r="R1284" s="153">
        <v>21.09</v>
      </c>
      <c r="S1284" s="4"/>
      <c r="U1284" s="147" t="s">
        <v>1361</v>
      </c>
      <c r="V1284" s="11"/>
      <c r="W1284" s="4"/>
      <c r="X1284" s="12"/>
      <c r="Y1284" s="14"/>
      <c r="Z1284" s="4"/>
      <c r="AA1284" s="13"/>
      <c r="AB1284" s="11"/>
      <c r="AC1284" s="4"/>
      <c r="AD1284" s="12"/>
      <c r="AE1284" s="13"/>
      <c r="AF1284" s="14">
        <v>5.0284000000000004</v>
      </c>
      <c r="AG1284" s="133"/>
      <c r="AI1284" s="96"/>
      <c r="AL1284" s="64">
        <v>4.1728988666666664</v>
      </c>
      <c r="AM1284" s="56">
        <v>13.78000000000004</v>
      </c>
      <c r="AN1284" s="56">
        <v>15.72000000000013</v>
      </c>
      <c r="AO1284" s="62">
        <v>21.76000000000009</v>
      </c>
      <c r="AQ1284" s="64">
        <v>4.0812836166666662</v>
      </c>
      <c r="AR1284" s="56">
        <v>13.34</v>
      </c>
      <c r="AS1284" s="56">
        <v>14.719999999999979</v>
      </c>
      <c r="AT1284" s="62">
        <v>18.679999999999989</v>
      </c>
      <c r="AV1284" s="64">
        <v>3.7281829499999999</v>
      </c>
      <c r="AW1284" s="56">
        <v>12.999999999999989</v>
      </c>
      <c r="AX1284" s="56">
        <v>14.41999999999997</v>
      </c>
      <c r="AY1284" s="62">
        <v>19.059999999999992</v>
      </c>
      <c r="BA1284" s="64">
        <v>3.1808671833333331</v>
      </c>
      <c r="BB1284" s="56">
        <v>15.21999999999997</v>
      </c>
      <c r="BC1284" s="56">
        <v>17.619999999999969</v>
      </c>
      <c r="BD1284" s="62">
        <v>29.38000000000001</v>
      </c>
      <c r="BF1284" s="64">
        <v>2.9157068000000002</v>
      </c>
      <c r="BG1284" s="56">
        <v>18.800000000000061</v>
      </c>
      <c r="BH1284" s="56">
        <v>25.240000000000059</v>
      </c>
      <c r="BI1284" s="62">
        <v>54.579999999999977</v>
      </c>
      <c r="BJ1284" s="70"/>
      <c r="BK1284" s="51"/>
    </row>
    <row r="1285" spans="1:63" x14ac:dyDescent="0.4">
      <c r="A1285" s="147" t="s">
        <v>1362</v>
      </c>
      <c r="G1285" s="147" t="s">
        <v>1362</v>
      </c>
      <c r="H1285" s="159">
        <v>69.802999999999997</v>
      </c>
      <c r="I1285" s="153">
        <v>70.38</v>
      </c>
      <c r="J1285" s="153">
        <v>70.37</v>
      </c>
      <c r="K1285" s="153">
        <v>70.3</v>
      </c>
      <c r="L1285" s="153">
        <v>70.3</v>
      </c>
      <c r="M1285" s="80">
        <f t="shared" si="38"/>
        <v>70.38</v>
      </c>
      <c r="N1285" s="80">
        <f t="shared" si="39"/>
        <v>70.3</v>
      </c>
      <c r="O1285" s="153">
        <v>21.16</v>
      </c>
      <c r="P1285" s="153">
        <v>21.13</v>
      </c>
      <c r="Q1285" s="153">
        <v>21.11</v>
      </c>
      <c r="R1285" s="153">
        <v>21.09</v>
      </c>
      <c r="S1285" s="4"/>
      <c r="U1285" s="147" t="s">
        <v>1362</v>
      </c>
      <c r="V1285" s="11"/>
      <c r="W1285" s="4"/>
      <c r="X1285" s="12"/>
      <c r="Y1285" s="14"/>
      <c r="Z1285" s="4"/>
      <c r="AA1285" s="13"/>
      <c r="AB1285" s="11"/>
      <c r="AC1285" s="4"/>
      <c r="AD1285" s="12"/>
      <c r="AE1285" s="13"/>
      <c r="AF1285" s="14">
        <v>5.0090000000000003</v>
      </c>
      <c r="AG1285" s="133"/>
      <c r="AI1285" s="96"/>
      <c r="AL1285" s="64">
        <v>4.1723784166666666</v>
      </c>
      <c r="AM1285" s="56">
        <v>13.81999999999994</v>
      </c>
      <c r="AN1285" s="56">
        <v>15.71999999999996</v>
      </c>
      <c r="AO1285" s="62">
        <v>21.739999999999959</v>
      </c>
      <c r="AQ1285" s="64">
        <v>4.0812102833333341</v>
      </c>
      <c r="AR1285" s="56">
        <v>13.160000000000061</v>
      </c>
      <c r="AS1285" s="56">
        <v>14.54000000000004</v>
      </c>
      <c r="AT1285" s="62">
        <v>18.480000000000011</v>
      </c>
      <c r="AV1285" s="64">
        <v>3.727099266666666</v>
      </c>
      <c r="AW1285" s="56">
        <v>12.92</v>
      </c>
      <c r="AX1285" s="56">
        <v>14.299999999999979</v>
      </c>
      <c r="AY1285" s="62">
        <v>18.940000000000001</v>
      </c>
      <c r="BA1285" s="64">
        <v>3.18380185</v>
      </c>
      <c r="BB1285" s="56">
        <v>15.78</v>
      </c>
      <c r="BC1285" s="56">
        <v>18.19999999999995</v>
      </c>
      <c r="BD1285" s="62">
        <v>30.039999999999981</v>
      </c>
      <c r="BF1285" s="64">
        <v>2.9267054333333342</v>
      </c>
      <c r="BG1285" s="56">
        <v>19.380000000000042</v>
      </c>
      <c r="BH1285" s="56">
        <v>25.739999999999959</v>
      </c>
      <c r="BI1285" s="62">
        <v>53.960000000000008</v>
      </c>
      <c r="BJ1285" s="70"/>
      <c r="BK1285" s="51"/>
    </row>
    <row r="1286" spans="1:63" x14ac:dyDescent="0.4">
      <c r="A1286" s="147" t="s">
        <v>1363</v>
      </c>
      <c r="G1286" s="147" t="s">
        <v>1363</v>
      </c>
      <c r="H1286" s="159">
        <v>70.012</v>
      </c>
      <c r="I1286" s="153">
        <v>70.38</v>
      </c>
      <c r="J1286" s="153">
        <v>70.39</v>
      </c>
      <c r="K1286" s="153">
        <v>70.28</v>
      </c>
      <c r="L1286" s="153">
        <v>70.33</v>
      </c>
      <c r="M1286" s="80">
        <f t="shared" ref="M1286:M1305" si="40">MAX(I1286:L1286)</f>
        <v>70.39</v>
      </c>
      <c r="N1286" s="80">
        <f t="shared" ref="N1286:N1305" si="41">MIN(I1286:L1286)</f>
        <v>70.28</v>
      </c>
      <c r="O1286" s="153">
        <v>21.17</v>
      </c>
      <c r="P1286" s="153">
        <v>21.16</v>
      </c>
      <c r="Q1286" s="153">
        <v>21.13</v>
      </c>
      <c r="R1286" s="153">
        <v>21.08</v>
      </c>
      <c r="S1286" s="4"/>
      <c r="U1286" s="147" t="s">
        <v>1363</v>
      </c>
      <c r="V1286" s="11"/>
      <c r="W1286" s="4"/>
      <c r="X1286" s="12"/>
      <c r="Y1286" s="14"/>
      <c r="Z1286" s="4"/>
      <c r="AA1286" s="13"/>
      <c r="AB1286" s="11"/>
      <c r="AC1286" s="4"/>
      <c r="AD1286" s="12"/>
      <c r="AE1286" s="13"/>
      <c r="AF1286" s="14">
        <v>5.0153999999999996</v>
      </c>
      <c r="AG1286" s="133"/>
      <c r="AI1286" s="96"/>
      <c r="AL1286" s="64">
        <v>4.1719902666666666</v>
      </c>
      <c r="AM1286" s="56">
        <v>14.48</v>
      </c>
      <c r="AN1286" s="56">
        <v>16.41999999999992</v>
      </c>
      <c r="AO1286" s="62">
        <v>22.539999999999871</v>
      </c>
      <c r="AQ1286" s="64">
        <v>4.0815852333333336</v>
      </c>
      <c r="AR1286" s="56">
        <v>14.059999999999921</v>
      </c>
      <c r="AS1286" s="56">
        <v>15.479999999999981</v>
      </c>
      <c r="AT1286" s="62">
        <v>19.579999999999931</v>
      </c>
      <c r="AV1286" s="64">
        <v>3.7268832999999999</v>
      </c>
      <c r="AW1286" s="56">
        <v>13.78000000000004</v>
      </c>
      <c r="AX1286" s="56">
        <v>15.240000000000011</v>
      </c>
      <c r="AY1286" s="62">
        <v>20.04000000000001</v>
      </c>
      <c r="BA1286" s="64">
        <v>3.1803812833333329</v>
      </c>
      <c r="BB1286" s="56">
        <v>16.41999999999992</v>
      </c>
      <c r="BC1286" s="56">
        <v>18.940000000000001</v>
      </c>
      <c r="BD1286" s="62">
        <v>31.119999999999951</v>
      </c>
      <c r="BF1286" s="64">
        <v>2.9256458666666658</v>
      </c>
      <c r="BG1286" s="56">
        <v>20.080000000000009</v>
      </c>
      <c r="BH1286" s="56">
        <v>26.499999999999972</v>
      </c>
      <c r="BI1286" s="62">
        <v>55.060000000000016</v>
      </c>
      <c r="BJ1286" s="70"/>
      <c r="BK1286" s="51"/>
    </row>
    <row r="1287" spans="1:63" x14ac:dyDescent="0.4">
      <c r="A1287" s="147" t="s">
        <v>1364</v>
      </c>
      <c r="G1287" s="147" t="s">
        <v>1364</v>
      </c>
      <c r="H1287" s="159">
        <v>70.025000000000006</v>
      </c>
      <c r="I1287" s="153">
        <v>70.31</v>
      </c>
      <c r="J1287" s="153">
        <v>70.38</v>
      </c>
      <c r="K1287" s="153">
        <v>70.28</v>
      </c>
      <c r="L1287" s="153">
        <v>70.3</v>
      </c>
      <c r="M1287" s="80">
        <f t="shared" si="40"/>
        <v>70.38</v>
      </c>
      <c r="N1287" s="80">
        <f t="shared" si="41"/>
        <v>70.28</v>
      </c>
      <c r="O1287" s="153">
        <v>21.17</v>
      </c>
      <c r="P1287" s="153">
        <v>21.04</v>
      </c>
      <c r="Q1287" s="153">
        <v>21.15</v>
      </c>
      <c r="R1287" s="153">
        <v>21.11</v>
      </c>
      <c r="S1287" s="4"/>
      <c r="U1287" s="147" t="s">
        <v>1364</v>
      </c>
      <c r="V1287" s="11"/>
      <c r="W1287" s="4"/>
      <c r="X1287" s="12"/>
      <c r="Y1287" s="14"/>
      <c r="Z1287" s="4"/>
      <c r="AA1287" s="13"/>
      <c r="AB1287" s="11"/>
      <c r="AC1287" s="4"/>
      <c r="AD1287" s="12"/>
      <c r="AE1287" s="13"/>
      <c r="AF1287" s="14">
        <v>5.0180999999999996</v>
      </c>
      <c r="AG1287" s="133"/>
      <c r="AI1287" s="96"/>
      <c r="AL1287" s="64">
        <v>4.1732248500000004</v>
      </c>
      <c r="AM1287" s="56">
        <v>13.8399999999999</v>
      </c>
      <c r="AN1287" s="56">
        <v>15.759999999999859</v>
      </c>
      <c r="AO1287" s="62">
        <v>21.819999999999951</v>
      </c>
      <c r="AQ1287" s="64">
        <v>4.0824861499999976</v>
      </c>
      <c r="AR1287" s="56">
        <v>13.419999999999989</v>
      </c>
      <c r="AS1287" s="56">
        <v>14.839999999999881</v>
      </c>
      <c r="AT1287" s="62">
        <v>18.819999999999929</v>
      </c>
      <c r="AV1287" s="64">
        <v>3.729459166666667</v>
      </c>
      <c r="AW1287" s="56">
        <v>13.05999999999994</v>
      </c>
      <c r="AX1287" s="56">
        <v>14.45999999999996</v>
      </c>
      <c r="AY1287" s="62">
        <v>19.119999999999941</v>
      </c>
      <c r="BA1287" s="64">
        <v>3.1830725333333332</v>
      </c>
      <c r="BB1287" s="56">
        <v>15.340000000000041</v>
      </c>
      <c r="BC1287" s="56">
        <v>17.740000000000041</v>
      </c>
      <c r="BD1287" s="62">
        <v>29.540000000000081</v>
      </c>
      <c r="BF1287" s="64">
        <v>2.9229355333333329</v>
      </c>
      <c r="BG1287" s="56">
        <v>18.900000000000009</v>
      </c>
      <c r="BH1287" s="56">
        <v>25.260000000000019</v>
      </c>
      <c r="BI1287" s="62">
        <v>53.819999999999979</v>
      </c>
      <c r="BJ1287" s="70"/>
      <c r="BK1287" s="51"/>
    </row>
    <row r="1288" spans="1:63" x14ac:dyDescent="0.4">
      <c r="A1288" s="147" t="s">
        <v>1365</v>
      </c>
      <c r="G1288" s="147" t="s">
        <v>1365</v>
      </c>
      <c r="H1288" s="159">
        <v>69.921000000000006</v>
      </c>
      <c r="I1288" s="153">
        <v>70.37</v>
      </c>
      <c r="J1288" s="153">
        <v>70.28</v>
      </c>
      <c r="K1288" s="153">
        <v>70.33</v>
      </c>
      <c r="L1288" s="153">
        <v>70.33</v>
      </c>
      <c r="M1288" s="80">
        <f t="shared" si="40"/>
        <v>70.37</v>
      </c>
      <c r="N1288" s="80">
        <f t="shared" si="41"/>
        <v>70.28</v>
      </c>
      <c r="O1288" s="153">
        <v>21.1</v>
      </c>
      <c r="P1288" s="153">
        <v>21.07</v>
      </c>
      <c r="Q1288" s="153">
        <v>21.08</v>
      </c>
      <c r="R1288" s="153">
        <v>21.06</v>
      </c>
      <c r="S1288" s="4"/>
      <c r="U1288" s="147" t="s">
        <v>1365</v>
      </c>
      <c r="V1288" s="11"/>
      <c r="W1288" s="4"/>
      <c r="X1288" s="12"/>
      <c r="Y1288" s="14"/>
      <c r="Z1288" s="4"/>
      <c r="AA1288" s="13"/>
      <c r="AB1288" s="11"/>
      <c r="AC1288" s="4"/>
      <c r="AD1288" s="12"/>
      <c r="AE1288" s="13"/>
      <c r="AF1288" s="14">
        <v>5.0109000000000004</v>
      </c>
      <c r="AG1288" s="133"/>
      <c r="AI1288" s="96"/>
      <c r="AL1288" s="64">
        <v>4.1732014333333334</v>
      </c>
      <c r="AM1288" s="56">
        <v>13.879999999999979</v>
      </c>
      <c r="AN1288" s="56">
        <v>15.78</v>
      </c>
      <c r="AO1288" s="62">
        <v>21.819999999999951</v>
      </c>
      <c r="AQ1288" s="64">
        <v>4.0813661500000009</v>
      </c>
      <c r="AR1288" s="56">
        <v>13.26000000000001</v>
      </c>
      <c r="AS1288" s="56">
        <v>14.63999999999999</v>
      </c>
      <c r="AT1288" s="62">
        <v>18.560000000000091</v>
      </c>
      <c r="AV1288" s="64">
        <v>3.7282379166666662</v>
      </c>
      <c r="AW1288" s="56">
        <v>12.979999999999951</v>
      </c>
      <c r="AX1288" s="56">
        <v>14.379999999999971</v>
      </c>
      <c r="AY1288" s="62">
        <v>18.99999999999995</v>
      </c>
      <c r="BA1288" s="64">
        <v>3.181842483333333</v>
      </c>
      <c r="BB1288" s="56">
        <v>15.120000000000021</v>
      </c>
      <c r="BC1288" s="56">
        <v>17.520000000000021</v>
      </c>
      <c r="BD1288" s="62">
        <v>29.240000000000069</v>
      </c>
      <c r="BF1288" s="64">
        <v>2.915771266666666</v>
      </c>
      <c r="BG1288" s="56">
        <v>18.780000000000019</v>
      </c>
      <c r="BH1288" s="56">
        <v>25.11999999999999</v>
      </c>
      <c r="BI1288" s="62">
        <v>54.340000000000011</v>
      </c>
      <c r="BJ1288" s="70"/>
      <c r="BK1288" s="51"/>
    </row>
    <row r="1289" spans="1:63" x14ac:dyDescent="0.4">
      <c r="A1289" s="147" t="s">
        <v>1366</v>
      </c>
      <c r="G1289" s="147" t="s">
        <v>1366</v>
      </c>
      <c r="H1289" s="159">
        <v>70.018000000000001</v>
      </c>
      <c r="I1289" s="153">
        <v>70.31</v>
      </c>
      <c r="J1289" s="153">
        <v>70.319999999999993</v>
      </c>
      <c r="K1289" s="153">
        <v>70.34</v>
      </c>
      <c r="L1289" s="153">
        <v>70.290000000000006</v>
      </c>
      <c r="M1289" s="80">
        <f t="shared" si="40"/>
        <v>70.34</v>
      </c>
      <c r="N1289" s="80">
        <f t="shared" si="41"/>
        <v>70.290000000000006</v>
      </c>
      <c r="O1289" s="153">
        <v>21.08</v>
      </c>
      <c r="P1289" s="153">
        <v>21.14</v>
      </c>
      <c r="Q1289" s="153">
        <v>21.14</v>
      </c>
      <c r="R1289" s="153">
        <v>21.08</v>
      </c>
      <c r="S1289" s="4"/>
      <c r="U1289" s="147" t="s">
        <v>1366</v>
      </c>
      <c r="V1289" s="11"/>
      <c r="W1289" s="4"/>
      <c r="X1289" s="12"/>
      <c r="Y1289" s="14"/>
      <c r="Z1289" s="4"/>
      <c r="AA1289" s="13"/>
      <c r="AB1289" s="11"/>
      <c r="AC1289" s="4"/>
      <c r="AD1289" s="12"/>
      <c r="AE1289" s="13"/>
      <c r="AF1289" s="14">
        <v>5.0297999999999998</v>
      </c>
      <c r="AG1289" s="133"/>
      <c r="AI1289" s="96"/>
      <c r="AL1289" s="64">
        <v>4.1729093833333328</v>
      </c>
      <c r="AM1289" s="56">
        <v>14.440000000000101</v>
      </c>
      <c r="AN1289" s="56">
        <v>16.420000000000101</v>
      </c>
      <c r="AO1289" s="62">
        <v>22.540000000000049</v>
      </c>
      <c r="AQ1289" s="64">
        <v>4.0824563833333327</v>
      </c>
      <c r="AR1289" s="56">
        <v>14.15999999999986</v>
      </c>
      <c r="AS1289" s="56">
        <v>15.599999999999881</v>
      </c>
      <c r="AT1289" s="62">
        <v>19.699999999999921</v>
      </c>
      <c r="AV1289" s="64">
        <v>3.729168183333333</v>
      </c>
      <c r="AW1289" s="56">
        <v>13.82000000000003</v>
      </c>
      <c r="AX1289" s="56">
        <v>15.30000000000005</v>
      </c>
      <c r="AY1289" s="62">
        <v>20.12</v>
      </c>
      <c r="BA1289" s="64">
        <v>3.1817070666666671</v>
      </c>
      <c r="BB1289" s="56">
        <v>16.099999999999959</v>
      </c>
      <c r="BC1289" s="56">
        <v>18.579999999999949</v>
      </c>
      <c r="BD1289" s="62">
        <v>30.579999999999959</v>
      </c>
      <c r="BF1289" s="64">
        <v>2.9201755</v>
      </c>
      <c r="BG1289" s="56">
        <v>19.71999999999996</v>
      </c>
      <c r="BH1289" s="56">
        <v>26.159999999999961</v>
      </c>
      <c r="BI1289" s="62">
        <v>55.159999999999968</v>
      </c>
      <c r="BJ1289" s="70"/>
      <c r="BK1289" s="51"/>
    </row>
    <row r="1290" spans="1:63" x14ac:dyDescent="0.4">
      <c r="A1290" s="147" t="s">
        <v>1367</v>
      </c>
      <c r="G1290" s="147" t="s">
        <v>1367</v>
      </c>
      <c r="H1290" s="159">
        <v>69.867000000000004</v>
      </c>
      <c r="I1290" s="153">
        <v>70.349999999999994</v>
      </c>
      <c r="J1290" s="153">
        <v>70.36</v>
      </c>
      <c r="K1290" s="153">
        <v>70.27</v>
      </c>
      <c r="L1290" s="153">
        <v>70.400000000000006</v>
      </c>
      <c r="M1290" s="80">
        <f t="shared" si="40"/>
        <v>70.400000000000006</v>
      </c>
      <c r="N1290" s="80">
        <f t="shared" si="41"/>
        <v>70.27</v>
      </c>
      <c r="O1290" s="153">
        <v>21.19</v>
      </c>
      <c r="P1290" s="153">
        <v>21.03</v>
      </c>
      <c r="Q1290" s="153">
        <v>21.07</v>
      </c>
      <c r="R1290" s="153">
        <v>21.06</v>
      </c>
      <c r="S1290" s="4"/>
      <c r="U1290" s="147" t="s">
        <v>1367</v>
      </c>
      <c r="V1290" s="11"/>
      <c r="W1290" s="4"/>
      <c r="X1290" s="12"/>
      <c r="Y1290" s="14"/>
      <c r="Z1290" s="4"/>
      <c r="AA1290" s="13"/>
      <c r="AB1290" s="11"/>
      <c r="AC1290" s="4"/>
      <c r="AD1290" s="12"/>
      <c r="AE1290" s="13"/>
      <c r="AF1290" s="14">
        <v>5.0091999999999999</v>
      </c>
      <c r="AG1290" s="133"/>
      <c r="AI1290" s="96"/>
      <c r="AL1290" s="64">
        <v>4.172828683333333</v>
      </c>
      <c r="AM1290" s="56">
        <v>13.81999999999994</v>
      </c>
      <c r="AN1290" s="56">
        <v>15.7</v>
      </c>
      <c r="AO1290" s="62">
        <v>21.72000000000001</v>
      </c>
      <c r="AQ1290" s="64">
        <v>4.0823252000000014</v>
      </c>
      <c r="AR1290" s="56">
        <v>13.49999999999998</v>
      </c>
      <c r="AS1290" s="56">
        <v>14.87999999999996</v>
      </c>
      <c r="AT1290" s="62">
        <v>18.799999999999969</v>
      </c>
      <c r="AV1290" s="64">
        <v>3.7293220333333328</v>
      </c>
      <c r="AW1290" s="56">
        <v>13.27999999999996</v>
      </c>
      <c r="AX1290" s="56">
        <v>14.65999999999994</v>
      </c>
      <c r="AY1290" s="62">
        <v>19.299999999999962</v>
      </c>
      <c r="BA1290" s="64">
        <v>3.185899866666666</v>
      </c>
      <c r="BB1290" s="56">
        <v>16.340000000000021</v>
      </c>
      <c r="BC1290" s="56">
        <v>18.780000000000019</v>
      </c>
      <c r="BD1290" s="62">
        <v>30.6</v>
      </c>
      <c r="BF1290" s="64">
        <v>2.9203434499999998</v>
      </c>
      <c r="BG1290" s="56">
        <v>20.27999999999999</v>
      </c>
      <c r="BH1290" s="56">
        <v>27.46000000000004</v>
      </c>
      <c r="BI1290" s="62">
        <v>57.42000000000003</v>
      </c>
      <c r="BJ1290" s="70"/>
      <c r="BK1290" s="51"/>
    </row>
    <row r="1291" spans="1:63" x14ac:dyDescent="0.4">
      <c r="A1291" s="147" t="s">
        <v>1368</v>
      </c>
      <c r="G1291" s="147" t="s">
        <v>1368</v>
      </c>
      <c r="H1291" s="159">
        <v>69.974000000000004</v>
      </c>
      <c r="I1291" s="153">
        <v>70.38</v>
      </c>
      <c r="J1291" s="153">
        <v>70.3</v>
      </c>
      <c r="K1291" s="153">
        <v>70.290000000000006</v>
      </c>
      <c r="L1291" s="153">
        <v>70.290000000000006</v>
      </c>
      <c r="M1291" s="80">
        <f t="shared" si="40"/>
        <v>70.38</v>
      </c>
      <c r="N1291" s="80">
        <f t="shared" si="41"/>
        <v>70.290000000000006</v>
      </c>
      <c r="O1291" s="153">
        <v>21.07</v>
      </c>
      <c r="P1291" s="153">
        <v>21.1</v>
      </c>
      <c r="Q1291" s="153">
        <v>21.14</v>
      </c>
      <c r="R1291" s="153">
        <v>21.05</v>
      </c>
      <c r="S1291" s="4"/>
      <c r="U1291" s="147" t="s">
        <v>1368</v>
      </c>
      <c r="V1291" s="11"/>
      <c r="W1291" s="4"/>
      <c r="X1291" s="12"/>
      <c r="Y1291" s="14"/>
      <c r="Z1291" s="4"/>
      <c r="AA1291" s="13"/>
      <c r="AB1291" s="11"/>
      <c r="AC1291" s="4"/>
      <c r="AD1291" s="12"/>
      <c r="AE1291" s="13"/>
      <c r="AF1291" s="14">
        <v>5.0133000000000001</v>
      </c>
      <c r="AG1291" s="133"/>
      <c r="AI1291" s="96"/>
      <c r="AL1291" s="64">
        <v>4.1719093333333328</v>
      </c>
      <c r="AM1291" s="56">
        <v>13.439999999999941</v>
      </c>
      <c r="AN1291" s="56">
        <v>15.33999999999995</v>
      </c>
      <c r="AO1291" s="62">
        <v>21.37999999999991</v>
      </c>
      <c r="AQ1291" s="64">
        <v>4.0834451499999993</v>
      </c>
      <c r="AR1291" s="56">
        <v>13.439999999999941</v>
      </c>
      <c r="AS1291" s="56">
        <v>14.84000000000005</v>
      </c>
      <c r="AT1291" s="62">
        <v>18.820000000000011</v>
      </c>
      <c r="AV1291" s="64">
        <v>3.728929016666668</v>
      </c>
      <c r="AW1291" s="56">
        <v>13.26000000000001</v>
      </c>
      <c r="AX1291" s="56">
        <v>14.66000000000003</v>
      </c>
      <c r="AY1291" s="62">
        <v>19.36</v>
      </c>
      <c r="BA1291" s="64">
        <v>3.181892616666667</v>
      </c>
      <c r="BB1291" s="56">
        <v>15.74</v>
      </c>
      <c r="BC1291" s="56">
        <v>18.18</v>
      </c>
      <c r="BD1291" s="62">
        <v>30.18000000000001</v>
      </c>
      <c r="BF1291" s="64">
        <v>2.928402066666667</v>
      </c>
      <c r="BG1291" s="56">
        <v>19.280000000000008</v>
      </c>
      <c r="BH1291" s="56">
        <v>25.699999999999971</v>
      </c>
      <c r="BI1291" s="62">
        <v>54.139999999999937</v>
      </c>
      <c r="BJ1291" s="70"/>
      <c r="BK1291" s="51"/>
    </row>
    <row r="1292" spans="1:63" x14ac:dyDescent="0.4">
      <c r="A1292" s="147" t="s">
        <v>1369</v>
      </c>
      <c r="G1292" s="147" t="s">
        <v>1369</v>
      </c>
      <c r="H1292" s="159">
        <v>69.932000000000002</v>
      </c>
      <c r="I1292" s="153">
        <v>70.31</v>
      </c>
      <c r="J1292" s="153">
        <v>70.34</v>
      </c>
      <c r="K1292" s="153">
        <v>70.33</v>
      </c>
      <c r="L1292" s="153">
        <v>70.31</v>
      </c>
      <c r="M1292" s="80">
        <f t="shared" si="40"/>
        <v>70.34</v>
      </c>
      <c r="N1292" s="80">
        <f t="shared" si="41"/>
        <v>70.31</v>
      </c>
      <c r="O1292" s="153">
        <v>21.18</v>
      </c>
      <c r="P1292" s="153">
        <v>21.07</v>
      </c>
      <c r="Q1292" s="153">
        <v>21.1</v>
      </c>
      <c r="R1292" s="153">
        <v>21.06</v>
      </c>
      <c r="S1292" s="4"/>
      <c r="U1292" s="147" t="s">
        <v>1369</v>
      </c>
      <c r="V1292" s="11"/>
      <c r="W1292" s="4"/>
      <c r="X1292" s="12"/>
      <c r="Y1292" s="14"/>
      <c r="Z1292" s="4"/>
      <c r="AA1292" s="13"/>
      <c r="AB1292" s="11"/>
      <c r="AC1292" s="4"/>
      <c r="AD1292" s="12"/>
      <c r="AE1292" s="13"/>
      <c r="AF1292" s="14">
        <v>5.0221</v>
      </c>
      <c r="AG1292" s="133"/>
      <c r="AI1292" s="96"/>
      <c r="AL1292" s="64">
        <v>4.1727972499999986</v>
      </c>
      <c r="AM1292" s="56">
        <v>14.02000000000001</v>
      </c>
      <c r="AN1292" s="56">
        <v>15.95999999999993</v>
      </c>
      <c r="AO1292" s="62">
        <v>22.039999999999971</v>
      </c>
      <c r="AQ1292" s="64">
        <v>4.0810865166666668</v>
      </c>
      <c r="AR1292" s="56">
        <v>13.54000000000006</v>
      </c>
      <c r="AS1292" s="56">
        <v>14.94</v>
      </c>
      <c r="AT1292" s="62">
        <v>18.940000000000001</v>
      </c>
      <c r="AV1292" s="64">
        <v>3.7277556500000002</v>
      </c>
      <c r="AW1292" s="56">
        <v>13.319999999999951</v>
      </c>
      <c r="AX1292" s="56">
        <v>14.74000000000002</v>
      </c>
      <c r="AY1292" s="62">
        <v>19.439999999999991</v>
      </c>
      <c r="BA1292" s="64">
        <v>3.179356083333333</v>
      </c>
      <c r="BB1292" s="56">
        <v>15.980000000000061</v>
      </c>
      <c r="BC1292" s="56">
        <v>18.420000000000059</v>
      </c>
      <c r="BD1292" s="62">
        <v>30.360000000000031</v>
      </c>
      <c r="BF1292" s="64">
        <v>2.9132193333333332</v>
      </c>
      <c r="BG1292" s="56">
        <v>19.679999999999961</v>
      </c>
      <c r="BH1292" s="56">
        <v>26.18</v>
      </c>
      <c r="BI1292" s="62">
        <v>55.739999999999952</v>
      </c>
      <c r="BJ1292" s="70"/>
      <c r="BK1292" s="51"/>
    </row>
    <row r="1293" spans="1:63" x14ac:dyDescent="0.4">
      <c r="A1293" s="147" t="s">
        <v>1370</v>
      </c>
      <c r="G1293" s="147" t="s">
        <v>1370</v>
      </c>
      <c r="H1293" s="159">
        <v>69.927999999999997</v>
      </c>
      <c r="I1293" s="153">
        <v>70.349999999999994</v>
      </c>
      <c r="J1293" s="153">
        <v>70.290000000000006</v>
      </c>
      <c r="K1293" s="153">
        <v>70.31</v>
      </c>
      <c r="L1293" s="153">
        <v>70.319999999999993</v>
      </c>
      <c r="M1293" s="80">
        <f t="shared" si="40"/>
        <v>70.349999999999994</v>
      </c>
      <c r="N1293" s="80">
        <f t="shared" si="41"/>
        <v>70.290000000000006</v>
      </c>
      <c r="O1293" s="153">
        <v>21.22</v>
      </c>
      <c r="P1293" s="153">
        <v>21.08</v>
      </c>
      <c r="Q1293" s="153">
        <v>21.1</v>
      </c>
      <c r="R1293" s="153">
        <v>21.08</v>
      </c>
      <c r="S1293" s="4"/>
      <c r="U1293" s="147" t="s">
        <v>1370</v>
      </c>
      <c r="V1293" s="11"/>
      <c r="W1293" s="4"/>
      <c r="X1293" s="12"/>
      <c r="Y1293" s="14"/>
      <c r="Z1293" s="4"/>
      <c r="AA1293" s="13"/>
      <c r="AB1293" s="11"/>
      <c r="AC1293" s="4"/>
      <c r="AD1293" s="12"/>
      <c r="AE1293" s="13"/>
      <c r="AF1293" s="14">
        <v>5.0107999999999997</v>
      </c>
      <c r="AG1293" s="133"/>
      <c r="AI1293" s="96"/>
      <c r="AL1293" s="64">
        <v>4.1725812833333338</v>
      </c>
      <c r="AM1293" s="56">
        <v>14.00000000000006</v>
      </c>
      <c r="AN1293" s="56">
        <v>15.920000000000019</v>
      </c>
      <c r="AO1293" s="62">
        <v>21.95999999999998</v>
      </c>
      <c r="AQ1293" s="64">
        <v>4.0808651999999999</v>
      </c>
      <c r="AR1293" s="56">
        <v>13.480000000000031</v>
      </c>
      <c r="AS1293" s="56">
        <v>14.89999999999991</v>
      </c>
      <c r="AT1293" s="62">
        <v>18.919999999999959</v>
      </c>
      <c r="AV1293" s="64">
        <v>3.7277355999999999</v>
      </c>
      <c r="AW1293" s="56">
        <v>13.25999999999992</v>
      </c>
      <c r="AX1293" s="56">
        <v>14.699999999999941</v>
      </c>
      <c r="AY1293" s="62">
        <v>19.419999999999948</v>
      </c>
      <c r="BA1293" s="64">
        <v>3.181476299999999</v>
      </c>
      <c r="BB1293" s="56">
        <v>15.660000000000011</v>
      </c>
      <c r="BC1293" s="56">
        <v>18.100000000000001</v>
      </c>
      <c r="BD1293" s="62">
        <v>29.900000000000041</v>
      </c>
      <c r="BF1293" s="64">
        <v>2.9129726833333329</v>
      </c>
      <c r="BG1293" s="56">
        <v>19.18000000000006</v>
      </c>
      <c r="BH1293" s="56">
        <v>25.38</v>
      </c>
      <c r="BI1293" s="62">
        <v>54.280000000000072</v>
      </c>
      <c r="BJ1293" s="70"/>
      <c r="BK1293" s="51"/>
    </row>
    <row r="1294" spans="1:63" x14ac:dyDescent="0.4">
      <c r="A1294" s="147" t="s">
        <v>1371</v>
      </c>
      <c r="G1294" s="147" t="s">
        <v>1371</v>
      </c>
      <c r="H1294" s="159">
        <v>70.069000000000003</v>
      </c>
      <c r="I1294" s="153">
        <v>70.33</v>
      </c>
      <c r="J1294" s="153">
        <v>70.37</v>
      </c>
      <c r="K1294" s="153">
        <v>70.3</v>
      </c>
      <c r="L1294" s="153">
        <v>70.34</v>
      </c>
      <c r="M1294" s="80">
        <f t="shared" si="40"/>
        <v>70.37</v>
      </c>
      <c r="N1294" s="80">
        <f t="shared" si="41"/>
        <v>70.3</v>
      </c>
      <c r="O1294" s="153">
        <v>21.12</v>
      </c>
      <c r="P1294" s="153">
        <v>21.03</v>
      </c>
      <c r="Q1294" s="153">
        <v>21.15</v>
      </c>
      <c r="R1294" s="153">
        <v>21.07</v>
      </c>
      <c r="S1294" s="4"/>
      <c r="U1294" s="147" t="s">
        <v>1371</v>
      </c>
      <c r="V1294" s="11"/>
      <c r="W1294" s="4"/>
      <c r="X1294" s="12"/>
      <c r="Y1294" s="14"/>
      <c r="Z1294" s="4"/>
      <c r="AA1294" s="13"/>
      <c r="AB1294" s="11"/>
      <c r="AC1294" s="4"/>
      <c r="AD1294" s="12"/>
      <c r="AE1294" s="13"/>
      <c r="AF1294" s="14">
        <v>5.0148999999999999</v>
      </c>
      <c r="AG1294" s="133"/>
      <c r="AI1294" s="96"/>
      <c r="AL1294" s="64">
        <v>4.1725271333333334</v>
      </c>
      <c r="AM1294" s="56">
        <v>14.52000000000009</v>
      </c>
      <c r="AN1294" s="56">
        <v>16.500000000000089</v>
      </c>
      <c r="AO1294" s="62">
        <v>22.680000000000081</v>
      </c>
      <c r="AQ1294" s="64">
        <v>4.0808671666666658</v>
      </c>
      <c r="AR1294" s="56">
        <v>14.13999999999991</v>
      </c>
      <c r="AS1294" s="56">
        <v>15.579999999999931</v>
      </c>
      <c r="AT1294" s="62">
        <v>19.71999999999996</v>
      </c>
      <c r="AV1294" s="64">
        <v>3.7272368</v>
      </c>
      <c r="AW1294" s="56">
        <v>13.879999999999979</v>
      </c>
      <c r="AX1294" s="56">
        <v>15.36</v>
      </c>
      <c r="AY1294" s="62">
        <v>20.16</v>
      </c>
      <c r="BA1294" s="64">
        <v>3.1780683500000002</v>
      </c>
      <c r="BB1294" s="56">
        <v>16.36000000000006</v>
      </c>
      <c r="BC1294" s="56">
        <v>18.86000000000001</v>
      </c>
      <c r="BD1294" s="62">
        <v>31.00000000000005</v>
      </c>
      <c r="BF1294" s="64">
        <v>2.9160256499999999</v>
      </c>
      <c r="BG1294" s="56">
        <v>20.000000000000021</v>
      </c>
      <c r="BH1294" s="56">
        <v>26.52000000000001</v>
      </c>
      <c r="BI1294" s="62">
        <v>55.980000000000011</v>
      </c>
      <c r="BJ1294" s="70"/>
      <c r="BK1294" s="51"/>
    </row>
    <row r="1295" spans="1:63" x14ac:dyDescent="0.4">
      <c r="A1295" s="147" t="s">
        <v>1372</v>
      </c>
      <c r="G1295" s="147" t="s">
        <v>1372</v>
      </c>
      <c r="H1295" s="159">
        <v>69.838999999999999</v>
      </c>
      <c r="I1295" s="153">
        <v>70.349999999999994</v>
      </c>
      <c r="J1295" s="153">
        <v>70.28</v>
      </c>
      <c r="K1295" s="153">
        <v>70.349999999999994</v>
      </c>
      <c r="L1295" s="153">
        <v>70.290000000000006</v>
      </c>
      <c r="M1295" s="80">
        <f t="shared" si="40"/>
        <v>70.349999999999994</v>
      </c>
      <c r="N1295" s="80">
        <f t="shared" si="41"/>
        <v>70.28</v>
      </c>
      <c r="O1295" s="153">
        <v>21.1</v>
      </c>
      <c r="P1295" s="153">
        <v>21.12</v>
      </c>
      <c r="Q1295" s="153">
        <v>21.13</v>
      </c>
      <c r="R1295" s="153">
        <v>21.11</v>
      </c>
      <c r="S1295" s="4"/>
      <c r="U1295" s="147" t="s">
        <v>1372</v>
      </c>
      <c r="V1295" s="11"/>
      <c r="W1295" s="4"/>
      <c r="X1295" s="12"/>
      <c r="Y1295" s="14"/>
      <c r="Z1295" s="4"/>
      <c r="AA1295" s="13"/>
      <c r="AB1295" s="11"/>
      <c r="AC1295" s="4"/>
      <c r="AD1295" s="12"/>
      <c r="AE1295" s="13"/>
      <c r="AF1295" s="14">
        <v>5.0087999999999999</v>
      </c>
      <c r="AG1295" s="133"/>
      <c r="AI1295" s="96"/>
      <c r="AL1295" s="64">
        <v>4.1718396666666671</v>
      </c>
      <c r="AM1295" s="56">
        <v>13.74000000000013</v>
      </c>
      <c r="AN1295" s="56">
        <v>15.63999999999997</v>
      </c>
      <c r="AO1295" s="62">
        <v>21.680000000000099</v>
      </c>
      <c r="AQ1295" s="64">
        <v>4.0813767833333348</v>
      </c>
      <c r="AR1295" s="56">
        <v>13.30000000000009</v>
      </c>
      <c r="AS1295" s="56">
        <v>14.680000000000071</v>
      </c>
      <c r="AT1295" s="62">
        <v>18.640000000000079</v>
      </c>
      <c r="AV1295" s="64">
        <v>3.727226416666666</v>
      </c>
      <c r="AW1295" s="56">
        <v>13.079999999999981</v>
      </c>
      <c r="AX1295" s="56">
        <v>14.50000000000005</v>
      </c>
      <c r="AY1295" s="62">
        <v>19.160000000000021</v>
      </c>
      <c r="BA1295" s="64">
        <v>3.1826473000000011</v>
      </c>
      <c r="BB1295" s="56">
        <v>15.74</v>
      </c>
      <c r="BC1295" s="56">
        <v>18.160000000000039</v>
      </c>
      <c r="BD1295" s="62">
        <v>30.06000000000002</v>
      </c>
      <c r="BF1295" s="64">
        <v>2.927471866666667</v>
      </c>
      <c r="BG1295" s="56">
        <v>19.399999999999999</v>
      </c>
      <c r="BH1295" s="56">
        <v>25.84</v>
      </c>
      <c r="BI1295" s="62">
        <v>54.159999999999982</v>
      </c>
      <c r="BJ1295" s="70"/>
      <c r="BK1295" s="51"/>
    </row>
    <row r="1296" spans="1:63" x14ac:dyDescent="0.4">
      <c r="A1296" s="147" t="s">
        <v>1373</v>
      </c>
      <c r="G1296" s="147" t="s">
        <v>1373</v>
      </c>
      <c r="H1296" s="159">
        <v>69.935000000000002</v>
      </c>
      <c r="I1296" s="153">
        <v>70.28</v>
      </c>
      <c r="J1296" s="153">
        <v>70.39</v>
      </c>
      <c r="K1296" s="153">
        <v>70.400000000000006</v>
      </c>
      <c r="L1296" s="153">
        <v>70.38</v>
      </c>
      <c r="M1296" s="80">
        <f t="shared" si="40"/>
        <v>70.400000000000006</v>
      </c>
      <c r="N1296" s="80">
        <f t="shared" si="41"/>
        <v>70.28</v>
      </c>
      <c r="O1296" s="153">
        <v>21.18</v>
      </c>
      <c r="P1296" s="153">
        <v>21.09</v>
      </c>
      <c r="Q1296" s="153">
        <v>21.09</v>
      </c>
      <c r="R1296" s="153">
        <v>21.01</v>
      </c>
      <c r="S1296" s="4"/>
      <c r="U1296" s="147" t="s">
        <v>1373</v>
      </c>
      <c r="V1296" s="11"/>
      <c r="W1296" s="4"/>
      <c r="X1296" s="12"/>
      <c r="Y1296" s="14"/>
      <c r="Z1296" s="4"/>
      <c r="AA1296" s="13"/>
      <c r="AB1296" s="11"/>
      <c r="AC1296" s="4"/>
      <c r="AD1296" s="12"/>
      <c r="AE1296" s="13"/>
      <c r="AF1296" s="14">
        <v>5.01</v>
      </c>
      <c r="AG1296" s="133"/>
      <c r="AI1296" s="96"/>
      <c r="AL1296" s="64">
        <v>4.1717090666666667</v>
      </c>
      <c r="AM1296" s="56">
        <v>13.8399999999999</v>
      </c>
      <c r="AN1296" s="56">
        <v>15.78</v>
      </c>
      <c r="AO1296" s="62">
        <v>21.879999999999988</v>
      </c>
      <c r="AQ1296" s="64">
        <v>4.0823054500000007</v>
      </c>
      <c r="AR1296" s="56">
        <v>13.76000000000008</v>
      </c>
      <c r="AS1296" s="56">
        <v>15.16000000000002</v>
      </c>
      <c r="AT1296" s="62">
        <v>19.200000000000021</v>
      </c>
      <c r="AV1296" s="64">
        <v>3.7279895166666668</v>
      </c>
      <c r="AW1296" s="56">
        <v>13.619999999999971</v>
      </c>
      <c r="AX1296" s="56">
        <v>15.08000000000003</v>
      </c>
      <c r="AY1296" s="62">
        <v>19.859999999999989</v>
      </c>
      <c r="BA1296" s="64">
        <v>3.1816573666666659</v>
      </c>
      <c r="BB1296" s="56">
        <v>16.319999999999979</v>
      </c>
      <c r="BC1296" s="56">
        <v>18.820000000000011</v>
      </c>
      <c r="BD1296" s="62">
        <v>30.959999999999969</v>
      </c>
      <c r="BF1296" s="64">
        <v>2.9281118333333338</v>
      </c>
      <c r="BG1296" s="56">
        <v>19.83999999999995</v>
      </c>
      <c r="BH1296" s="56">
        <v>26.239999999999949</v>
      </c>
      <c r="BI1296" s="62">
        <v>54.559999999999953</v>
      </c>
      <c r="BJ1296" s="70"/>
      <c r="BK1296" s="51"/>
    </row>
    <row r="1297" spans="1:63" x14ac:dyDescent="0.4">
      <c r="A1297" s="147" t="s">
        <v>1374</v>
      </c>
      <c r="G1297" s="147" t="s">
        <v>1374</v>
      </c>
      <c r="H1297" s="159">
        <v>69.953999999999994</v>
      </c>
      <c r="I1297" s="153">
        <v>70.31</v>
      </c>
      <c r="J1297" s="153">
        <v>70.28</v>
      </c>
      <c r="K1297" s="153">
        <v>70.36</v>
      </c>
      <c r="L1297" s="153">
        <v>70.33</v>
      </c>
      <c r="M1297" s="80">
        <f t="shared" si="40"/>
        <v>70.36</v>
      </c>
      <c r="N1297" s="80">
        <f t="shared" si="41"/>
        <v>70.28</v>
      </c>
      <c r="O1297" s="153">
        <v>21.16</v>
      </c>
      <c r="P1297" s="153">
        <v>21.03</v>
      </c>
      <c r="Q1297" s="153">
        <v>21.14</v>
      </c>
      <c r="R1297" s="153">
        <v>21.01</v>
      </c>
      <c r="S1297" s="4"/>
      <c r="U1297" s="147" t="s">
        <v>1374</v>
      </c>
      <c r="V1297" s="11"/>
      <c r="W1297" s="4"/>
      <c r="X1297" s="12"/>
      <c r="Y1297" s="14"/>
      <c r="Z1297" s="4"/>
      <c r="AA1297" s="13"/>
      <c r="AB1297" s="11"/>
      <c r="AC1297" s="4"/>
      <c r="AD1297" s="12"/>
      <c r="AE1297" s="13"/>
      <c r="AF1297" s="14">
        <v>5.0155000000000003</v>
      </c>
      <c r="AG1297" s="133"/>
      <c r="AI1297" s="96"/>
      <c r="AL1297" s="64">
        <v>4.1727691333333334</v>
      </c>
      <c r="AM1297" s="56">
        <v>14.02000000000001</v>
      </c>
      <c r="AN1297" s="56">
        <v>15.95999999999993</v>
      </c>
      <c r="AO1297" s="62">
        <v>22.039999999999971</v>
      </c>
      <c r="AQ1297" s="64">
        <v>4.0821777666666668</v>
      </c>
      <c r="AR1297" s="56">
        <v>13.72</v>
      </c>
      <c r="AS1297" s="56">
        <v>15.140000000000059</v>
      </c>
      <c r="AT1297" s="62">
        <v>19.160000000000021</v>
      </c>
      <c r="AV1297" s="64">
        <v>3.7290037166666661</v>
      </c>
      <c r="AW1297" s="56">
        <v>13.439999999999941</v>
      </c>
      <c r="AX1297" s="56">
        <v>14.86000000000001</v>
      </c>
      <c r="AY1297" s="62">
        <v>19.559999999999981</v>
      </c>
      <c r="BA1297" s="64">
        <v>3.1813569500000001</v>
      </c>
      <c r="BB1297" s="56">
        <v>15.84000000000003</v>
      </c>
      <c r="BC1297" s="56">
        <v>18.28000000000003</v>
      </c>
      <c r="BD1297" s="62">
        <v>30.159999999999961</v>
      </c>
      <c r="BF1297" s="64">
        <v>2.918504533333333</v>
      </c>
      <c r="BG1297" s="56">
        <v>19.439999999999991</v>
      </c>
      <c r="BH1297" s="56">
        <v>25.85999999999995</v>
      </c>
      <c r="BI1297" s="62">
        <v>54.919999999999987</v>
      </c>
      <c r="BJ1297" s="70"/>
      <c r="BK1297" s="51"/>
    </row>
    <row r="1298" spans="1:63" x14ac:dyDescent="0.4">
      <c r="A1298" s="147" t="s">
        <v>1375</v>
      </c>
      <c r="G1298" s="147" t="s">
        <v>1375</v>
      </c>
      <c r="H1298" s="159">
        <v>69.89</v>
      </c>
      <c r="I1298" s="153">
        <v>70.290000000000006</v>
      </c>
      <c r="J1298" s="153">
        <v>70.33</v>
      </c>
      <c r="K1298" s="153">
        <v>70.27</v>
      </c>
      <c r="L1298" s="153">
        <v>70.39</v>
      </c>
      <c r="M1298" s="80">
        <f t="shared" si="40"/>
        <v>70.39</v>
      </c>
      <c r="N1298" s="80">
        <f t="shared" si="41"/>
        <v>70.27</v>
      </c>
      <c r="O1298" s="153">
        <v>21.22</v>
      </c>
      <c r="P1298" s="153">
        <v>21.11</v>
      </c>
      <c r="Q1298" s="153">
        <v>21.14</v>
      </c>
      <c r="R1298" s="153">
        <v>21.09</v>
      </c>
      <c r="S1298" s="4"/>
      <c r="U1298" s="147" t="s">
        <v>1375</v>
      </c>
      <c r="V1298" s="11"/>
      <c r="W1298" s="4"/>
      <c r="X1298" s="12"/>
      <c r="Y1298" s="14"/>
      <c r="Z1298" s="4"/>
      <c r="AA1298" s="13"/>
      <c r="AB1298" s="11"/>
      <c r="AC1298" s="4"/>
      <c r="AD1298" s="12"/>
      <c r="AE1298" s="13"/>
      <c r="AF1298" s="14">
        <v>5.0186999999999999</v>
      </c>
      <c r="AG1298" s="133"/>
      <c r="AI1298" s="96"/>
      <c r="AL1298" s="64">
        <v>4.1727189666666664</v>
      </c>
      <c r="AM1298" s="56">
        <v>14.519999999999911</v>
      </c>
      <c r="AN1298" s="56">
        <v>16.499999999999911</v>
      </c>
      <c r="AO1298" s="62">
        <v>22.63999999999999</v>
      </c>
      <c r="AQ1298" s="64">
        <v>4.0811426166666669</v>
      </c>
      <c r="AR1298" s="56">
        <v>13.940000000000021</v>
      </c>
      <c r="AS1298" s="56">
        <v>15.359999999999911</v>
      </c>
      <c r="AT1298" s="62">
        <v>19.439999999999991</v>
      </c>
      <c r="AV1298" s="64">
        <v>3.7278615833333331</v>
      </c>
      <c r="AW1298" s="56">
        <v>13.920000000000069</v>
      </c>
      <c r="AX1298" s="56">
        <v>15.38000000000004</v>
      </c>
      <c r="AY1298" s="62">
        <v>20.180000000000039</v>
      </c>
      <c r="BA1298" s="64">
        <v>3.1815052833333328</v>
      </c>
      <c r="BB1298" s="56">
        <v>16.019999999999971</v>
      </c>
      <c r="BC1298" s="56">
        <v>18.440000000000008</v>
      </c>
      <c r="BD1298" s="62">
        <v>30.319999999999951</v>
      </c>
      <c r="BF1298" s="64">
        <v>2.917595533333333</v>
      </c>
      <c r="BG1298" s="56">
        <v>19.720000000000049</v>
      </c>
      <c r="BH1298" s="56">
        <v>26.18</v>
      </c>
      <c r="BI1298" s="62">
        <v>55.280000000000037</v>
      </c>
      <c r="BJ1298" s="70"/>
      <c r="BK1298" s="51"/>
    </row>
    <row r="1299" spans="1:63" x14ac:dyDescent="0.4">
      <c r="A1299" s="147" t="s">
        <v>1376</v>
      </c>
      <c r="G1299" s="147" t="s">
        <v>1376</v>
      </c>
      <c r="H1299" s="159">
        <v>70</v>
      </c>
      <c r="I1299" s="153">
        <v>70.3</v>
      </c>
      <c r="J1299" s="153">
        <v>70.36</v>
      </c>
      <c r="K1299" s="153">
        <v>70.31</v>
      </c>
      <c r="L1299" s="153">
        <v>70.34</v>
      </c>
      <c r="M1299" s="80">
        <f t="shared" si="40"/>
        <v>70.36</v>
      </c>
      <c r="N1299" s="80">
        <f t="shared" si="41"/>
        <v>70.3</v>
      </c>
      <c r="O1299" s="153">
        <v>21.13</v>
      </c>
      <c r="P1299" s="153">
        <v>21.07</v>
      </c>
      <c r="Q1299" s="153">
        <v>21.09</v>
      </c>
      <c r="R1299" s="153">
        <v>21.01</v>
      </c>
      <c r="S1299" s="4"/>
      <c r="U1299" s="147" t="s">
        <v>1376</v>
      </c>
      <c r="V1299" s="11"/>
      <c r="W1299" s="4"/>
      <c r="X1299" s="12"/>
      <c r="Y1299" s="14"/>
      <c r="Z1299" s="4"/>
      <c r="AA1299" s="13"/>
      <c r="AB1299" s="11"/>
      <c r="AC1299" s="4"/>
      <c r="AD1299" s="12"/>
      <c r="AE1299" s="13"/>
      <c r="AF1299" s="14">
        <v>5.0290999999999997</v>
      </c>
      <c r="AG1299" s="133"/>
      <c r="AI1299" s="96"/>
      <c r="AL1299" s="64">
        <v>4.1724764166666661</v>
      </c>
      <c r="AM1299" s="56">
        <v>14.400000000000009</v>
      </c>
      <c r="AN1299" s="56">
        <v>16.359999999999889</v>
      </c>
      <c r="AO1299" s="62">
        <v>22.499999999999961</v>
      </c>
      <c r="AQ1299" s="64">
        <v>4.0812986333333328</v>
      </c>
      <c r="AR1299" s="56">
        <v>14.059999999999921</v>
      </c>
      <c r="AS1299" s="56">
        <v>15.479999999999981</v>
      </c>
      <c r="AT1299" s="62">
        <v>19.559999999999981</v>
      </c>
      <c r="AV1299" s="64">
        <v>3.727209466666666</v>
      </c>
      <c r="AW1299" s="56">
        <v>13.86000000000003</v>
      </c>
      <c r="AX1299" s="56">
        <v>15.32</v>
      </c>
      <c r="AY1299" s="62">
        <v>20.12</v>
      </c>
      <c r="BA1299" s="64">
        <v>3.1828326499999999</v>
      </c>
      <c r="BB1299" s="56">
        <v>16.199999999999989</v>
      </c>
      <c r="BC1299" s="56">
        <v>18.63999999999999</v>
      </c>
      <c r="BD1299" s="62">
        <v>30.59999999999992</v>
      </c>
      <c r="BF1299" s="64">
        <v>2.9266844166666659</v>
      </c>
      <c r="BG1299" s="56">
        <v>19.880000000000031</v>
      </c>
      <c r="BH1299" s="56">
        <v>26.19999999999996</v>
      </c>
      <c r="BI1299" s="62">
        <v>54.520000000000032</v>
      </c>
      <c r="BJ1299" s="70"/>
      <c r="BK1299" s="51"/>
    </row>
    <row r="1300" spans="1:63" x14ac:dyDescent="0.4">
      <c r="A1300" s="147" t="s">
        <v>1377</v>
      </c>
      <c r="G1300" s="147" t="s">
        <v>1377</v>
      </c>
      <c r="H1300" s="159">
        <v>69.930999999999997</v>
      </c>
      <c r="I1300" s="153">
        <v>70.34</v>
      </c>
      <c r="J1300" s="153">
        <v>70.290000000000006</v>
      </c>
      <c r="K1300" s="153">
        <v>70.400000000000006</v>
      </c>
      <c r="L1300" s="153">
        <v>70.37</v>
      </c>
      <c r="M1300" s="80">
        <f t="shared" si="40"/>
        <v>70.400000000000006</v>
      </c>
      <c r="N1300" s="80">
        <f t="shared" si="41"/>
        <v>70.290000000000006</v>
      </c>
      <c r="O1300" s="153">
        <v>21.17</v>
      </c>
      <c r="P1300" s="153">
        <v>21.09</v>
      </c>
      <c r="Q1300" s="153">
        <v>21.12</v>
      </c>
      <c r="R1300" s="153">
        <v>21.1</v>
      </c>
      <c r="S1300" s="4"/>
      <c r="U1300" s="147" t="s">
        <v>1377</v>
      </c>
      <c r="V1300" s="11"/>
      <c r="W1300" s="4"/>
      <c r="X1300" s="12"/>
      <c r="Y1300" s="14"/>
      <c r="Z1300" s="4"/>
      <c r="AA1300" s="13"/>
      <c r="AB1300" s="11"/>
      <c r="AC1300" s="4"/>
      <c r="AD1300" s="12"/>
      <c r="AE1300" s="13"/>
      <c r="AF1300" s="14">
        <v>5.0057999999999998</v>
      </c>
      <c r="AG1300" s="133"/>
      <c r="AI1300" s="96"/>
      <c r="AL1300" s="64">
        <v>4.1733360666666668</v>
      </c>
      <c r="AM1300" s="56">
        <v>14.160000000000039</v>
      </c>
      <c r="AN1300" s="56">
        <v>16.080000000000009</v>
      </c>
      <c r="AO1300" s="62">
        <v>22.16000000000005</v>
      </c>
      <c r="AQ1300" s="64">
        <v>4.0817982333333331</v>
      </c>
      <c r="AR1300" s="56">
        <v>13.620000000000051</v>
      </c>
      <c r="AS1300" s="56">
        <v>15.019999999999991</v>
      </c>
      <c r="AT1300" s="62">
        <v>19.000000000000039</v>
      </c>
      <c r="AV1300" s="64">
        <v>3.728813866666667</v>
      </c>
      <c r="AW1300" s="56">
        <v>13.49999999999998</v>
      </c>
      <c r="AX1300" s="56">
        <v>14.9</v>
      </c>
      <c r="AY1300" s="62">
        <v>19.599999999999969</v>
      </c>
      <c r="BA1300" s="64">
        <v>3.1854338333333341</v>
      </c>
      <c r="BB1300" s="56">
        <v>16.320000000000071</v>
      </c>
      <c r="BC1300" s="56">
        <v>18.760000000000069</v>
      </c>
      <c r="BD1300" s="62">
        <v>30.580000000000052</v>
      </c>
      <c r="BF1300" s="64">
        <v>2.9156838666666669</v>
      </c>
      <c r="BG1300" s="56">
        <v>20.29999999999994</v>
      </c>
      <c r="BH1300" s="56">
        <v>27.419999999999959</v>
      </c>
      <c r="BI1300" s="62">
        <v>57.960000000000008</v>
      </c>
      <c r="BJ1300" s="70"/>
      <c r="BK1300" s="51"/>
    </row>
    <row r="1301" spans="1:63" x14ac:dyDescent="0.4">
      <c r="A1301" s="147" t="s">
        <v>1378</v>
      </c>
      <c r="G1301" s="147" t="s">
        <v>1378</v>
      </c>
      <c r="H1301" s="159">
        <v>69.938000000000002</v>
      </c>
      <c r="I1301" s="153">
        <v>70.39</v>
      </c>
      <c r="J1301" s="153">
        <v>70.39</v>
      </c>
      <c r="K1301" s="153">
        <v>70.349999999999994</v>
      </c>
      <c r="L1301" s="153">
        <v>70.39</v>
      </c>
      <c r="M1301" s="80">
        <f t="shared" si="40"/>
        <v>70.39</v>
      </c>
      <c r="N1301" s="80">
        <f t="shared" si="41"/>
        <v>70.349999999999994</v>
      </c>
      <c r="O1301" s="153">
        <v>21.15</v>
      </c>
      <c r="P1301" s="153">
        <v>21.03</v>
      </c>
      <c r="Q1301" s="153">
        <v>21.06</v>
      </c>
      <c r="R1301" s="153">
        <v>21.03</v>
      </c>
      <c r="S1301" s="4"/>
      <c r="U1301" s="147" t="s">
        <v>1378</v>
      </c>
      <c r="V1301" s="11"/>
      <c r="W1301" s="4"/>
      <c r="X1301" s="12"/>
      <c r="Y1301" s="14"/>
      <c r="Z1301" s="4"/>
      <c r="AA1301" s="13"/>
      <c r="AB1301" s="11"/>
      <c r="AC1301" s="4"/>
      <c r="AD1301" s="12"/>
      <c r="AE1301" s="13"/>
      <c r="AF1301" s="14">
        <v>5.0144000000000002</v>
      </c>
      <c r="AG1301" s="133"/>
      <c r="AI1301" s="96"/>
      <c r="AL1301" s="64">
        <v>4.1727185166666656</v>
      </c>
      <c r="AM1301" s="56">
        <v>13.86000000000003</v>
      </c>
      <c r="AN1301" s="56">
        <v>15.760000000000041</v>
      </c>
      <c r="AO1301" s="62">
        <v>21.8399999999999</v>
      </c>
      <c r="AQ1301" s="64">
        <v>4.0818622666666666</v>
      </c>
      <c r="AR1301" s="56">
        <v>13.439999999999941</v>
      </c>
      <c r="AS1301" s="56">
        <v>14.8200000000001</v>
      </c>
      <c r="AT1301" s="62">
        <v>18.780000000000019</v>
      </c>
      <c r="AV1301" s="64">
        <v>3.7272628166666659</v>
      </c>
      <c r="AW1301" s="56">
        <v>13.17999999999993</v>
      </c>
      <c r="AX1301" s="56">
        <v>14.57999999999995</v>
      </c>
      <c r="AY1301" s="62">
        <v>19.25999999999997</v>
      </c>
      <c r="BA1301" s="64">
        <v>3.1793835499999998</v>
      </c>
      <c r="BB1301" s="56">
        <v>15.28</v>
      </c>
      <c r="BC1301" s="56">
        <v>17.69999999999996</v>
      </c>
      <c r="BD1301" s="62">
        <v>29.560000000000031</v>
      </c>
      <c r="BF1301" s="64">
        <v>2.9259073999999998</v>
      </c>
      <c r="BG1301" s="56">
        <v>18.719999999999981</v>
      </c>
      <c r="BH1301" s="56">
        <v>24.920000000000009</v>
      </c>
      <c r="BI1301" s="62">
        <v>53.019999999999968</v>
      </c>
      <c r="BJ1301" s="70"/>
      <c r="BK1301" s="51"/>
    </row>
    <row r="1302" spans="1:63" x14ac:dyDescent="0.4">
      <c r="A1302" s="147" t="s">
        <v>1379</v>
      </c>
      <c r="G1302" s="147" t="s">
        <v>1379</v>
      </c>
      <c r="H1302" s="159">
        <v>69.741</v>
      </c>
      <c r="I1302" s="153">
        <v>70.28</v>
      </c>
      <c r="J1302" s="153">
        <v>70.3</v>
      </c>
      <c r="K1302" s="153">
        <v>70.28</v>
      </c>
      <c r="L1302" s="153">
        <v>70.31</v>
      </c>
      <c r="M1302" s="80">
        <f t="shared" si="40"/>
        <v>70.31</v>
      </c>
      <c r="N1302" s="80">
        <f t="shared" si="41"/>
        <v>70.28</v>
      </c>
      <c r="O1302" s="153">
        <v>21.12</v>
      </c>
      <c r="P1302" s="153">
        <v>21.08</v>
      </c>
      <c r="Q1302" s="153">
        <v>21.12</v>
      </c>
      <c r="R1302" s="153">
        <v>21.11</v>
      </c>
      <c r="S1302" s="4"/>
      <c r="U1302" s="147" t="s">
        <v>1379</v>
      </c>
      <c r="V1302" s="11"/>
      <c r="W1302" s="4"/>
      <c r="X1302" s="12"/>
      <c r="Y1302" s="14"/>
      <c r="Z1302" s="4"/>
      <c r="AA1302" s="13"/>
      <c r="AB1302" s="11"/>
      <c r="AC1302" s="4"/>
      <c r="AD1302" s="12"/>
      <c r="AE1302" s="13"/>
      <c r="AF1302" s="14">
        <v>4.9869000000000003</v>
      </c>
      <c r="AG1302" s="133"/>
      <c r="AI1302" s="96"/>
      <c r="AL1302" s="64">
        <v>4.1731951999999994</v>
      </c>
      <c r="AM1302" s="56">
        <v>14.37999999999988</v>
      </c>
      <c r="AN1302" s="56">
        <v>16.339999999999929</v>
      </c>
      <c r="AO1302" s="62">
        <v>22.480000000000011</v>
      </c>
      <c r="AQ1302" s="64">
        <v>4.082710650000001</v>
      </c>
      <c r="AR1302" s="56">
        <v>14.03999999999996</v>
      </c>
      <c r="AS1302" s="56">
        <v>15.479999999999981</v>
      </c>
      <c r="AT1302" s="62">
        <v>19.54000000000002</v>
      </c>
      <c r="AV1302" s="64">
        <v>3.729712216666667</v>
      </c>
      <c r="AW1302" s="56">
        <v>14.02000000000001</v>
      </c>
      <c r="AX1302" s="56">
        <v>15.479999999999981</v>
      </c>
      <c r="AY1302" s="62">
        <v>20.319999999999979</v>
      </c>
      <c r="BA1302" s="64">
        <v>3.1840481666666669</v>
      </c>
      <c r="BB1302" s="56">
        <v>16.420000000000009</v>
      </c>
      <c r="BC1302" s="56">
        <v>18.87999999999996</v>
      </c>
      <c r="BD1302" s="62">
        <v>30.860000000000021</v>
      </c>
      <c r="BF1302" s="64">
        <v>2.9177134666666671</v>
      </c>
      <c r="BG1302" s="56">
        <v>20.100000000000051</v>
      </c>
      <c r="BH1302" s="56">
        <v>26.700000000000031</v>
      </c>
      <c r="BI1302" s="62">
        <v>56.099999999999987</v>
      </c>
      <c r="BJ1302" s="70"/>
      <c r="BK1302" s="51"/>
    </row>
    <row r="1303" spans="1:63" x14ac:dyDescent="0.4">
      <c r="A1303" s="147" t="s">
        <v>1380</v>
      </c>
      <c r="G1303" s="147" t="s">
        <v>1380</v>
      </c>
      <c r="H1303" s="159">
        <v>69.966999999999999</v>
      </c>
      <c r="I1303" s="153">
        <v>70.319999999999993</v>
      </c>
      <c r="J1303" s="153">
        <v>70.31</v>
      </c>
      <c r="K1303" s="153">
        <v>70.38</v>
      </c>
      <c r="L1303" s="153">
        <v>70.319999999999993</v>
      </c>
      <c r="M1303" s="80">
        <f t="shared" si="40"/>
        <v>70.38</v>
      </c>
      <c r="N1303" s="80">
        <f t="shared" si="41"/>
        <v>70.31</v>
      </c>
      <c r="O1303" s="153">
        <v>21.16</v>
      </c>
      <c r="P1303" s="153">
        <v>21.03</v>
      </c>
      <c r="Q1303" s="153">
        <v>21.09</v>
      </c>
      <c r="R1303" s="153">
        <v>21.08</v>
      </c>
      <c r="S1303" s="4"/>
      <c r="U1303" s="147" t="s">
        <v>1380</v>
      </c>
      <c r="V1303" s="11"/>
      <c r="W1303" s="4"/>
      <c r="X1303" s="12"/>
      <c r="Y1303" s="14"/>
      <c r="Z1303" s="4"/>
      <c r="AA1303" s="13"/>
      <c r="AB1303" s="11"/>
      <c r="AC1303" s="4"/>
      <c r="AD1303" s="12"/>
      <c r="AE1303" s="13"/>
      <c r="AF1303" s="14">
        <v>5.0176999999999996</v>
      </c>
      <c r="AG1303" s="133"/>
      <c r="AI1303" s="96"/>
      <c r="AL1303" s="64">
        <v>4.1720348833333327</v>
      </c>
      <c r="AM1303" s="56">
        <v>14.219999999999899</v>
      </c>
      <c r="AN1303" s="56">
        <v>16.139999999999869</v>
      </c>
      <c r="AO1303" s="62">
        <v>22.240000000000041</v>
      </c>
      <c r="AQ1303" s="64">
        <v>4.080981816666668</v>
      </c>
      <c r="AR1303" s="56">
        <v>13.78000000000004</v>
      </c>
      <c r="AS1303" s="56">
        <v>15.200000000000101</v>
      </c>
      <c r="AT1303" s="62">
        <v>19.240000000000101</v>
      </c>
      <c r="AV1303" s="64">
        <v>3.7247704166666669</v>
      </c>
      <c r="AW1303" s="56">
        <v>13.399999999999951</v>
      </c>
      <c r="AX1303" s="56">
        <v>14.820000000000009</v>
      </c>
      <c r="AY1303" s="62">
        <v>19.58000000000002</v>
      </c>
      <c r="BA1303" s="64">
        <v>3.1688575000000001</v>
      </c>
      <c r="BB1303" s="56">
        <v>15.599999999999969</v>
      </c>
      <c r="BC1303" s="56">
        <v>18.09999999999992</v>
      </c>
      <c r="BD1303" s="62">
        <v>30.41999999999998</v>
      </c>
      <c r="BF1303" s="64">
        <v>2.9105172000000001</v>
      </c>
      <c r="BG1303" s="56">
        <v>19.139999999999979</v>
      </c>
      <c r="BH1303" s="56">
        <v>25.699999999999971</v>
      </c>
      <c r="BI1303" s="62">
        <v>55.859999999999928</v>
      </c>
      <c r="BJ1303" s="70"/>
      <c r="BK1303" s="51"/>
    </row>
    <row r="1304" spans="1:63" x14ac:dyDescent="0.4">
      <c r="A1304" s="147" t="s">
        <v>1381</v>
      </c>
      <c r="G1304" s="147" t="s">
        <v>1381</v>
      </c>
      <c r="H1304" s="159">
        <v>69.816000000000003</v>
      </c>
      <c r="I1304" s="153">
        <v>70.31</v>
      </c>
      <c r="J1304" s="153">
        <v>70.31</v>
      </c>
      <c r="K1304" s="153">
        <v>70.36</v>
      </c>
      <c r="L1304" s="153">
        <v>70.349999999999994</v>
      </c>
      <c r="M1304" s="80">
        <f t="shared" si="40"/>
        <v>70.36</v>
      </c>
      <c r="N1304" s="80">
        <f t="shared" si="41"/>
        <v>70.31</v>
      </c>
      <c r="O1304" s="153">
        <v>21.12</v>
      </c>
      <c r="P1304" s="153">
        <v>20.94</v>
      </c>
      <c r="Q1304" s="153">
        <v>21.11</v>
      </c>
      <c r="R1304" s="153">
        <v>21.1</v>
      </c>
      <c r="S1304" s="4"/>
      <c r="U1304" s="147" t="s">
        <v>1381</v>
      </c>
      <c r="V1304" s="11"/>
      <c r="W1304" s="4"/>
      <c r="X1304" s="12"/>
      <c r="Y1304" s="14"/>
      <c r="Z1304" s="4"/>
      <c r="AA1304" s="13"/>
      <c r="AB1304" s="11"/>
      <c r="AC1304" s="4"/>
      <c r="AD1304" s="12"/>
      <c r="AE1304" s="13"/>
      <c r="AF1304" s="14">
        <v>5.0044000000000004</v>
      </c>
      <c r="AG1304" s="133"/>
      <c r="AI1304" s="96"/>
      <c r="AL1304" s="64">
        <v>4.1730947166666663</v>
      </c>
      <c r="AM1304" s="56">
        <v>13.79999999999999</v>
      </c>
      <c r="AN1304" s="56">
        <v>15.7</v>
      </c>
      <c r="AO1304" s="62">
        <v>21.759999999999909</v>
      </c>
      <c r="AQ1304" s="64">
        <v>4.0814887499999992</v>
      </c>
      <c r="AR1304" s="56">
        <v>13.30000000000009</v>
      </c>
      <c r="AS1304" s="56">
        <v>14.680000000000071</v>
      </c>
      <c r="AT1304" s="62">
        <v>18.63999999999999</v>
      </c>
      <c r="AV1304" s="64">
        <v>3.7283593333333331</v>
      </c>
      <c r="AW1304" s="56">
        <v>12.999999999999989</v>
      </c>
      <c r="AX1304" s="56">
        <v>14.380000000000059</v>
      </c>
      <c r="AY1304" s="62">
        <v>19.040000000000031</v>
      </c>
      <c r="BA1304" s="64">
        <v>3.1813478000000002</v>
      </c>
      <c r="BB1304" s="56">
        <v>15.08000000000003</v>
      </c>
      <c r="BC1304" s="56">
        <v>17.44000000000003</v>
      </c>
      <c r="BD1304" s="62">
        <v>29.099999999999952</v>
      </c>
      <c r="BF1304" s="64">
        <v>2.9126953833333329</v>
      </c>
      <c r="BG1304" s="56">
        <v>18.74000000000002</v>
      </c>
      <c r="BH1304" s="56">
        <v>25.079999999999991</v>
      </c>
      <c r="BI1304" s="62">
        <v>54.399999999999963</v>
      </c>
      <c r="BJ1304" s="70"/>
      <c r="BK1304" s="51"/>
    </row>
    <row r="1305" spans="1:63" x14ac:dyDescent="0.4">
      <c r="A1305" s="169" t="s">
        <v>1382</v>
      </c>
      <c r="G1305" s="147" t="s">
        <v>1382</v>
      </c>
      <c r="H1305" s="159">
        <v>70.08</v>
      </c>
      <c r="I1305" s="153">
        <v>70.39</v>
      </c>
      <c r="J1305" s="153">
        <v>70.33</v>
      </c>
      <c r="K1305" s="153">
        <v>70.290000000000006</v>
      </c>
      <c r="L1305" s="153">
        <v>70.36</v>
      </c>
      <c r="M1305" s="80">
        <f t="shared" si="40"/>
        <v>70.39</v>
      </c>
      <c r="N1305" s="80">
        <f t="shared" si="41"/>
        <v>70.290000000000006</v>
      </c>
      <c r="O1305" s="153">
        <v>21.22</v>
      </c>
      <c r="P1305" s="153">
        <v>21.11</v>
      </c>
      <c r="Q1305" s="153">
        <v>21.12</v>
      </c>
      <c r="R1305" s="153">
        <v>21.1</v>
      </c>
      <c r="S1305" s="4"/>
      <c r="U1305" s="147" t="s">
        <v>1382</v>
      </c>
      <c r="V1305" s="11"/>
      <c r="W1305" s="4"/>
      <c r="X1305" s="12"/>
      <c r="Y1305" s="14"/>
      <c r="Z1305" s="4"/>
      <c r="AA1305" s="13"/>
      <c r="AB1305" s="11"/>
      <c r="AC1305" s="4"/>
      <c r="AD1305" s="12"/>
      <c r="AE1305" s="13"/>
      <c r="AF1305" s="14">
        <v>5.0326000000000004</v>
      </c>
      <c r="AG1305" s="133"/>
      <c r="AI1305" s="96"/>
      <c r="AL1305" s="64">
        <v>4.1723348666666666</v>
      </c>
      <c r="AM1305" s="56">
        <v>13.54000000000006</v>
      </c>
      <c r="AN1305" s="56">
        <v>15.41999999999994</v>
      </c>
      <c r="AO1305" s="62">
        <v>21.439999999999952</v>
      </c>
      <c r="AQ1305" s="64">
        <v>4.0824752999999987</v>
      </c>
      <c r="AR1305" s="56">
        <v>13.239999999999871</v>
      </c>
      <c r="AS1305" s="56">
        <v>14.5999999999999</v>
      </c>
      <c r="AT1305" s="62">
        <v>18.53999999999996</v>
      </c>
      <c r="AV1305" s="64">
        <v>3.7299826833333332</v>
      </c>
      <c r="AW1305" s="56">
        <v>12.94000000000004</v>
      </c>
      <c r="AX1305" s="56">
        <v>14.32000000000002</v>
      </c>
      <c r="AY1305" s="62">
        <v>18.940000000000001</v>
      </c>
      <c r="BA1305" s="64">
        <v>3.1882277833333328</v>
      </c>
      <c r="BB1305" s="56">
        <v>15.09999999999998</v>
      </c>
      <c r="BC1305" s="56">
        <v>17.439999999999941</v>
      </c>
      <c r="BD1305" s="62">
        <v>28.979999999999961</v>
      </c>
      <c r="BF1305" s="64">
        <v>2.9209334999999998</v>
      </c>
      <c r="BG1305" s="56">
        <v>18.880000000000049</v>
      </c>
      <c r="BH1305" s="56">
        <v>25.620000000000061</v>
      </c>
      <c r="BI1305" s="62">
        <v>55.160000000000053</v>
      </c>
      <c r="BJ1305" s="70"/>
      <c r="BK1305" s="51"/>
    </row>
    <row r="1306" spans="1:63" x14ac:dyDescent="0.4">
      <c r="U1306">
        <f>SUBTOTAL(103,표4[항목])</f>
        <v>1300</v>
      </c>
      <c r="V1306" s="37"/>
      <c r="W1306" s="38"/>
      <c r="X1306" s="39"/>
      <c r="Y1306" s="40"/>
      <c r="Z1306" s="38"/>
      <c r="AA1306" s="23"/>
      <c r="AB1306" s="37"/>
      <c r="AC1306" s="38"/>
      <c r="AD1306" s="39"/>
      <c r="AE1306" s="39"/>
      <c r="AF1306" s="24"/>
      <c r="AG1306" s="24"/>
      <c r="AI1306" s="84"/>
      <c r="BI1306" s="71"/>
      <c r="BJ1306" s="71"/>
      <c r="BK1306" s="51"/>
    </row>
  </sheetData>
  <mergeCells count="5">
    <mergeCell ref="AM4:AO4"/>
    <mergeCell ref="AR4:AT4"/>
    <mergeCell ref="AW4:AY4"/>
    <mergeCell ref="BB4:BD4"/>
    <mergeCell ref="BG4:BI4"/>
  </mergeCells>
  <phoneticPr fontId="8" type="noConversion"/>
  <pageMargins left="0.69972223043441772" right="0.69972223043441772" top="0.75" bottom="0.75" header="0.30000001192092901" footer="0.30000001192092901"/>
  <pageSetup paperSize="9" orientation="portrait" r:id="rId1"/>
  <ignoredErrors>
    <ignoredError sqref="M95:M122" formulaRange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78CF-E9AA-4BB5-B11A-AC7BA06C13C7}">
  <dimension ref="A1:L17"/>
  <sheetViews>
    <sheetView workbookViewId="0">
      <selection activeCell="G22" sqref="G22"/>
    </sheetView>
  </sheetViews>
  <sheetFormatPr defaultRowHeight="17.399999999999999" x14ac:dyDescent="0.4"/>
  <cols>
    <col min="1" max="1" width="15.59765625" style="59" customWidth="1"/>
    <col min="2" max="2" width="29.59765625" style="59" bestFit="1" customWidth="1"/>
    <col min="3" max="3" width="9" style="164"/>
    <col min="4" max="10" width="9" style="59"/>
  </cols>
  <sheetData>
    <row r="1" spans="1:12" x14ac:dyDescent="0.4">
      <c r="A1" s="179" t="s">
        <v>1420</v>
      </c>
      <c r="B1" s="179" t="s">
        <v>1390</v>
      </c>
      <c r="C1" s="182" t="s">
        <v>1387</v>
      </c>
      <c r="D1" s="182"/>
      <c r="E1" s="183">
        <v>0.45833333333333331</v>
      </c>
      <c r="F1" s="183"/>
      <c r="G1" s="183">
        <v>0.54166666666666663</v>
      </c>
      <c r="H1" s="183"/>
      <c r="I1" s="181">
        <v>0.625</v>
      </c>
      <c r="J1" s="180"/>
      <c r="K1" s="181">
        <v>0.70833333333333337</v>
      </c>
      <c r="L1" s="180"/>
    </row>
    <row r="2" spans="1:12" x14ac:dyDescent="0.4">
      <c r="A2" s="180"/>
      <c r="B2" s="180"/>
      <c r="C2" s="165" t="s">
        <v>1388</v>
      </c>
      <c r="D2" s="165" t="s">
        <v>1389</v>
      </c>
      <c r="E2" s="165" t="s">
        <v>1388</v>
      </c>
      <c r="F2" s="165" t="s">
        <v>1389</v>
      </c>
      <c r="G2" s="165" t="s">
        <v>1388</v>
      </c>
      <c r="H2" s="165" t="s">
        <v>1389</v>
      </c>
      <c r="I2" s="165" t="s">
        <v>1388</v>
      </c>
      <c r="J2" s="165" t="s">
        <v>1389</v>
      </c>
      <c r="K2" s="165" t="s">
        <v>1388</v>
      </c>
      <c r="L2" s="165" t="s">
        <v>1389</v>
      </c>
    </row>
    <row r="3" spans="1:12" x14ac:dyDescent="0.4">
      <c r="A3" s="163" t="s">
        <v>1405</v>
      </c>
      <c r="B3" s="163" t="s">
        <v>1386</v>
      </c>
      <c r="C3" s="165" t="s">
        <v>1391</v>
      </c>
      <c r="D3" s="59">
        <v>24.8</v>
      </c>
      <c r="E3" s="59">
        <v>26.8</v>
      </c>
      <c r="F3" s="59">
        <v>24.3</v>
      </c>
      <c r="G3" s="165" t="s">
        <v>1392</v>
      </c>
      <c r="H3" s="59">
        <v>23.7</v>
      </c>
      <c r="I3" s="59">
        <v>25.4</v>
      </c>
      <c r="J3" s="59">
        <v>23.3</v>
      </c>
      <c r="K3" s="59">
        <v>25</v>
      </c>
      <c r="L3" s="59">
        <v>23.5</v>
      </c>
    </row>
    <row r="4" spans="1:12" x14ac:dyDescent="0.4">
      <c r="A4" s="163" t="s">
        <v>1404</v>
      </c>
      <c r="B4" s="163" t="s">
        <v>1406</v>
      </c>
      <c r="C4" s="165" t="s">
        <v>1419</v>
      </c>
      <c r="D4" s="59">
        <v>23.8</v>
      </c>
      <c r="E4" s="59">
        <v>25.6</v>
      </c>
      <c r="F4" s="59">
        <v>23.7</v>
      </c>
      <c r="G4" s="59">
        <v>25.6</v>
      </c>
      <c r="H4" s="59">
        <v>23.5</v>
      </c>
      <c r="I4" s="59">
        <v>25.4</v>
      </c>
      <c r="J4" s="59">
        <v>25.3</v>
      </c>
      <c r="K4" s="59">
        <v>25.3</v>
      </c>
      <c r="L4" s="59">
        <v>25.4</v>
      </c>
    </row>
    <row r="5" spans="1:12" x14ac:dyDescent="0.4">
      <c r="A5" s="163" t="s">
        <v>1403</v>
      </c>
      <c r="B5" s="163" t="s">
        <v>1401</v>
      </c>
      <c r="C5" s="165" t="s">
        <v>1400</v>
      </c>
      <c r="D5" s="59">
        <v>23.4</v>
      </c>
      <c r="E5" s="59">
        <v>25.4</v>
      </c>
      <c r="F5" s="59">
        <v>23.1</v>
      </c>
      <c r="G5" s="59">
        <v>25.3</v>
      </c>
      <c r="H5" s="59">
        <v>23</v>
      </c>
      <c r="I5" s="59">
        <v>25.2</v>
      </c>
      <c r="J5" s="59">
        <v>22.8</v>
      </c>
      <c r="K5" s="59">
        <v>25.1</v>
      </c>
      <c r="L5" s="59">
        <v>22.7</v>
      </c>
    </row>
    <row r="6" spans="1:12" x14ac:dyDescent="0.4">
      <c r="A6" s="163" t="s">
        <v>1393</v>
      </c>
      <c r="B6" s="163" t="s">
        <v>1402</v>
      </c>
      <c r="C6" s="165" t="s">
        <v>1398</v>
      </c>
      <c r="D6" s="59">
        <v>23.4</v>
      </c>
      <c r="E6" s="59">
        <v>25.5</v>
      </c>
      <c r="F6" s="59">
        <v>23</v>
      </c>
      <c r="G6" s="59">
        <v>25.3</v>
      </c>
      <c r="H6" s="59">
        <v>22.7</v>
      </c>
      <c r="I6" s="59">
        <v>25.3</v>
      </c>
      <c r="J6" s="59">
        <v>22.9</v>
      </c>
      <c r="K6" s="59">
        <v>25.2</v>
      </c>
      <c r="L6" s="59">
        <v>22.7</v>
      </c>
    </row>
    <row r="7" spans="1:12" x14ac:dyDescent="0.4">
      <c r="A7" s="163" t="s">
        <v>1413</v>
      </c>
      <c r="B7" s="163" t="s">
        <v>1407</v>
      </c>
      <c r="C7" s="165" t="s">
        <v>1392</v>
      </c>
      <c r="D7" s="59">
        <v>23.7</v>
      </c>
      <c r="E7" s="59">
        <v>25.1</v>
      </c>
      <c r="F7" s="59">
        <v>23.4</v>
      </c>
      <c r="G7" s="59">
        <v>24.8</v>
      </c>
      <c r="H7" s="59">
        <v>23.1</v>
      </c>
      <c r="I7" s="59">
        <v>24.9</v>
      </c>
      <c r="J7" s="59">
        <v>22.8</v>
      </c>
      <c r="K7" s="59">
        <v>24.7</v>
      </c>
      <c r="L7" s="59">
        <v>22.6</v>
      </c>
    </row>
    <row r="8" spans="1:12" x14ac:dyDescent="0.4">
      <c r="A8" s="163" t="s">
        <v>1414</v>
      </c>
      <c r="B8" s="163" t="s">
        <v>1408</v>
      </c>
      <c r="C8" s="165" t="s">
        <v>1418</v>
      </c>
      <c r="D8" s="59">
        <v>24.5</v>
      </c>
    </row>
    <row r="9" spans="1:12" x14ac:dyDescent="0.4">
      <c r="A9" s="163" t="s">
        <v>1415</v>
      </c>
      <c r="B9" s="163" t="s">
        <v>1409</v>
      </c>
      <c r="C9" s="165" t="s">
        <v>1417</v>
      </c>
      <c r="D9" s="59">
        <v>24.3</v>
      </c>
    </row>
    <row r="10" spans="1:12" x14ac:dyDescent="0.4">
      <c r="A10" s="163" t="s">
        <v>1416</v>
      </c>
      <c r="B10" s="163" t="s">
        <v>1410</v>
      </c>
      <c r="C10" s="165" t="s">
        <v>1398</v>
      </c>
      <c r="D10" s="59">
        <v>23.6</v>
      </c>
      <c r="E10" s="59">
        <v>25.3</v>
      </c>
      <c r="F10" s="59">
        <v>23.1</v>
      </c>
      <c r="G10" s="59">
        <v>24.9</v>
      </c>
      <c r="H10" s="59">
        <v>22.8</v>
      </c>
      <c r="I10" s="59">
        <v>24.8</v>
      </c>
      <c r="J10" s="59">
        <v>22.7</v>
      </c>
      <c r="K10" s="59">
        <v>24.9</v>
      </c>
      <c r="L10" s="59">
        <v>22.7</v>
      </c>
    </row>
    <row r="11" spans="1:12" x14ac:dyDescent="0.4">
      <c r="A11" s="163" t="s">
        <v>1399</v>
      </c>
      <c r="B11" s="163" t="s">
        <v>1411</v>
      </c>
      <c r="C11" s="165" t="s">
        <v>1394</v>
      </c>
      <c r="D11" s="59">
        <v>23.5</v>
      </c>
      <c r="E11" s="59">
        <v>25.5</v>
      </c>
      <c r="F11" s="59">
        <v>23.4</v>
      </c>
      <c r="G11" s="59">
        <v>25.3</v>
      </c>
      <c r="H11" s="59">
        <v>23.1</v>
      </c>
      <c r="I11" s="59">
        <v>25.2</v>
      </c>
      <c r="J11" s="59">
        <v>22.9</v>
      </c>
      <c r="K11" s="59">
        <v>25.3</v>
      </c>
      <c r="L11" s="59">
        <v>23</v>
      </c>
    </row>
    <row r="12" spans="1:12" x14ac:dyDescent="0.4">
      <c r="A12" s="163" t="s">
        <v>1395</v>
      </c>
      <c r="B12" s="163" t="s">
        <v>1412</v>
      </c>
      <c r="C12" s="165" t="s">
        <v>1400</v>
      </c>
      <c r="D12" s="59">
        <v>23.5</v>
      </c>
      <c r="E12" s="59">
        <v>25.2</v>
      </c>
      <c r="F12" s="59">
        <v>23.2</v>
      </c>
      <c r="G12" s="59">
        <v>25</v>
      </c>
      <c r="H12" s="59">
        <v>22.9</v>
      </c>
      <c r="I12" s="59">
        <v>25.3</v>
      </c>
      <c r="J12" s="59">
        <v>22.7</v>
      </c>
      <c r="K12" s="59">
        <v>25.5</v>
      </c>
      <c r="L12" s="59">
        <v>22.4</v>
      </c>
    </row>
    <row r="13" spans="1:12" x14ac:dyDescent="0.4">
      <c r="A13" s="163" t="s">
        <v>1397</v>
      </c>
      <c r="B13" s="163" t="s">
        <v>1396</v>
      </c>
      <c r="C13" s="165" t="s">
        <v>1398</v>
      </c>
      <c r="D13" s="59">
        <v>23.7</v>
      </c>
      <c r="E13" s="59">
        <v>25.5</v>
      </c>
      <c r="F13" s="59">
        <v>23.2</v>
      </c>
      <c r="G13" s="59">
        <v>25.4</v>
      </c>
      <c r="H13" s="59">
        <v>22.7</v>
      </c>
      <c r="I13" s="59">
        <v>25.6</v>
      </c>
      <c r="J13" s="59">
        <v>22.7</v>
      </c>
      <c r="K13" s="59">
        <v>25.7</v>
      </c>
      <c r="L13" s="59">
        <v>22.5</v>
      </c>
    </row>
    <row r="14" spans="1:12" x14ac:dyDescent="0.4">
      <c r="A14" s="163" t="s">
        <v>1421</v>
      </c>
      <c r="B14" s="163" t="s">
        <v>1422</v>
      </c>
      <c r="C14" s="165" t="s">
        <v>1423</v>
      </c>
      <c r="D14" s="59">
        <v>23.2</v>
      </c>
      <c r="E14" s="59">
        <v>25.4</v>
      </c>
      <c r="F14" s="59">
        <v>22.9</v>
      </c>
      <c r="G14" s="59">
        <v>25.5</v>
      </c>
      <c r="H14" s="59">
        <v>22.7</v>
      </c>
      <c r="I14" s="59">
        <v>25.4</v>
      </c>
      <c r="J14" s="59">
        <v>22.5</v>
      </c>
      <c r="K14" s="59">
        <v>25.3</v>
      </c>
      <c r="L14" s="59">
        <v>22.5</v>
      </c>
    </row>
    <row r="15" spans="1:12" x14ac:dyDescent="0.4">
      <c r="A15" s="163" t="s">
        <v>1424</v>
      </c>
      <c r="B15" s="163" t="s">
        <v>1427</v>
      </c>
      <c r="C15" s="165" t="s">
        <v>1430</v>
      </c>
      <c r="D15" s="59">
        <v>24.6</v>
      </c>
    </row>
    <row r="16" spans="1:12" x14ac:dyDescent="0.4">
      <c r="A16" s="163" t="s">
        <v>1425</v>
      </c>
      <c r="B16" s="163" t="s">
        <v>1429</v>
      </c>
      <c r="C16" s="165" t="s">
        <v>1431</v>
      </c>
      <c r="D16" s="59">
        <v>24.4</v>
      </c>
    </row>
    <row r="17" spans="1:12" x14ac:dyDescent="0.4">
      <c r="A17" s="163" t="s">
        <v>1426</v>
      </c>
      <c r="B17" s="163" t="s">
        <v>1428</v>
      </c>
      <c r="C17" s="165" t="s">
        <v>1394</v>
      </c>
      <c r="D17" s="59">
        <v>23.6</v>
      </c>
      <c r="E17" s="59">
        <v>25.5</v>
      </c>
      <c r="F17" s="59">
        <v>23.5</v>
      </c>
      <c r="G17" s="59">
        <v>25.5</v>
      </c>
      <c r="H17" s="59">
        <v>23.3</v>
      </c>
      <c r="I17" s="59">
        <v>25.3</v>
      </c>
      <c r="J17" s="59">
        <v>23.1</v>
      </c>
      <c r="K17" s="59">
        <v>25.1</v>
      </c>
      <c r="L17" s="59">
        <v>23.2</v>
      </c>
    </row>
  </sheetData>
  <mergeCells count="7">
    <mergeCell ref="A1:A2"/>
    <mergeCell ref="K1:L1"/>
    <mergeCell ref="B1:B2"/>
    <mergeCell ref="C1:D1"/>
    <mergeCell ref="E1:F1"/>
    <mergeCell ref="G1:H1"/>
    <mergeCell ref="I1:J1"/>
  </mergeCells>
  <phoneticPr fontId="8" type="noConversion"/>
  <pageMargins left="0.7" right="0.7" top="0.75" bottom="0.75" header="0.3" footer="0.3"/>
  <ignoredErrors>
    <ignoredError sqref="C3 C12:C14 G3 C11 C7 C4:C6 C8:C10 C15: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Raw Data</vt:lpstr>
      <vt:lpstr>셀특성시험_시험온도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cp:revision>28</cp:revision>
  <dcterms:created xsi:type="dcterms:W3CDTF">2025-01-22T03:15:38Z</dcterms:created>
  <dcterms:modified xsi:type="dcterms:W3CDTF">2026-07-16T05:49:25Z</dcterms:modified>
  <cp:version>1300.0100.01</cp:version>
</cp:coreProperties>
</file>